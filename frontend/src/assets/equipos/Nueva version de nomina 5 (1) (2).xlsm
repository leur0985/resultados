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ULA02-PC08\Desktop\"/>
    </mc:Choice>
  </mc:AlternateContent>
  <bookViews>
    <workbookView xWindow="0" yWindow="0" windowWidth="24000" windowHeight="9735"/>
  </bookViews>
  <sheets>
    <sheet name="Empleados" sheetId="4" r:id="rId1"/>
    <sheet name="Lista" sheetId="2" r:id="rId2"/>
    <sheet name="General" sheetId="5" r:id="rId3"/>
    <sheet name="Reporte de Nomina" sheetId="3" r:id="rId4"/>
  </sheets>
  <externalReferences>
    <externalReference r:id="rId5"/>
  </externalReferences>
  <definedNames>
    <definedName name="_xlnm._FilterDatabase" localSheetId="0" hidden="1">Empleados!$W$1:$W$230</definedName>
    <definedName name="_xlnm.Extract" localSheetId="0">Empleados!$Y$1</definedName>
  </definedNames>
  <calcPr calcId="171027"/>
</workbook>
</file>

<file path=xl/calcChain.xml><?xml version="1.0" encoding="utf-8"?>
<calcChain xmlns="http://schemas.openxmlformats.org/spreadsheetml/2006/main">
  <c r="N69" i="4" l="1"/>
  <c r="N68" i="4"/>
  <c r="N66" i="4"/>
  <c r="N65" i="4"/>
  <c r="F587" i="3" l="1"/>
  <c r="F548" i="3"/>
  <c r="F509" i="3"/>
  <c r="F470" i="3"/>
  <c r="F431" i="3"/>
  <c r="F392" i="3"/>
  <c r="F353" i="3"/>
  <c r="F314" i="3"/>
  <c r="F275" i="3"/>
  <c r="F236" i="3"/>
  <c r="F197" i="3"/>
  <c r="F158" i="3"/>
  <c r="S3" i="5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C36" i="5"/>
  <c r="D36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C37" i="5"/>
  <c r="D37" i="5"/>
  <c r="E37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C38" i="5"/>
  <c r="D38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C39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C40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C41" i="5"/>
  <c r="D41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C42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C43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C44" i="5"/>
  <c r="D44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C45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C46" i="5"/>
  <c r="D46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C47" i="5"/>
  <c r="D47" i="5"/>
  <c r="E47" i="5"/>
  <c r="F47" i="5"/>
  <c r="G47" i="5"/>
  <c r="H47" i="5"/>
  <c r="I47" i="5"/>
  <c r="J47" i="5"/>
  <c r="K47" i="5"/>
  <c r="L47" i="5"/>
  <c r="M47" i="5"/>
  <c r="N47" i="5"/>
  <c r="O47" i="5"/>
  <c r="P47" i="5"/>
  <c r="Q47" i="5"/>
  <c r="R47" i="5"/>
  <c r="C48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C49" i="5"/>
  <c r="D49" i="5"/>
  <c r="E49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C50" i="5"/>
  <c r="D50" i="5"/>
  <c r="E50" i="5"/>
  <c r="F50" i="5"/>
  <c r="G50" i="5"/>
  <c r="H50" i="5"/>
  <c r="I50" i="5"/>
  <c r="J50" i="5"/>
  <c r="K50" i="5"/>
  <c r="L50" i="5"/>
  <c r="M50" i="5"/>
  <c r="N50" i="5"/>
  <c r="O50" i="5"/>
  <c r="P50" i="5"/>
  <c r="Q50" i="5"/>
  <c r="R50" i="5"/>
  <c r="C51" i="5"/>
  <c r="D51" i="5"/>
  <c r="E51" i="5"/>
  <c r="F51" i="5"/>
  <c r="G51" i="5"/>
  <c r="H51" i="5"/>
  <c r="I51" i="5"/>
  <c r="J51" i="5"/>
  <c r="K51" i="5"/>
  <c r="L51" i="5"/>
  <c r="M51" i="5"/>
  <c r="N51" i="5"/>
  <c r="O51" i="5"/>
  <c r="P51" i="5"/>
  <c r="Q51" i="5"/>
  <c r="R51" i="5"/>
  <c r="C52" i="5"/>
  <c r="D52" i="5"/>
  <c r="E52" i="5"/>
  <c r="F52" i="5"/>
  <c r="G52" i="5"/>
  <c r="H52" i="5"/>
  <c r="I52" i="5"/>
  <c r="J52" i="5"/>
  <c r="K52" i="5"/>
  <c r="L52" i="5"/>
  <c r="M52" i="5"/>
  <c r="N52" i="5"/>
  <c r="O52" i="5"/>
  <c r="P52" i="5"/>
  <c r="Q52" i="5"/>
  <c r="R52" i="5"/>
  <c r="C53" i="5"/>
  <c r="D53" i="5"/>
  <c r="E53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C54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C56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C57" i="5"/>
  <c r="D57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C58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C59" i="5"/>
  <c r="D59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C61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C62" i="5"/>
  <c r="D62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C63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C64" i="5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C65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C66" i="5"/>
  <c r="D66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C67" i="5"/>
  <c r="D67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C69" i="5"/>
  <c r="D69" i="5"/>
  <c r="E69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C70" i="5"/>
  <c r="D70" i="5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C71" i="5"/>
  <c r="D71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C72" i="5"/>
  <c r="D72" i="5"/>
  <c r="E72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C73" i="5"/>
  <c r="D73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C74" i="5"/>
  <c r="D74" i="5"/>
  <c r="E74" i="5"/>
  <c r="F74" i="5"/>
  <c r="G74" i="5"/>
  <c r="H74" i="5"/>
  <c r="I74" i="5"/>
  <c r="J74" i="5"/>
  <c r="K74" i="5"/>
  <c r="L74" i="5"/>
  <c r="M74" i="5"/>
  <c r="N74" i="5"/>
  <c r="O74" i="5"/>
  <c r="P74" i="5"/>
  <c r="Q74" i="5"/>
  <c r="R74" i="5"/>
  <c r="C75" i="5"/>
  <c r="D75" i="5"/>
  <c r="E75" i="5"/>
  <c r="F75" i="5"/>
  <c r="G75" i="5"/>
  <c r="H75" i="5"/>
  <c r="I75" i="5"/>
  <c r="J75" i="5"/>
  <c r="K75" i="5"/>
  <c r="L75" i="5"/>
  <c r="M75" i="5"/>
  <c r="N75" i="5"/>
  <c r="O75" i="5"/>
  <c r="P75" i="5"/>
  <c r="Q75" i="5"/>
  <c r="R75" i="5"/>
  <c r="C76" i="5"/>
  <c r="D76" i="5"/>
  <c r="E76" i="5"/>
  <c r="F76" i="5"/>
  <c r="G76" i="5"/>
  <c r="H76" i="5"/>
  <c r="I76" i="5"/>
  <c r="J76" i="5"/>
  <c r="K76" i="5"/>
  <c r="L76" i="5"/>
  <c r="M76" i="5"/>
  <c r="N76" i="5"/>
  <c r="O76" i="5"/>
  <c r="P76" i="5"/>
  <c r="Q76" i="5"/>
  <c r="R76" i="5"/>
  <c r="C77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C78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C80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C81" i="5"/>
  <c r="D81" i="5"/>
  <c r="E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C82" i="5"/>
  <c r="D82" i="5"/>
  <c r="E82" i="5"/>
  <c r="F82" i="5"/>
  <c r="G82" i="5"/>
  <c r="H82" i="5"/>
  <c r="I82" i="5"/>
  <c r="J82" i="5"/>
  <c r="K82" i="5"/>
  <c r="L82" i="5"/>
  <c r="M82" i="5"/>
  <c r="N82" i="5"/>
  <c r="O82" i="5"/>
  <c r="P82" i="5"/>
  <c r="Q82" i="5"/>
  <c r="R82" i="5"/>
  <c r="C83" i="5"/>
  <c r="D83" i="5"/>
  <c r="E83" i="5"/>
  <c r="F83" i="5"/>
  <c r="G83" i="5"/>
  <c r="H83" i="5"/>
  <c r="I83" i="5"/>
  <c r="J83" i="5"/>
  <c r="K83" i="5"/>
  <c r="L83" i="5"/>
  <c r="M83" i="5"/>
  <c r="N83" i="5"/>
  <c r="O83" i="5"/>
  <c r="P83" i="5"/>
  <c r="Q83" i="5"/>
  <c r="R83" i="5"/>
  <c r="C84" i="5"/>
  <c r="D84" i="5"/>
  <c r="E84" i="5"/>
  <c r="F84" i="5"/>
  <c r="G84" i="5"/>
  <c r="H84" i="5"/>
  <c r="I84" i="5"/>
  <c r="J84" i="5"/>
  <c r="K84" i="5"/>
  <c r="L84" i="5"/>
  <c r="M84" i="5"/>
  <c r="N84" i="5"/>
  <c r="O84" i="5"/>
  <c r="P84" i="5"/>
  <c r="Q84" i="5"/>
  <c r="R84" i="5"/>
  <c r="C85" i="5"/>
  <c r="D85" i="5"/>
  <c r="E85" i="5"/>
  <c r="F85" i="5"/>
  <c r="G85" i="5"/>
  <c r="H85" i="5"/>
  <c r="I85" i="5"/>
  <c r="J85" i="5"/>
  <c r="K85" i="5"/>
  <c r="L85" i="5"/>
  <c r="M85" i="5"/>
  <c r="N85" i="5"/>
  <c r="O85" i="5"/>
  <c r="P85" i="5"/>
  <c r="Q85" i="5"/>
  <c r="R85" i="5"/>
  <c r="C86" i="5"/>
  <c r="D86" i="5"/>
  <c r="E86" i="5"/>
  <c r="F86" i="5"/>
  <c r="G86" i="5"/>
  <c r="H86" i="5"/>
  <c r="I86" i="5"/>
  <c r="J86" i="5"/>
  <c r="K86" i="5"/>
  <c r="L86" i="5"/>
  <c r="M86" i="5"/>
  <c r="N86" i="5"/>
  <c r="O86" i="5"/>
  <c r="P86" i="5"/>
  <c r="Q86" i="5"/>
  <c r="R86" i="5"/>
  <c r="C87" i="5"/>
  <c r="D87" i="5"/>
  <c r="E87" i="5"/>
  <c r="F87" i="5"/>
  <c r="G87" i="5"/>
  <c r="H87" i="5"/>
  <c r="I87" i="5"/>
  <c r="J87" i="5"/>
  <c r="K87" i="5"/>
  <c r="L87" i="5"/>
  <c r="M87" i="5"/>
  <c r="N87" i="5"/>
  <c r="O87" i="5"/>
  <c r="P87" i="5"/>
  <c r="Q87" i="5"/>
  <c r="R87" i="5"/>
  <c r="C88" i="5"/>
  <c r="D88" i="5"/>
  <c r="E88" i="5"/>
  <c r="F88" i="5"/>
  <c r="G88" i="5"/>
  <c r="H88" i="5"/>
  <c r="I88" i="5"/>
  <c r="J88" i="5"/>
  <c r="K88" i="5"/>
  <c r="L88" i="5"/>
  <c r="M88" i="5"/>
  <c r="N88" i="5"/>
  <c r="O88" i="5"/>
  <c r="P88" i="5"/>
  <c r="Q88" i="5"/>
  <c r="R88" i="5"/>
  <c r="C89" i="5"/>
  <c r="D89" i="5"/>
  <c r="E89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C90" i="5"/>
  <c r="D90" i="5"/>
  <c r="E90" i="5"/>
  <c r="F90" i="5"/>
  <c r="G90" i="5"/>
  <c r="H90" i="5"/>
  <c r="I90" i="5"/>
  <c r="J90" i="5"/>
  <c r="K90" i="5"/>
  <c r="L90" i="5"/>
  <c r="M90" i="5"/>
  <c r="N90" i="5"/>
  <c r="O90" i="5"/>
  <c r="P90" i="5"/>
  <c r="Q90" i="5"/>
  <c r="R90" i="5"/>
  <c r="C91" i="5"/>
  <c r="D91" i="5"/>
  <c r="E91" i="5"/>
  <c r="F91" i="5"/>
  <c r="G91" i="5"/>
  <c r="H91" i="5"/>
  <c r="I91" i="5"/>
  <c r="J91" i="5"/>
  <c r="K91" i="5"/>
  <c r="L91" i="5"/>
  <c r="M91" i="5"/>
  <c r="N91" i="5"/>
  <c r="O91" i="5"/>
  <c r="P91" i="5"/>
  <c r="Q91" i="5"/>
  <c r="R91" i="5"/>
  <c r="C92" i="5"/>
  <c r="D92" i="5"/>
  <c r="E92" i="5"/>
  <c r="F92" i="5"/>
  <c r="G92" i="5"/>
  <c r="H92" i="5"/>
  <c r="I92" i="5"/>
  <c r="J92" i="5"/>
  <c r="K92" i="5"/>
  <c r="L92" i="5"/>
  <c r="M92" i="5"/>
  <c r="N92" i="5"/>
  <c r="O92" i="5"/>
  <c r="P92" i="5"/>
  <c r="Q92" i="5"/>
  <c r="R92" i="5"/>
  <c r="C93" i="5"/>
  <c r="D93" i="5"/>
  <c r="E93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C94" i="5"/>
  <c r="D94" i="5"/>
  <c r="E94" i="5"/>
  <c r="F94" i="5"/>
  <c r="G94" i="5"/>
  <c r="H94" i="5"/>
  <c r="I94" i="5"/>
  <c r="J94" i="5"/>
  <c r="K94" i="5"/>
  <c r="L94" i="5"/>
  <c r="M94" i="5"/>
  <c r="N94" i="5"/>
  <c r="O94" i="5"/>
  <c r="P94" i="5"/>
  <c r="Q94" i="5"/>
  <c r="R94" i="5"/>
  <c r="C95" i="5"/>
  <c r="D95" i="5"/>
  <c r="E95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C96" i="5"/>
  <c r="D96" i="5"/>
  <c r="E96" i="5"/>
  <c r="F96" i="5"/>
  <c r="G96" i="5"/>
  <c r="H96" i="5"/>
  <c r="I96" i="5"/>
  <c r="J96" i="5"/>
  <c r="K96" i="5"/>
  <c r="L96" i="5"/>
  <c r="M96" i="5"/>
  <c r="N96" i="5"/>
  <c r="O96" i="5"/>
  <c r="P96" i="5"/>
  <c r="Q96" i="5"/>
  <c r="R96" i="5"/>
  <c r="C97" i="5"/>
  <c r="D97" i="5"/>
  <c r="E97" i="5"/>
  <c r="F97" i="5"/>
  <c r="G97" i="5"/>
  <c r="H97" i="5"/>
  <c r="I97" i="5"/>
  <c r="J97" i="5"/>
  <c r="K97" i="5"/>
  <c r="L97" i="5"/>
  <c r="M97" i="5"/>
  <c r="N97" i="5"/>
  <c r="O97" i="5"/>
  <c r="P97" i="5"/>
  <c r="Q97" i="5"/>
  <c r="R97" i="5"/>
  <c r="C98" i="5"/>
  <c r="D98" i="5"/>
  <c r="E98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C99" i="5"/>
  <c r="D99" i="5"/>
  <c r="E99" i="5"/>
  <c r="F99" i="5"/>
  <c r="G99" i="5"/>
  <c r="H99" i="5"/>
  <c r="I99" i="5"/>
  <c r="J99" i="5"/>
  <c r="K99" i="5"/>
  <c r="L99" i="5"/>
  <c r="M99" i="5"/>
  <c r="N99" i="5"/>
  <c r="O99" i="5"/>
  <c r="P99" i="5"/>
  <c r="Q99" i="5"/>
  <c r="R99" i="5"/>
  <c r="C100" i="5"/>
  <c r="D100" i="5"/>
  <c r="E100" i="5"/>
  <c r="F100" i="5"/>
  <c r="G100" i="5"/>
  <c r="H100" i="5"/>
  <c r="I100" i="5"/>
  <c r="J100" i="5"/>
  <c r="K100" i="5"/>
  <c r="L100" i="5"/>
  <c r="M100" i="5"/>
  <c r="N100" i="5"/>
  <c r="O100" i="5"/>
  <c r="P100" i="5"/>
  <c r="Q100" i="5"/>
  <c r="R100" i="5"/>
  <c r="C101" i="5"/>
  <c r="D101" i="5"/>
  <c r="E101" i="5"/>
  <c r="F101" i="5"/>
  <c r="G101" i="5"/>
  <c r="H101" i="5"/>
  <c r="I101" i="5"/>
  <c r="J101" i="5"/>
  <c r="K101" i="5"/>
  <c r="L101" i="5"/>
  <c r="M101" i="5"/>
  <c r="N101" i="5"/>
  <c r="O101" i="5"/>
  <c r="P101" i="5"/>
  <c r="Q101" i="5"/>
  <c r="R101" i="5"/>
  <c r="C102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C103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C104" i="5"/>
  <c r="D104" i="5"/>
  <c r="E104" i="5"/>
  <c r="F104" i="5"/>
  <c r="G104" i="5"/>
  <c r="H104" i="5"/>
  <c r="I104" i="5"/>
  <c r="J104" i="5"/>
  <c r="K104" i="5"/>
  <c r="L104" i="5"/>
  <c r="M104" i="5"/>
  <c r="N104" i="5"/>
  <c r="O104" i="5"/>
  <c r="P104" i="5"/>
  <c r="Q104" i="5"/>
  <c r="R104" i="5"/>
  <c r="C105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C106" i="5"/>
  <c r="D106" i="5"/>
  <c r="E106" i="5"/>
  <c r="F106" i="5"/>
  <c r="G106" i="5"/>
  <c r="H106" i="5"/>
  <c r="I106" i="5"/>
  <c r="J106" i="5"/>
  <c r="K106" i="5"/>
  <c r="L106" i="5"/>
  <c r="M106" i="5"/>
  <c r="N106" i="5"/>
  <c r="O106" i="5"/>
  <c r="P106" i="5"/>
  <c r="Q106" i="5"/>
  <c r="R106" i="5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C108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C109" i="5"/>
  <c r="D109" i="5"/>
  <c r="E109" i="5"/>
  <c r="F109" i="5"/>
  <c r="G109" i="5"/>
  <c r="H109" i="5"/>
  <c r="I109" i="5"/>
  <c r="J109" i="5"/>
  <c r="K109" i="5"/>
  <c r="L109" i="5"/>
  <c r="M109" i="5"/>
  <c r="N109" i="5"/>
  <c r="O109" i="5"/>
  <c r="P109" i="5"/>
  <c r="Q109" i="5"/>
  <c r="R109" i="5"/>
  <c r="C110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C111" i="5"/>
  <c r="D111" i="5"/>
  <c r="E111" i="5"/>
  <c r="F111" i="5"/>
  <c r="G111" i="5"/>
  <c r="H111" i="5"/>
  <c r="I111" i="5"/>
  <c r="J111" i="5"/>
  <c r="K111" i="5"/>
  <c r="L111" i="5"/>
  <c r="M111" i="5"/>
  <c r="N111" i="5"/>
  <c r="O111" i="5"/>
  <c r="P111" i="5"/>
  <c r="Q111" i="5"/>
  <c r="R111" i="5"/>
  <c r="C112" i="5"/>
  <c r="D112" i="5"/>
  <c r="E112" i="5"/>
  <c r="F112" i="5"/>
  <c r="G112" i="5"/>
  <c r="H112" i="5"/>
  <c r="I112" i="5"/>
  <c r="J112" i="5"/>
  <c r="K112" i="5"/>
  <c r="L112" i="5"/>
  <c r="M112" i="5"/>
  <c r="N112" i="5"/>
  <c r="O112" i="5"/>
  <c r="P112" i="5"/>
  <c r="Q112" i="5"/>
  <c r="R112" i="5"/>
  <c r="C113" i="5"/>
  <c r="D113" i="5"/>
  <c r="E113" i="5"/>
  <c r="F113" i="5"/>
  <c r="G113" i="5"/>
  <c r="H113" i="5"/>
  <c r="I113" i="5"/>
  <c r="J113" i="5"/>
  <c r="K113" i="5"/>
  <c r="L113" i="5"/>
  <c r="M113" i="5"/>
  <c r="N113" i="5"/>
  <c r="O113" i="5"/>
  <c r="P113" i="5"/>
  <c r="Q113" i="5"/>
  <c r="R113" i="5"/>
  <c r="C114" i="5"/>
  <c r="D114" i="5"/>
  <c r="E114" i="5"/>
  <c r="F114" i="5"/>
  <c r="G114" i="5"/>
  <c r="H114" i="5"/>
  <c r="I114" i="5"/>
  <c r="J114" i="5"/>
  <c r="K114" i="5"/>
  <c r="L114" i="5"/>
  <c r="M114" i="5"/>
  <c r="N114" i="5"/>
  <c r="O114" i="5"/>
  <c r="P114" i="5"/>
  <c r="Q114" i="5"/>
  <c r="R114" i="5"/>
  <c r="C115" i="5"/>
  <c r="D115" i="5"/>
  <c r="E115" i="5"/>
  <c r="F115" i="5"/>
  <c r="G115" i="5"/>
  <c r="H115" i="5"/>
  <c r="I115" i="5"/>
  <c r="J115" i="5"/>
  <c r="K115" i="5"/>
  <c r="L115" i="5"/>
  <c r="M115" i="5"/>
  <c r="N115" i="5"/>
  <c r="O115" i="5"/>
  <c r="P115" i="5"/>
  <c r="Q115" i="5"/>
  <c r="R115" i="5"/>
  <c r="C116" i="5"/>
  <c r="D116" i="5"/>
  <c r="E116" i="5"/>
  <c r="F116" i="5"/>
  <c r="G116" i="5"/>
  <c r="H116" i="5"/>
  <c r="I116" i="5"/>
  <c r="J116" i="5"/>
  <c r="K116" i="5"/>
  <c r="L116" i="5"/>
  <c r="M116" i="5"/>
  <c r="N116" i="5"/>
  <c r="O116" i="5"/>
  <c r="P116" i="5"/>
  <c r="Q116" i="5"/>
  <c r="R116" i="5"/>
  <c r="C117" i="5"/>
  <c r="D117" i="5"/>
  <c r="E117" i="5"/>
  <c r="F117" i="5"/>
  <c r="G117" i="5"/>
  <c r="H117" i="5"/>
  <c r="I117" i="5"/>
  <c r="J117" i="5"/>
  <c r="K117" i="5"/>
  <c r="L117" i="5"/>
  <c r="M117" i="5"/>
  <c r="N117" i="5"/>
  <c r="O117" i="5"/>
  <c r="P117" i="5"/>
  <c r="Q117" i="5"/>
  <c r="R117" i="5"/>
  <c r="C118" i="5"/>
  <c r="D118" i="5"/>
  <c r="E118" i="5"/>
  <c r="F118" i="5"/>
  <c r="G118" i="5"/>
  <c r="H118" i="5"/>
  <c r="I118" i="5"/>
  <c r="J118" i="5"/>
  <c r="K118" i="5"/>
  <c r="L118" i="5"/>
  <c r="M118" i="5"/>
  <c r="N118" i="5"/>
  <c r="O118" i="5"/>
  <c r="P118" i="5"/>
  <c r="Q118" i="5"/>
  <c r="R118" i="5"/>
  <c r="C119" i="5"/>
  <c r="D119" i="5"/>
  <c r="E119" i="5"/>
  <c r="F119" i="5"/>
  <c r="G119" i="5"/>
  <c r="H119" i="5"/>
  <c r="I119" i="5"/>
  <c r="J119" i="5"/>
  <c r="K119" i="5"/>
  <c r="L119" i="5"/>
  <c r="M119" i="5"/>
  <c r="N119" i="5"/>
  <c r="O119" i="5"/>
  <c r="P119" i="5"/>
  <c r="Q119" i="5"/>
  <c r="R119" i="5"/>
  <c r="C120" i="5"/>
  <c r="D120" i="5"/>
  <c r="E120" i="5"/>
  <c r="F120" i="5"/>
  <c r="G120" i="5"/>
  <c r="H120" i="5"/>
  <c r="I120" i="5"/>
  <c r="J120" i="5"/>
  <c r="K120" i="5"/>
  <c r="L120" i="5"/>
  <c r="M120" i="5"/>
  <c r="N120" i="5"/>
  <c r="O120" i="5"/>
  <c r="P120" i="5"/>
  <c r="Q120" i="5"/>
  <c r="R120" i="5"/>
  <c r="C121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C122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C123" i="5"/>
  <c r="D123" i="5"/>
  <c r="E123" i="5"/>
  <c r="F123" i="5"/>
  <c r="G123" i="5"/>
  <c r="H123" i="5"/>
  <c r="I123" i="5"/>
  <c r="J123" i="5"/>
  <c r="K123" i="5"/>
  <c r="L123" i="5"/>
  <c r="M123" i="5"/>
  <c r="N123" i="5"/>
  <c r="O123" i="5"/>
  <c r="P123" i="5"/>
  <c r="Q123" i="5"/>
  <c r="R123" i="5"/>
  <c r="C124" i="5"/>
  <c r="D124" i="5"/>
  <c r="E124" i="5"/>
  <c r="F124" i="5"/>
  <c r="G124" i="5"/>
  <c r="H124" i="5"/>
  <c r="I124" i="5"/>
  <c r="J124" i="5"/>
  <c r="K124" i="5"/>
  <c r="L124" i="5"/>
  <c r="M124" i="5"/>
  <c r="N124" i="5"/>
  <c r="O124" i="5"/>
  <c r="P124" i="5"/>
  <c r="Q124" i="5"/>
  <c r="R124" i="5"/>
  <c r="C125" i="5"/>
  <c r="D125" i="5"/>
  <c r="E125" i="5"/>
  <c r="F125" i="5"/>
  <c r="G125" i="5"/>
  <c r="H125" i="5"/>
  <c r="I125" i="5"/>
  <c r="J125" i="5"/>
  <c r="K125" i="5"/>
  <c r="L125" i="5"/>
  <c r="M125" i="5"/>
  <c r="N125" i="5"/>
  <c r="O125" i="5"/>
  <c r="P125" i="5"/>
  <c r="Q125" i="5"/>
  <c r="R125" i="5"/>
  <c r="C126" i="5"/>
  <c r="D126" i="5"/>
  <c r="E126" i="5"/>
  <c r="F126" i="5"/>
  <c r="G126" i="5"/>
  <c r="H126" i="5"/>
  <c r="I126" i="5"/>
  <c r="J126" i="5"/>
  <c r="K126" i="5"/>
  <c r="L126" i="5"/>
  <c r="M126" i="5"/>
  <c r="N126" i="5"/>
  <c r="O126" i="5"/>
  <c r="P126" i="5"/>
  <c r="Q126" i="5"/>
  <c r="R126" i="5"/>
  <c r="C127" i="5"/>
  <c r="D127" i="5"/>
  <c r="E127" i="5"/>
  <c r="F127" i="5"/>
  <c r="G127" i="5"/>
  <c r="H127" i="5"/>
  <c r="I127" i="5"/>
  <c r="J127" i="5"/>
  <c r="K127" i="5"/>
  <c r="L127" i="5"/>
  <c r="M127" i="5"/>
  <c r="N127" i="5"/>
  <c r="O127" i="5"/>
  <c r="P127" i="5"/>
  <c r="Q127" i="5"/>
  <c r="R127" i="5"/>
  <c r="C128" i="5"/>
  <c r="D128" i="5"/>
  <c r="E128" i="5"/>
  <c r="F128" i="5"/>
  <c r="G128" i="5"/>
  <c r="H128" i="5"/>
  <c r="I128" i="5"/>
  <c r="J128" i="5"/>
  <c r="K128" i="5"/>
  <c r="L128" i="5"/>
  <c r="M128" i="5"/>
  <c r="N128" i="5"/>
  <c r="O128" i="5"/>
  <c r="P128" i="5"/>
  <c r="Q128" i="5"/>
  <c r="R128" i="5"/>
  <c r="C129" i="5"/>
  <c r="D129" i="5"/>
  <c r="E129" i="5"/>
  <c r="F129" i="5"/>
  <c r="G129" i="5"/>
  <c r="H129" i="5"/>
  <c r="I129" i="5"/>
  <c r="J129" i="5"/>
  <c r="K129" i="5"/>
  <c r="L129" i="5"/>
  <c r="M129" i="5"/>
  <c r="N129" i="5"/>
  <c r="O129" i="5"/>
  <c r="P129" i="5"/>
  <c r="Q129" i="5"/>
  <c r="R129" i="5"/>
  <c r="C130" i="5"/>
  <c r="D130" i="5"/>
  <c r="E130" i="5"/>
  <c r="F130" i="5"/>
  <c r="G130" i="5"/>
  <c r="H130" i="5"/>
  <c r="I130" i="5"/>
  <c r="J130" i="5"/>
  <c r="K130" i="5"/>
  <c r="L130" i="5"/>
  <c r="M130" i="5"/>
  <c r="N130" i="5"/>
  <c r="O130" i="5"/>
  <c r="P130" i="5"/>
  <c r="Q130" i="5"/>
  <c r="R130" i="5"/>
  <c r="C131" i="5"/>
  <c r="D131" i="5"/>
  <c r="E131" i="5"/>
  <c r="F131" i="5"/>
  <c r="G131" i="5"/>
  <c r="H131" i="5"/>
  <c r="I131" i="5"/>
  <c r="J131" i="5"/>
  <c r="K131" i="5"/>
  <c r="L131" i="5"/>
  <c r="M131" i="5"/>
  <c r="N131" i="5"/>
  <c r="O131" i="5"/>
  <c r="P131" i="5"/>
  <c r="Q131" i="5"/>
  <c r="R131" i="5"/>
  <c r="C132" i="5"/>
  <c r="D132" i="5"/>
  <c r="E132" i="5"/>
  <c r="F132" i="5"/>
  <c r="G132" i="5"/>
  <c r="H132" i="5"/>
  <c r="I132" i="5"/>
  <c r="J132" i="5"/>
  <c r="K132" i="5"/>
  <c r="L132" i="5"/>
  <c r="M132" i="5"/>
  <c r="N132" i="5"/>
  <c r="O132" i="5"/>
  <c r="P132" i="5"/>
  <c r="Q132" i="5"/>
  <c r="R132" i="5"/>
  <c r="C133" i="5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C134" i="5"/>
  <c r="D134" i="5"/>
  <c r="E134" i="5"/>
  <c r="F134" i="5"/>
  <c r="G134" i="5"/>
  <c r="H134" i="5"/>
  <c r="I134" i="5"/>
  <c r="J134" i="5"/>
  <c r="K134" i="5"/>
  <c r="L134" i="5"/>
  <c r="M134" i="5"/>
  <c r="N134" i="5"/>
  <c r="O134" i="5"/>
  <c r="P134" i="5"/>
  <c r="Q134" i="5"/>
  <c r="R134" i="5"/>
  <c r="C135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C136" i="5"/>
  <c r="D136" i="5"/>
  <c r="E136" i="5"/>
  <c r="F136" i="5"/>
  <c r="G136" i="5"/>
  <c r="H136" i="5"/>
  <c r="I136" i="5"/>
  <c r="J136" i="5"/>
  <c r="K136" i="5"/>
  <c r="L136" i="5"/>
  <c r="M136" i="5"/>
  <c r="N136" i="5"/>
  <c r="O136" i="5"/>
  <c r="P136" i="5"/>
  <c r="Q136" i="5"/>
  <c r="R136" i="5"/>
  <c r="C137" i="5"/>
  <c r="D137" i="5"/>
  <c r="E137" i="5"/>
  <c r="F137" i="5"/>
  <c r="G137" i="5"/>
  <c r="H137" i="5"/>
  <c r="I137" i="5"/>
  <c r="J137" i="5"/>
  <c r="K137" i="5"/>
  <c r="L137" i="5"/>
  <c r="M137" i="5"/>
  <c r="N137" i="5"/>
  <c r="O137" i="5"/>
  <c r="P137" i="5"/>
  <c r="Q137" i="5"/>
  <c r="R137" i="5"/>
  <c r="C138" i="5"/>
  <c r="D138" i="5"/>
  <c r="E138" i="5"/>
  <c r="F138" i="5"/>
  <c r="G138" i="5"/>
  <c r="H138" i="5"/>
  <c r="I138" i="5"/>
  <c r="J138" i="5"/>
  <c r="K138" i="5"/>
  <c r="L138" i="5"/>
  <c r="M138" i="5"/>
  <c r="N138" i="5"/>
  <c r="O138" i="5"/>
  <c r="P138" i="5"/>
  <c r="Q138" i="5"/>
  <c r="R138" i="5"/>
  <c r="C139" i="5"/>
  <c r="D139" i="5"/>
  <c r="E139" i="5"/>
  <c r="F139" i="5"/>
  <c r="G139" i="5"/>
  <c r="H139" i="5"/>
  <c r="I139" i="5"/>
  <c r="J139" i="5"/>
  <c r="K139" i="5"/>
  <c r="L139" i="5"/>
  <c r="M139" i="5"/>
  <c r="N139" i="5"/>
  <c r="O139" i="5"/>
  <c r="P139" i="5"/>
  <c r="Q139" i="5"/>
  <c r="R139" i="5"/>
  <c r="C140" i="5"/>
  <c r="D140" i="5"/>
  <c r="E140" i="5"/>
  <c r="F140" i="5"/>
  <c r="G140" i="5"/>
  <c r="H140" i="5"/>
  <c r="I140" i="5"/>
  <c r="J140" i="5"/>
  <c r="K140" i="5"/>
  <c r="L140" i="5"/>
  <c r="M140" i="5"/>
  <c r="N140" i="5"/>
  <c r="O140" i="5"/>
  <c r="P140" i="5"/>
  <c r="Q140" i="5"/>
  <c r="R140" i="5"/>
  <c r="C141" i="5"/>
  <c r="D141" i="5"/>
  <c r="E141" i="5"/>
  <c r="F141" i="5"/>
  <c r="G141" i="5"/>
  <c r="H141" i="5"/>
  <c r="I141" i="5"/>
  <c r="J141" i="5"/>
  <c r="K141" i="5"/>
  <c r="L141" i="5"/>
  <c r="M141" i="5"/>
  <c r="N141" i="5"/>
  <c r="O141" i="5"/>
  <c r="P141" i="5"/>
  <c r="Q141" i="5"/>
  <c r="R141" i="5"/>
  <c r="C142" i="5"/>
  <c r="D142" i="5"/>
  <c r="E142" i="5"/>
  <c r="F142" i="5"/>
  <c r="G142" i="5"/>
  <c r="H142" i="5"/>
  <c r="I142" i="5"/>
  <c r="J142" i="5"/>
  <c r="K142" i="5"/>
  <c r="L142" i="5"/>
  <c r="M142" i="5"/>
  <c r="N142" i="5"/>
  <c r="O142" i="5"/>
  <c r="P142" i="5"/>
  <c r="Q142" i="5"/>
  <c r="R142" i="5"/>
  <c r="C143" i="5"/>
  <c r="D143" i="5"/>
  <c r="E143" i="5"/>
  <c r="F143" i="5"/>
  <c r="G143" i="5"/>
  <c r="H143" i="5"/>
  <c r="I143" i="5"/>
  <c r="J143" i="5"/>
  <c r="K143" i="5"/>
  <c r="L143" i="5"/>
  <c r="M143" i="5"/>
  <c r="N143" i="5"/>
  <c r="O143" i="5"/>
  <c r="P143" i="5"/>
  <c r="Q143" i="5"/>
  <c r="R143" i="5"/>
  <c r="C144" i="5"/>
  <c r="D144" i="5"/>
  <c r="E144" i="5"/>
  <c r="F144" i="5"/>
  <c r="G144" i="5"/>
  <c r="H144" i="5"/>
  <c r="I144" i="5"/>
  <c r="J144" i="5"/>
  <c r="K144" i="5"/>
  <c r="L144" i="5"/>
  <c r="M144" i="5"/>
  <c r="N144" i="5"/>
  <c r="O144" i="5"/>
  <c r="P144" i="5"/>
  <c r="Q144" i="5"/>
  <c r="R144" i="5"/>
  <c r="C145" i="5"/>
  <c r="D145" i="5"/>
  <c r="E145" i="5"/>
  <c r="F145" i="5"/>
  <c r="G145" i="5"/>
  <c r="H145" i="5"/>
  <c r="I145" i="5"/>
  <c r="J145" i="5"/>
  <c r="K145" i="5"/>
  <c r="L145" i="5"/>
  <c r="M145" i="5"/>
  <c r="N145" i="5"/>
  <c r="O145" i="5"/>
  <c r="P145" i="5"/>
  <c r="Q145" i="5"/>
  <c r="R145" i="5"/>
  <c r="C146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P146" i="5"/>
  <c r="Q146" i="5"/>
  <c r="R146" i="5"/>
  <c r="C147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P147" i="5"/>
  <c r="Q147" i="5"/>
  <c r="R147" i="5"/>
  <c r="C148" i="5"/>
  <c r="D148" i="5"/>
  <c r="E148" i="5"/>
  <c r="F148" i="5"/>
  <c r="G148" i="5"/>
  <c r="H148" i="5"/>
  <c r="I148" i="5"/>
  <c r="J148" i="5"/>
  <c r="K148" i="5"/>
  <c r="L148" i="5"/>
  <c r="M148" i="5"/>
  <c r="N148" i="5"/>
  <c r="O148" i="5"/>
  <c r="P148" i="5"/>
  <c r="Q148" i="5"/>
  <c r="R148" i="5"/>
  <c r="C149" i="5"/>
  <c r="D149" i="5"/>
  <c r="E149" i="5"/>
  <c r="F149" i="5"/>
  <c r="G149" i="5"/>
  <c r="H149" i="5"/>
  <c r="I149" i="5"/>
  <c r="J149" i="5"/>
  <c r="K149" i="5"/>
  <c r="L149" i="5"/>
  <c r="M149" i="5"/>
  <c r="N149" i="5"/>
  <c r="O149" i="5"/>
  <c r="P149" i="5"/>
  <c r="Q149" i="5"/>
  <c r="R149" i="5"/>
  <c r="C150" i="5"/>
  <c r="D150" i="5"/>
  <c r="E150" i="5"/>
  <c r="F150" i="5"/>
  <c r="G150" i="5"/>
  <c r="H150" i="5"/>
  <c r="I150" i="5"/>
  <c r="J150" i="5"/>
  <c r="K150" i="5"/>
  <c r="L150" i="5"/>
  <c r="M150" i="5"/>
  <c r="N150" i="5"/>
  <c r="O150" i="5"/>
  <c r="P150" i="5"/>
  <c r="Q150" i="5"/>
  <c r="R150" i="5"/>
  <c r="C151" i="5"/>
  <c r="D151" i="5"/>
  <c r="E151" i="5"/>
  <c r="F151" i="5"/>
  <c r="G151" i="5"/>
  <c r="H151" i="5"/>
  <c r="I151" i="5"/>
  <c r="J151" i="5"/>
  <c r="K151" i="5"/>
  <c r="L151" i="5"/>
  <c r="M151" i="5"/>
  <c r="N151" i="5"/>
  <c r="O151" i="5"/>
  <c r="P151" i="5"/>
  <c r="Q151" i="5"/>
  <c r="R151" i="5"/>
  <c r="C152" i="5"/>
  <c r="D152" i="5"/>
  <c r="E152" i="5"/>
  <c r="F152" i="5"/>
  <c r="G152" i="5"/>
  <c r="H152" i="5"/>
  <c r="I152" i="5"/>
  <c r="J152" i="5"/>
  <c r="K152" i="5"/>
  <c r="L152" i="5"/>
  <c r="M152" i="5"/>
  <c r="N152" i="5"/>
  <c r="O152" i="5"/>
  <c r="P152" i="5"/>
  <c r="Q152" i="5"/>
  <c r="R152" i="5"/>
  <c r="C153" i="5"/>
  <c r="D153" i="5"/>
  <c r="E153" i="5"/>
  <c r="F153" i="5"/>
  <c r="G153" i="5"/>
  <c r="H153" i="5"/>
  <c r="I153" i="5"/>
  <c r="J153" i="5"/>
  <c r="K153" i="5"/>
  <c r="L153" i="5"/>
  <c r="M153" i="5"/>
  <c r="N153" i="5"/>
  <c r="O153" i="5"/>
  <c r="P153" i="5"/>
  <c r="Q153" i="5"/>
  <c r="R153" i="5"/>
  <c r="C154" i="5"/>
  <c r="D154" i="5"/>
  <c r="E154" i="5"/>
  <c r="F154" i="5"/>
  <c r="G154" i="5"/>
  <c r="H154" i="5"/>
  <c r="I154" i="5"/>
  <c r="J154" i="5"/>
  <c r="K154" i="5"/>
  <c r="L154" i="5"/>
  <c r="M154" i="5"/>
  <c r="N154" i="5"/>
  <c r="O154" i="5"/>
  <c r="P154" i="5"/>
  <c r="Q154" i="5"/>
  <c r="R154" i="5"/>
  <c r="C155" i="5"/>
  <c r="D155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C156" i="5"/>
  <c r="D156" i="5"/>
  <c r="E156" i="5"/>
  <c r="F156" i="5"/>
  <c r="G156" i="5"/>
  <c r="H156" i="5"/>
  <c r="I156" i="5"/>
  <c r="J156" i="5"/>
  <c r="K156" i="5"/>
  <c r="L156" i="5"/>
  <c r="M156" i="5"/>
  <c r="N156" i="5"/>
  <c r="O156" i="5"/>
  <c r="P156" i="5"/>
  <c r="Q156" i="5"/>
  <c r="R156" i="5"/>
  <c r="C157" i="5"/>
  <c r="D157" i="5"/>
  <c r="E157" i="5"/>
  <c r="F157" i="5"/>
  <c r="G157" i="5"/>
  <c r="H157" i="5"/>
  <c r="I157" i="5"/>
  <c r="J157" i="5"/>
  <c r="K157" i="5"/>
  <c r="L157" i="5"/>
  <c r="M157" i="5"/>
  <c r="N157" i="5"/>
  <c r="O157" i="5"/>
  <c r="P157" i="5"/>
  <c r="Q157" i="5"/>
  <c r="R157" i="5"/>
  <c r="C158" i="5"/>
  <c r="D158" i="5"/>
  <c r="E158" i="5"/>
  <c r="F158" i="5"/>
  <c r="G158" i="5"/>
  <c r="H158" i="5"/>
  <c r="I158" i="5"/>
  <c r="J158" i="5"/>
  <c r="K158" i="5"/>
  <c r="L158" i="5"/>
  <c r="M158" i="5"/>
  <c r="N158" i="5"/>
  <c r="O158" i="5"/>
  <c r="P158" i="5"/>
  <c r="Q158" i="5"/>
  <c r="R158" i="5"/>
  <c r="C159" i="5"/>
  <c r="D159" i="5"/>
  <c r="E159" i="5"/>
  <c r="F159" i="5"/>
  <c r="G159" i="5"/>
  <c r="H159" i="5"/>
  <c r="I159" i="5"/>
  <c r="J159" i="5"/>
  <c r="K159" i="5"/>
  <c r="L159" i="5"/>
  <c r="M159" i="5"/>
  <c r="N159" i="5"/>
  <c r="O159" i="5"/>
  <c r="P159" i="5"/>
  <c r="Q159" i="5"/>
  <c r="R159" i="5"/>
  <c r="C160" i="5"/>
  <c r="D160" i="5"/>
  <c r="E160" i="5"/>
  <c r="F160" i="5"/>
  <c r="G160" i="5"/>
  <c r="H160" i="5"/>
  <c r="I160" i="5"/>
  <c r="J160" i="5"/>
  <c r="K160" i="5"/>
  <c r="L160" i="5"/>
  <c r="M160" i="5"/>
  <c r="N160" i="5"/>
  <c r="O160" i="5"/>
  <c r="P160" i="5"/>
  <c r="Q160" i="5"/>
  <c r="R160" i="5"/>
  <c r="C161" i="5"/>
  <c r="D161" i="5"/>
  <c r="E161" i="5"/>
  <c r="F161" i="5"/>
  <c r="G161" i="5"/>
  <c r="H161" i="5"/>
  <c r="I161" i="5"/>
  <c r="J161" i="5"/>
  <c r="K161" i="5"/>
  <c r="L161" i="5"/>
  <c r="M161" i="5"/>
  <c r="N161" i="5"/>
  <c r="O161" i="5"/>
  <c r="P161" i="5"/>
  <c r="Q161" i="5"/>
  <c r="R161" i="5"/>
  <c r="C162" i="5"/>
  <c r="D162" i="5"/>
  <c r="E162" i="5"/>
  <c r="F162" i="5"/>
  <c r="G162" i="5"/>
  <c r="H162" i="5"/>
  <c r="I162" i="5"/>
  <c r="J162" i="5"/>
  <c r="K162" i="5"/>
  <c r="L162" i="5"/>
  <c r="M162" i="5"/>
  <c r="N162" i="5"/>
  <c r="O162" i="5"/>
  <c r="P162" i="5"/>
  <c r="Q162" i="5"/>
  <c r="R162" i="5"/>
  <c r="C163" i="5"/>
  <c r="D163" i="5"/>
  <c r="E163" i="5"/>
  <c r="F163" i="5"/>
  <c r="G163" i="5"/>
  <c r="H163" i="5"/>
  <c r="I163" i="5"/>
  <c r="J163" i="5"/>
  <c r="K163" i="5"/>
  <c r="L163" i="5"/>
  <c r="M163" i="5"/>
  <c r="N163" i="5"/>
  <c r="O163" i="5"/>
  <c r="P163" i="5"/>
  <c r="Q163" i="5"/>
  <c r="R163" i="5"/>
  <c r="C164" i="5"/>
  <c r="D164" i="5"/>
  <c r="E164" i="5"/>
  <c r="F164" i="5"/>
  <c r="G164" i="5"/>
  <c r="H164" i="5"/>
  <c r="I164" i="5"/>
  <c r="J164" i="5"/>
  <c r="K164" i="5"/>
  <c r="L164" i="5"/>
  <c r="M164" i="5"/>
  <c r="N164" i="5"/>
  <c r="O164" i="5"/>
  <c r="P164" i="5"/>
  <c r="Q164" i="5"/>
  <c r="R164" i="5"/>
  <c r="C165" i="5"/>
  <c r="D165" i="5"/>
  <c r="E165" i="5"/>
  <c r="F165" i="5"/>
  <c r="G165" i="5"/>
  <c r="H165" i="5"/>
  <c r="I165" i="5"/>
  <c r="J165" i="5"/>
  <c r="K165" i="5"/>
  <c r="L165" i="5"/>
  <c r="M165" i="5"/>
  <c r="N165" i="5"/>
  <c r="O165" i="5"/>
  <c r="P165" i="5"/>
  <c r="Q165" i="5"/>
  <c r="R165" i="5"/>
  <c r="C166" i="5"/>
  <c r="D166" i="5"/>
  <c r="E166" i="5"/>
  <c r="F166" i="5"/>
  <c r="G166" i="5"/>
  <c r="H166" i="5"/>
  <c r="I166" i="5"/>
  <c r="J166" i="5"/>
  <c r="K166" i="5"/>
  <c r="L166" i="5"/>
  <c r="M166" i="5"/>
  <c r="N166" i="5"/>
  <c r="O166" i="5"/>
  <c r="P166" i="5"/>
  <c r="Q166" i="5"/>
  <c r="R166" i="5"/>
  <c r="C167" i="5"/>
  <c r="D167" i="5"/>
  <c r="E167" i="5"/>
  <c r="F167" i="5"/>
  <c r="G167" i="5"/>
  <c r="H167" i="5"/>
  <c r="I167" i="5"/>
  <c r="J167" i="5"/>
  <c r="K167" i="5"/>
  <c r="L167" i="5"/>
  <c r="M167" i="5"/>
  <c r="N167" i="5"/>
  <c r="O167" i="5"/>
  <c r="P167" i="5"/>
  <c r="Q167" i="5"/>
  <c r="R167" i="5"/>
  <c r="C168" i="5"/>
  <c r="D168" i="5"/>
  <c r="E168" i="5"/>
  <c r="F168" i="5"/>
  <c r="G168" i="5"/>
  <c r="H168" i="5"/>
  <c r="I168" i="5"/>
  <c r="J168" i="5"/>
  <c r="K168" i="5"/>
  <c r="L168" i="5"/>
  <c r="M168" i="5"/>
  <c r="N168" i="5"/>
  <c r="O168" i="5"/>
  <c r="P168" i="5"/>
  <c r="Q168" i="5"/>
  <c r="R168" i="5"/>
  <c r="C169" i="5"/>
  <c r="D169" i="5"/>
  <c r="E169" i="5"/>
  <c r="F169" i="5"/>
  <c r="G169" i="5"/>
  <c r="H169" i="5"/>
  <c r="I169" i="5"/>
  <c r="J169" i="5"/>
  <c r="K169" i="5"/>
  <c r="L169" i="5"/>
  <c r="M169" i="5"/>
  <c r="N169" i="5"/>
  <c r="O169" i="5"/>
  <c r="P169" i="5"/>
  <c r="Q169" i="5"/>
  <c r="R169" i="5"/>
  <c r="C170" i="5"/>
  <c r="D170" i="5"/>
  <c r="E170" i="5"/>
  <c r="F170" i="5"/>
  <c r="G170" i="5"/>
  <c r="H170" i="5"/>
  <c r="I170" i="5"/>
  <c r="J170" i="5"/>
  <c r="K170" i="5"/>
  <c r="L170" i="5"/>
  <c r="M170" i="5"/>
  <c r="N170" i="5"/>
  <c r="O170" i="5"/>
  <c r="P170" i="5"/>
  <c r="Q170" i="5"/>
  <c r="R170" i="5"/>
  <c r="C171" i="5"/>
  <c r="D171" i="5"/>
  <c r="E171" i="5"/>
  <c r="F171" i="5"/>
  <c r="G171" i="5"/>
  <c r="H171" i="5"/>
  <c r="I171" i="5"/>
  <c r="J171" i="5"/>
  <c r="K171" i="5"/>
  <c r="L171" i="5"/>
  <c r="M171" i="5"/>
  <c r="N171" i="5"/>
  <c r="O171" i="5"/>
  <c r="P171" i="5"/>
  <c r="Q171" i="5"/>
  <c r="R171" i="5"/>
  <c r="C172" i="5"/>
  <c r="D172" i="5"/>
  <c r="E172" i="5"/>
  <c r="F172" i="5"/>
  <c r="G172" i="5"/>
  <c r="H172" i="5"/>
  <c r="I172" i="5"/>
  <c r="J172" i="5"/>
  <c r="K172" i="5"/>
  <c r="L172" i="5"/>
  <c r="M172" i="5"/>
  <c r="N172" i="5"/>
  <c r="O172" i="5"/>
  <c r="P172" i="5"/>
  <c r="Q172" i="5"/>
  <c r="R172" i="5"/>
  <c r="C173" i="5"/>
  <c r="D173" i="5"/>
  <c r="E173" i="5"/>
  <c r="F173" i="5"/>
  <c r="G173" i="5"/>
  <c r="H173" i="5"/>
  <c r="I173" i="5"/>
  <c r="J173" i="5"/>
  <c r="K173" i="5"/>
  <c r="L173" i="5"/>
  <c r="M173" i="5"/>
  <c r="N173" i="5"/>
  <c r="O173" i="5"/>
  <c r="P173" i="5"/>
  <c r="Q173" i="5"/>
  <c r="R173" i="5"/>
  <c r="C174" i="5"/>
  <c r="D174" i="5"/>
  <c r="E174" i="5"/>
  <c r="F174" i="5"/>
  <c r="G174" i="5"/>
  <c r="H174" i="5"/>
  <c r="I174" i="5"/>
  <c r="J174" i="5"/>
  <c r="K174" i="5"/>
  <c r="L174" i="5"/>
  <c r="M174" i="5"/>
  <c r="N174" i="5"/>
  <c r="O174" i="5"/>
  <c r="P174" i="5"/>
  <c r="Q174" i="5"/>
  <c r="R174" i="5"/>
  <c r="C175" i="5"/>
  <c r="D175" i="5"/>
  <c r="E175" i="5"/>
  <c r="F175" i="5"/>
  <c r="G175" i="5"/>
  <c r="H175" i="5"/>
  <c r="I175" i="5"/>
  <c r="J175" i="5"/>
  <c r="K175" i="5"/>
  <c r="L175" i="5"/>
  <c r="M175" i="5"/>
  <c r="N175" i="5"/>
  <c r="O175" i="5"/>
  <c r="P175" i="5"/>
  <c r="Q175" i="5"/>
  <c r="R175" i="5"/>
  <c r="C176" i="5"/>
  <c r="D176" i="5"/>
  <c r="E176" i="5"/>
  <c r="F176" i="5"/>
  <c r="G176" i="5"/>
  <c r="H176" i="5"/>
  <c r="I176" i="5"/>
  <c r="J176" i="5"/>
  <c r="K176" i="5"/>
  <c r="L176" i="5"/>
  <c r="M176" i="5"/>
  <c r="N176" i="5"/>
  <c r="O176" i="5"/>
  <c r="P176" i="5"/>
  <c r="Q176" i="5"/>
  <c r="R176" i="5"/>
  <c r="C177" i="5"/>
  <c r="D177" i="5"/>
  <c r="E177" i="5"/>
  <c r="F177" i="5"/>
  <c r="G177" i="5"/>
  <c r="H177" i="5"/>
  <c r="I177" i="5"/>
  <c r="J177" i="5"/>
  <c r="K177" i="5"/>
  <c r="L177" i="5"/>
  <c r="M177" i="5"/>
  <c r="N177" i="5"/>
  <c r="O177" i="5"/>
  <c r="P177" i="5"/>
  <c r="Q177" i="5"/>
  <c r="R177" i="5"/>
  <c r="C178" i="5"/>
  <c r="D178" i="5"/>
  <c r="E178" i="5"/>
  <c r="F178" i="5"/>
  <c r="G178" i="5"/>
  <c r="H178" i="5"/>
  <c r="I178" i="5"/>
  <c r="J178" i="5"/>
  <c r="K178" i="5"/>
  <c r="L178" i="5"/>
  <c r="M178" i="5"/>
  <c r="N178" i="5"/>
  <c r="O178" i="5"/>
  <c r="P178" i="5"/>
  <c r="Q178" i="5"/>
  <c r="R178" i="5"/>
  <c r="C179" i="5"/>
  <c r="D179" i="5"/>
  <c r="E179" i="5"/>
  <c r="F179" i="5"/>
  <c r="G179" i="5"/>
  <c r="H179" i="5"/>
  <c r="I179" i="5"/>
  <c r="J179" i="5"/>
  <c r="K179" i="5"/>
  <c r="L179" i="5"/>
  <c r="M179" i="5"/>
  <c r="N179" i="5"/>
  <c r="O179" i="5"/>
  <c r="P179" i="5"/>
  <c r="Q179" i="5"/>
  <c r="R179" i="5"/>
  <c r="C180" i="5"/>
  <c r="D180" i="5"/>
  <c r="E180" i="5"/>
  <c r="F180" i="5"/>
  <c r="G180" i="5"/>
  <c r="H180" i="5"/>
  <c r="I180" i="5"/>
  <c r="J180" i="5"/>
  <c r="K180" i="5"/>
  <c r="L180" i="5"/>
  <c r="M180" i="5"/>
  <c r="N180" i="5"/>
  <c r="O180" i="5"/>
  <c r="P180" i="5"/>
  <c r="Q180" i="5"/>
  <c r="R180" i="5"/>
  <c r="C181" i="5"/>
  <c r="D181" i="5"/>
  <c r="E181" i="5"/>
  <c r="F181" i="5"/>
  <c r="G181" i="5"/>
  <c r="H181" i="5"/>
  <c r="I181" i="5"/>
  <c r="J181" i="5"/>
  <c r="K181" i="5"/>
  <c r="L181" i="5"/>
  <c r="M181" i="5"/>
  <c r="N181" i="5"/>
  <c r="O181" i="5"/>
  <c r="P181" i="5"/>
  <c r="Q181" i="5"/>
  <c r="R181" i="5"/>
  <c r="C182" i="5"/>
  <c r="D182" i="5"/>
  <c r="E182" i="5"/>
  <c r="F182" i="5"/>
  <c r="G182" i="5"/>
  <c r="H182" i="5"/>
  <c r="I182" i="5"/>
  <c r="J182" i="5"/>
  <c r="K182" i="5"/>
  <c r="L182" i="5"/>
  <c r="M182" i="5"/>
  <c r="N182" i="5"/>
  <c r="O182" i="5"/>
  <c r="P182" i="5"/>
  <c r="Q182" i="5"/>
  <c r="R182" i="5"/>
  <c r="C183" i="5"/>
  <c r="D183" i="5"/>
  <c r="E183" i="5"/>
  <c r="F183" i="5"/>
  <c r="G183" i="5"/>
  <c r="H183" i="5"/>
  <c r="I183" i="5"/>
  <c r="J183" i="5"/>
  <c r="K183" i="5"/>
  <c r="L183" i="5"/>
  <c r="M183" i="5"/>
  <c r="N183" i="5"/>
  <c r="O183" i="5"/>
  <c r="P183" i="5"/>
  <c r="Q183" i="5"/>
  <c r="R183" i="5"/>
  <c r="C184" i="5"/>
  <c r="D184" i="5"/>
  <c r="E184" i="5"/>
  <c r="F184" i="5"/>
  <c r="G184" i="5"/>
  <c r="H184" i="5"/>
  <c r="I184" i="5"/>
  <c r="J184" i="5"/>
  <c r="K184" i="5"/>
  <c r="L184" i="5"/>
  <c r="M184" i="5"/>
  <c r="N184" i="5"/>
  <c r="O184" i="5"/>
  <c r="P184" i="5"/>
  <c r="Q184" i="5"/>
  <c r="R184" i="5"/>
  <c r="C185" i="5"/>
  <c r="D185" i="5"/>
  <c r="E185" i="5"/>
  <c r="F185" i="5"/>
  <c r="G185" i="5"/>
  <c r="H185" i="5"/>
  <c r="I185" i="5"/>
  <c r="J185" i="5"/>
  <c r="K185" i="5"/>
  <c r="L185" i="5"/>
  <c r="M185" i="5"/>
  <c r="N185" i="5"/>
  <c r="O185" i="5"/>
  <c r="P185" i="5"/>
  <c r="Q185" i="5"/>
  <c r="R185" i="5"/>
  <c r="C186" i="5"/>
  <c r="D186" i="5"/>
  <c r="E186" i="5"/>
  <c r="F186" i="5"/>
  <c r="G186" i="5"/>
  <c r="H186" i="5"/>
  <c r="I186" i="5"/>
  <c r="J186" i="5"/>
  <c r="K186" i="5"/>
  <c r="L186" i="5"/>
  <c r="M186" i="5"/>
  <c r="N186" i="5"/>
  <c r="O186" i="5"/>
  <c r="P186" i="5"/>
  <c r="Q186" i="5"/>
  <c r="R186" i="5"/>
  <c r="C187" i="5"/>
  <c r="D187" i="5"/>
  <c r="E187" i="5"/>
  <c r="F187" i="5"/>
  <c r="G187" i="5"/>
  <c r="H187" i="5"/>
  <c r="I187" i="5"/>
  <c r="J187" i="5"/>
  <c r="K187" i="5"/>
  <c r="L187" i="5"/>
  <c r="M187" i="5"/>
  <c r="N187" i="5"/>
  <c r="O187" i="5"/>
  <c r="P187" i="5"/>
  <c r="Q187" i="5"/>
  <c r="R187" i="5"/>
  <c r="C188" i="5"/>
  <c r="D188" i="5"/>
  <c r="E188" i="5"/>
  <c r="F188" i="5"/>
  <c r="G188" i="5"/>
  <c r="H188" i="5"/>
  <c r="I188" i="5"/>
  <c r="J188" i="5"/>
  <c r="K188" i="5"/>
  <c r="L188" i="5"/>
  <c r="M188" i="5"/>
  <c r="N188" i="5"/>
  <c r="O188" i="5"/>
  <c r="P188" i="5"/>
  <c r="Q188" i="5"/>
  <c r="R188" i="5"/>
  <c r="C189" i="5"/>
  <c r="D189" i="5"/>
  <c r="E189" i="5"/>
  <c r="F189" i="5"/>
  <c r="G189" i="5"/>
  <c r="H189" i="5"/>
  <c r="I189" i="5"/>
  <c r="J189" i="5"/>
  <c r="K189" i="5"/>
  <c r="L189" i="5"/>
  <c r="M189" i="5"/>
  <c r="N189" i="5"/>
  <c r="O189" i="5"/>
  <c r="P189" i="5"/>
  <c r="Q189" i="5"/>
  <c r="R189" i="5"/>
  <c r="C190" i="5"/>
  <c r="D190" i="5"/>
  <c r="E190" i="5"/>
  <c r="F190" i="5"/>
  <c r="G190" i="5"/>
  <c r="H190" i="5"/>
  <c r="I190" i="5"/>
  <c r="J190" i="5"/>
  <c r="K190" i="5"/>
  <c r="L190" i="5"/>
  <c r="M190" i="5"/>
  <c r="N190" i="5"/>
  <c r="O190" i="5"/>
  <c r="P190" i="5"/>
  <c r="Q190" i="5"/>
  <c r="R190" i="5"/>
  <c r="C191" i="5"/>
  <c r="D191" i="5"/>
  <c r="E191" i="5"/>
  <c r="F191" i="5"/>
  <c r="G191" i="5"/>
  <c r="H191" i="5"/>
  <c r="I191" i="5"/>
  <c r="J191" i="5"/>
  <c r="K191" i="5"/>
  <c r="L191" i="5"/>
  <c r="M191" i="5"/>
  <c r="N191" i="5"/>
  <c r="O191" i="5"/>
  <c r="P191" i="5"/>
  <c r="Q191" i="5"/>
  <c r="R191" i="5"/>
  <c r="C192" i="5"/>
  <c r="D192" i="5"/>
  <c r="E192" i="5"/>
  <c r="F192" i="5"/>
  <c r="G192" i="5"/>
  <c r="H192" i="5"/>
  <c r="I192" i="5"/>
  <c r="J192" i="5"/>
  <c r="K192" i="5"/>
  <c r="L192" i="5"/>
  <c r="M192" i="5"/>
  <c r="N192" i="5"/>
  <c r="O192" i="5"/>
  <c r="P192" i="5"/>
  <c r="Q192" i="5"/>
  <c r="R192" i="5"/>
  <c r="C193" i="5"/>
  <c r="D193" i="5"/>
  <c r="E193" i="5"/>
  <c r="F193" i="5"/>
  <c r="G193" i="5"/>
  <c r="H193" i="5"/>
  <c r="I193" i="5"/>
  <c r="J193" i="5"/>
  <c r="K193" i="5"/>
  <c r="L193" i="5"/>
  <c r="M193" i="5"/>
  <c r="N193" i="5"/>
  <c r="O193" i="5"/>
  <c r="P193" i="5"/>
  <c r="Q193" i="5"/>
  <c r="R193" i="5"/>
  <c r="C194" i="5"/>
  <c r="D194" i="5"/>
  <c r="E194" i="5"/>
  <c r="F194" i="5"/>
  <c r="G194" i="5"/>
  <c r="H194" i="5"/>
  <c r="I194" i="5"/>
  <c r="J194" i="5"/>
  <c r="K194" i="5"/>
  <c r="L194" i="5"/>
  <c r="M194" i="5"/>
  <c r="N194" i="5"/>
  <c r="O194" i="5"/>
  <c r="P194" i="5"/>
  <c r="Q194" i="5"/>
  <c r="R194" i="5"/>
  <c r="C195" i="5"/>
  <c r="D195" i="5"/>
  <c r="E195" i="5"/>
  <c r="F195" i="5"/>
  <c r="G195" i="5"/>
  <c r="H195" i="5"/>
  <c r="I195" i="5"/>
  <c r="J195" i="5"/>
  <c r="K195" i="5"/>
  <c r="L195" i="5"/>
  <c r="M195" i="5"/>
  <c r="N195" i="5"/>
  <c r="O195" i="5"/>
  <c r="P195" i="5"/>
  <c r="Q195" i="5"/>
  <c r="R195" i="5"/>
  <c r="C196" i="5"/>
  <c r="D196" i="5"/>
  <c r="E196" i="5"/>
  <c r="F196" i="5"/>
  <c r="G196" i="5"/>
  <c r="H196" i="5"/>
  <c r="I196" i="5"/>
  <c r="J196" i="5"/>
  <c r="K196" i="5"/>
  <c r="L196" i="5"/>
  <c r="M196" i="5"/>
  <c r="N196" i="5"/>
  <c r="O196" i="5"/>
  <c r="P196" i="5"/>
  <c r="Q196" i="5"/>
  <c r="R196" i="5"/>
  <c r="C197" i="5"/>
  <c r="D197" i="5"/>
  <c r="E197" i="5"/>
  <c r="F197" i="5"/>
  <c r="G197" i="5"/>
  <c r="H197" i="5"/>
  <c r="I197" i="5"/>
  <c r="J197" i="5"/>
  <c r="K197" i="5"/>
  <c r="L197" i="5"/>
  <c r="M197" i="5"/>
  <c r="N197" i="5"/>
  <c r="O197" i="5"/>
  <c r="P197" i="5"/>
  <c r="Q197" i="5"/>
  <c r="R197" i="5"/>
  <c r="C198" i="5"/>
  <c r="D198" i="5"/>
  <c r="E198" i="5"/>
  <c r="F198" i="5"/>
  <c r="G198" i="5"/>
  <c r="H198" i="5"/>
  <c r="I198" i="5"/>
  <c r="J198" i="5"/>
  <c r="K198" i="5"/>
  <c r="L198" i="5"/>
  <c r="M198" i="5"/>
  <c r="N198" i="5"/>
  <c r="O198" i="5"/>
  <c r="P198" i="5"/>
  <c r="Q198" i="5"/>
  <c r="R198" i="5"/>
  <c r="C199" i="5"/>
  <c r="D199" i="5"/>
  <c r="E199" i="5"/>
  <c r="F199" i="5"/>
  <c r="G199" i="5"/>
  <c r="H199" i="5"/>
  <c r="I199" i="5"/>
  <c r="J199" i="5"/>
  <c r="K199" i="5"/>
  <c r="L199" i="5"/>
  <c r="M199" i="5"/>
  <c r="N199" i="5"/>
  <c r="O199" i="5"/>
  <c r="P199" i="5"/>
  <c r="Q199" i="5"/>
  <c r="R199" i="5"/>
  <c r="C200" i="5"/>
  <c r="D200" i="5"/>
  <c r="E200" i="5"/>
  <c r="F200" i="5"/>
  <c r="G200" i="5"/>
  <c r="H200" i="5"/>
  <c r="I200" i="5"/>
  <c r="J200" i="5"/>
  <c r="K200" i="5"/>
  <c r="L200" i="5"/>
  <c r="M200" i="5"/>
  <c r="N200" i="5"/>
  <c r="O200" i="5"/>
  <c r="P200" i="5"/>
  <c r="Q200" i="5"/>
  <c r="R200" i="5"/>
  <c r="C201" i="5"/>
  <c r="D201" i="5"/>
  <c r="E201" i="5"/>
  <c r="F201" i="5"/>
  <c r="G201" i="5"/>
  <c r="H201" i="5"/>
  <c r="I201" i="5"/>
  <c r="J201" i="5"/>
  <c r="K201" i="5"/>
  <c r="L201" i="5"/>
  <c r="M201" i="5"/>
  <c r="N201" i="5"/>
  <c r="O201" i="5"/>
  <c r="P201" i="5"/>
  <c r="Q201" i="5"/>
  <c r="R201" i="5"/>
  <c r="C202" i="5"/>
  <c r="D202" i="5"/>
  <c r="E202" i="5"/>
  <c r="F202" i="5"/>
  <c r="G202" i="5"/>
  <c r="H202" i="5"/>
  <c r="I202" i="5"/>
  <c r="J202" i="5"/>
  <c r="K202" i="5"/>
  <c r="L202" i="5"/>
  <c r="M202" i="5"/>
  <c r="N202" i="5"/>
  <c r="O202" i="5"/>
  <c r="P202" i="5"/>
  <c r="Q202" i="5"/>
  <c r="R202" i="5"/>
  <c r="C203" i="5"/>
  <c r="D203" i="5"/>
  <c r="E203" i="5"/>
  <c r="F203" i="5"/>
  <c r="G203" i="5"/>
  <c r="H203" i="5"/>
  <c r="I203" i="5"/>
  <c r="J203" i="5"/>
  <c r="K203" i="5"/>
  <c r="L203" i="5"/>
  <c r="M203" i="5"/>
  <c r="N203" i="5"/>
  <c r="O203" i="5"/>
  <c r="P203" i="5"/>
  <c r="Q203" i="5"/>
  <c r="R203" i="5"/>
  <c r="C204" i="5"/>
  <c r="D204" i="5"/>
  <c r="E204" i="5"/>
  <c r="F204" i="5"/>
  <c r="G204" i="5"/>
  <c r="H204" i="5"/>
  <c r="I204" i="5"/>
  <c r="J204" i="5"/>
  <c r="K204" i="5"/>
  <c r="L204" i="5"/>
  <c r="M204" i="5"/>
  <c r="N204" i="5"/>
  <c r="O204" i="5"/>
  <c r="P204" i="5"/>
  <c r="Q204" i="5"/>
  <c r="R204" i="5"/>
  <c r="C205" i="5"/>
  <c r="D205" i="5"/>
  <c r="E205" i="5"/>
  <c r="F205" i="5"/>
  <c r="G205" i="5"/>
  <c r="H205" i="5"/>
  <c r="I205" i="5"/>
  <c r="J205" i="5"/>
  <c r="K205" i="5"/>
  <c r="L205" i="5"/>
  <c r="M205" i="5"/>
  <c r="N205" i="5"/>
  <c r="O205" i="5"/>
  <c r="P205" i="5"/>
  <c r="Q205" i="5"/>
  <c r="R205" i="5"/>
  <c r="C206" i="5"/>
  <c r="D206" i="5"/>
  <c r="E206" i="5"/>
  <c r="F206" i="5"/>
  <c r="G206" i="5"/>
  <c r="H206" i="5"/>
  <c r="I206" i="5"/>
  <c r="J206" i="5"/>
  <c r="K206" i="5"/>
  <c r="L206" i="5"/>
  <c r="M206" i="5"/>
  <c r="N206" i="5"/>
  <c r="O206" i="5"/>
  <c r="P206" i="5"/>
  <c r="Q206" i="5"/>
  <c r="R206" i="5"/>
  <c r="C207" i="5"/>
  <c r="D207" i="5"/>
  <c r="E207" i="5"/>
  <c r="F207" i="5"/>
  <c r="G207" i="5"/>
  <c r="H207" i="5"/>
  <c r="I207" i="5"/>
  <c r="J207" i="5"/>
  <c r="K207" i="5"/>
  <c r="L207" i="5"/>
  <c r="M207" i="5"/>
  <c r="N207" i="5"/>
  <c r="O207" i="5"/>
  <c r="P207" i="5"/>
  <c r="Q207" i="5"/>
  <c r="R207" i="5"/>
  <c r="C208" i="5"/>
  <c r="D208" i="5"/>
  <c r="E208" i="5"/>
  <c r="F208" i="5"/>
  <c r="G208" i="5"/>
  <c r="H208" i="5"/>
  <c r="I208" i="5"/>
  <c r="J208" i="5"/>
  <c r="K208" i="5"/>
  <c r="L208" i="5"/>
  <c r="M208" i="5"/>
  <c r="N208" i="5"/>
  <c r="O208" i="5"/>
  <c r="P208" i="5"/>
  <c r="Q208" i="5"/>
  <c r="R208" i="5"/>
  <c r="C209" i="5"/>
  <c r="D209" i="5"/>
  <c r="E209" i="5"/>
  <c r="F209" i="5"/>
  <c r="G209" i="5"/>
  <c r="H209" i="5"/>
  <c r="I209" i="5"/>
  <c r="J209" i="5"/>
  <c r="K209" i="5"/>
  <c r="L209" i="5"/>
  <c r="M209" i="5"/>
  <c r="N209" i="5"/>
  <c r="O209" i="5"/>
  <c r="P209" i="5"/>
  <c r="Q209" i="5"/>
  <c r="R209" i="5"/>
  <c r="C210" i="5"/>
  <c r="D210" i="5"/>
  <c r="E210" i="5"/>
  <c r="F210" i="5"/>
  <c r="G210" i="5"/>
  <c r="H210" i="5"/>
  <c r="I210" i="5"/>
  <c r="J210" i="5"/>
  <c r="K210" i="5"/>
  <c r="L210" i="5"/>
  <c r="M210" i="5"/>
  <c r="N210" i="5"/>
  <c r="O210" i="5"/>
  <c r="P210" i="5"/>
  <c r="Q210" i="5"/>
  <c r="R210" i="5"/>
  <c r="C211" i="5"/>
  <c r="D211" i="5"/>
  <c r="E211" i="5"/>
  <c r="F211" i="5"/>
  <c r="G211" i="5"/>
  <c r="H211" i="5"/>
  <c r="I211" i="5"/>
  <c r="J211" i="5"/>
  <c r="K211" i="5"/>
  <c r="L211" i="5"/>
  <c r="M211" i="5"/>
  <c r="N211" i="5"/>
  <c r="O211" i="5"/>
  <c r="P211" i="5"/>
  <c r="Q211" i="5"/>
  <c r="R211" i="5"/>
  <c r="C212" i="5"/>
  <c r="D212" i="5"/>
  <c r="E212" i="5"/>
  <c r="F212" i="5"/>
  <c r="G212" i="5"/>
  <c r="H212" i="5"/>
  <c r="I212" i="5"/>
  <c r="J212" i="5"/>
  <c r="K212" i="5"/>
  <c r="L212" i="5"/>
  <c r="M212" i="5"/>
  <c r="N212" i="5"/>
  <c r="O212" i="5"/>
  <c r="P212" i="5"/>
  <c r="Q212" i="5"/>
  <c r="R212" i="5"/>
  <c r="C213" i="5"/>
  <c r="D213" i="5"/>
  <c r="E213" i="5"/>
  <c r="F213" i="5"/>
  <c r="G213" i="5"/>
  <c r="H213" i="5"/>
  <c r="I213" i="5"/>
  <c r="J213" i="5"/>
  <c r="K213" i="5"/>
  <c r="L213" i="5"/>
  <c r="M213" i="5"/>
  <c r="N213" i="5"/>
  <c r="O213" i="5"/>
  <c r="P213" i="5"/>
  <c r="Q213" i="5"/>
  <c r="R213" i="5"/>
  <c r="C214" i="5"/>
  <c r="D214" i="5"/>
  <c r="E214" i="5"/>
  <c r="F214" i="5"/>
  <c r="G214" i="5"/>
  <c r="H214" i="5"/>
  <c r="I214" i="5"/>
  <c r="J214" i="5"/>
  <c r="K214" i="5"/>
  <c r="L214" i="5"/>
  <c r="M214" i="5"/>
  <c r="N214" i="5"/>
  <c r="O214" i="5"/>
  <c r="P214" i="5"/>
  <c r="Q214" i="5"/>
  <c r="R214" i="5"/>
  <c r="C215" i="5"/>
  <c r="D215" i="5"/>
  <c r="E215" i="5"/>
  <c r="F215" i="5"/>
  <c r="G215" i="5"/>
  <c r="H215" i="5"/>
  <c r="I215" i="5"/>
  <c r="J215" i="5"/>
  <c r="K215" i="5"/>
  <c r="L215" i="5"/>
  <c r="M215" i="5"/>
  <c r="N215" i="5"/>
  <c r="O215" i="5"/>
  <c r="P215" i="5"/>
  <c r="Q215" i="5"/>
  <c r="R215" i="5"/>
  <c r="C216" i="5"/>
  <c r="D216" i="5"/>
  <c r="E216" i="5"/>
  <c r="F216" i="5"/>
  <c r="G216" i="5"/>
  <c r="H216" i="5"/>
  <c r="I216" i="5"/>
  <c r="J216" i="5"/>
  <c r="K216" i="5"/>
  <c r="L216" i="5"/>
  <c r="M216" i="5"/>
  <c r="N216" i="5"/>
  <c r="O216" i="5"/>
  <c r="P216" i="5"/>
  <c r="Q216" i="5"/>
  <c r="R216" i="5"/>
  <c r="C217" i="5"/>
  <c r="D217" i="5"/>
  <c r="E217" i="5"/>
  <c r="F217" i="5"/>
  <c r="G217" i="5"/>
  <c r="H217" i="5"/>
  <c r="I217" i="5"/>
  <c r="J217" i="5"/>
  <c r="K217" i="5"/>
  <c r="L217" i="5"/>
  <c r="M217" i="5"/>
  <c r="N217" i="5"/>
  <c r="O217" i="5"/>
  <c r="P217" i="5"/>
  <c r="Q217" i="5"/>
  <c r="R217" i="5"/>
  <c r="C218" i="5"/>
  <c r="D218" i="5"/>
  <c r="E218" i="5"/>
  <c r="F218" i="5"/>
  <c r="G218" i="5"/>
  <c r="H218" i="5"/>
  <c r="I218" i="5"/>
  <c r="J218" i="5"/>
  <c r="K218" i="5"/>
  <c r="L218" i="5"/>
  <c r="M218" i="5"/>
  <c r="N218" i="5"/>
  <c r="O218" i="5"/>
  <c r="P218" i="5"/>
  <c r="Q218" i="5"/>
  <c r="R218" i="5"/>
  <c r="C219" i="5"/>
  <c r="D219" i="5"/>
  <c r="E219" i="5"/>
  <c r="F219" i="5"/>
  <c r="G219" i="5"/>
  <c r="H219" i="5"/>
  <c r="I219" i="5"/>
  <c r="J219" i="5"/>
  <c r="K219" i="5"/>
  <c r="L219" i="5"/>
  <c r="M219" i="5"/>
  <c r="N219" i="5"/>
  <c r="O219" i="5"/>
  <c r="P219" i="5"/>
  <c r="Q219" i="5"/>
  <c r="R219" i="5"/>
  <c r="C220" i="5"/>
  <c r="D220" i="5"/>
  <c r="E220" i="5"/>
  <c r="F220" i="5"/>
  <c r="G220" i="5"/>
  <c r="H220" i="5"/>
  <c r="I220" i="5"/>
  <c r="J220" i="5"/>
  <c r="K220" i="5"/>
  <c r="L220" i="5"/>
  <c r="M220" i="5"/>
  <c r="N220" i="5"/>
  <c r="O220" i="5"/>
  <c r="P220" i="5"/>
  <c r="Q220" i="5"/>
  <c r="R220" i="5"/>
  <c r="C221" i="5"/>
  <c r="D221" i="5"/>
  <c r="E221" i="5"/>
  <c r="F221" i="5"/>
  <c r="G221" i="5"/>
  <c r="H221" i="5"/>
  <c r="I221" i="5"/>
  <c r="J221" i="5"/>
  <c r="K221" i="5"/>
  <c r="L221" i="5"/>
  <c r="M221" i="5"/>
  <c r="N221" i="5"/>
  <c r="O221" i="5"/>
  <c r="P221" i="5"/>
  <c r="Q221" i="5"/>
  <c r="R221" i="5"/>
  <c r="C222" i="5"/>
  <c r="D222" i="5"/>
  <c r="E222" i="5"/>
  <c r="F222" i="5"/>
  <c r="G222" i="5"/>
  <c r="H222" i="5"/>
  <c r="I222" i="5"/>
  <c r="J222" i="5"/>
  <c r="K222" i="5"/>
  <c r="L222" i="5"/>
  <c r="M222" i="5"/>
  <c r="N222" i="5"/>
  <c r="O222" i="5"/>
  <c r="P222" i="5"/>
  <c r="Q222" i="5"/>
  <c r="R222" i="5"/>
  <c r="C223" i="5"/>
  <c r="D223" i="5"/>
  <c r="E223" i="5"/>
  <c r="F223" i="5"/>
  <c r="G223" i="5"/>
  <c r="H223" i="5"/>
  <c r="I223" i="5"/>
  <c r="J223" i="5"/>
  <c r="K223" i="5"/>
  <c r="L223" i="5"/>
  <c r="M223" i="5"/>
  <c r="N223" i="5"/>
  <c r="O223" i="5"/>
  <c r="P223" i="5"/>
  <c r="Q223" i="5"/>
  <c r="R223" i="5"/>
  <c r="C224" i="5"/>
  <c r="D224" i="5"/>
  <c r="E224" i="5"/>
  <c r="F224" i="5"/>
  <c r="G224" i="5"/>
  <c r="H224" i="5"/>
  <c r="I224" i="5"/>
  <c r="J224" i="5"/>
  <c r="K224" i="5"/>
  <c r="L224" i="5"/>
  <c r="M224" i="5"/>
  <c r="N224" i="5"/>
  <c r="O224" i="5"/>
  <c r="P224" i="5"/>
  <c r="Q224" i="5"/>
  <c r="R224" i="5"/>
  <c r="C225" i="5"/>
  <c r="D225" i="5"/>
  <c r="E225" i="5"/>
  <c r="F225" i="5"/>
  <c r="G225" i="5"/>
  <c r="H225" i="5"/>
  <c r="I225" i="5"/>
  <c r="J225" i="5"/>
  <c r="K225" i="5"/>
  <c r="L225" i="5"/>
  <c r="M225" i="5"/>
  <c r="N225" i="5"/>
  <c r="O225" i="5"/>
  <c r="P225" i="5"/>
  <c r="Q225" i="5"/>
  <c r="R225" i="5"/>
  <c r="C226" i="5"/>
  <c r="D226" i="5"/>
  <c r="E226" i="5"/>
  <c r="F226" i="5"/>
  <c r="G226" i="5"/>
  <c r="H226" i="5"/>
  <c r="I226" i="5"/>
  <c r="J226" i="5"/>
  <c r="K226" i="5"/>
  <c r="L226" i="5"/>
  <c r="M226" i="5"/>
  <c r="N226" i="5"/>
  <c r="O226" i="5"/>
  <c r="P226" i="5"/>
  <c r="Q226" i="5"/>
  <c r="R226" i="5"/>
  <c r="C227" i="5"/>
  <c r="D227" i="5"/>
  <c r="E227" i="5"/>
  <c r="F227" i="5"/>
  <c r="G227" i="5"/>
  <c r="H227" i="5"/>
  <c r="I227" i="5"/>
  <c r="J227" i="5"/>
  <c r="K227" i="5"/>
  <c r="L227" i="5"/>
  <c r="M227" i="5"/>
  <c r="N227" i="5"/>
  <c r="O227" i="5"/>
  <c r="P227" i="5"/>
  <c r="Q227" i="5"/>
  <c r="R227" i="5"/>
  <c r="C228" i="5"/>
  <c r="D228" i="5"/>
  <c r="E228" i="5"/>
  <c r="F228" i="5"/>
  <c r="G228" i="5"/>
  <c r="H228" i="5"/>
  <c r="I228" i="5"/>
  <c r="J228" i="5"/>
  <c r="K228" i="5"/>
  <c r="L228" i="5"/>
  <c r="M228" i="5"/>
  <c r="N228" i="5"/>
  <c r="O228" i="5"/>
  <c r="P228" i="5"/>
  <c r="Q228" i="5"/>
  <c r="R228" i="5"/>
  <c r="C229" i="5"/>
  <c r="D229" i="5"/>
  <c r="E229" i="5"/>
  <c r="F229" i="5"/>
  <c r="G229" i="5"/>
  <c r="H229" i="5"/>
  <c r="I229" i="5"/>
  <c r="J229" i="5"/>
  <c r="K229" i="5"/>
  <c r="L229" i="5"/>
  <c r="M229" i="5"/>
  <c r="N229" i="5"/>
  <c r="O229" i="5"/>
  <c r="P229" i="5"/>
  <c r="Q229" i="5"/>
  <c r="R229" i="5"/>
  <c r="C230" i="5"/>
  <c r="D230" i="5"/>
  <c r="E230" i="5"/>
  <c r="F230" i="5"/>
  <c r="G230" i="5"/>
  <c r="H230" i="5"/>
  <c r="I230" i="5"/>
  <c r="J230" i="5"/>
  <c r="K230" i="5"/>
  <c r="L230" i="5"/>
  <c r="M230" i="5"/>
  <c r="N230" i="5"/>
  <c r="O230" i="5"/>
  <c r="P230" i="5"/>
  <c r="Q230" i="5"/>
  <c r="R230" i="5"/>
  <c r="C231" i="5"/>
  <c r="D231" i="5"/>
  <c r="E231" i="5"/>
  <c r="F231" i="5"/>
  <c r="G231" i="5"/>
  <c r="H231" i="5"/>
  <c r="I231" i="5"/>
  <c r="J231" i="5"/>
  <c r="K231" i="5"/>
  <c r="L231" i="5"/>
  <c r="M231" i="5"/>
  <c r="N231" i="5"/>
  <c r="O231" i="5"/>
  <c r="P231" i="5"/>
  <c r="Q231" i="5"/>
  <c r="R231" i="5"/>
  <c r="C232" i="5"/>
  <c r="D232" i="5"/>
  <c r="E232" i="5"/>
  <c r="F232" i="5"/>
  <c r="G232" i="5"/>
  <c r="H232" i="5"/>
  <c r="I232" i="5"/>
  <c r="J232" i="5"/>
  <c r="K232" i="5"/>
  <c r="L232" i="5"/>
  <c r="M232" i="5"/>
  <c r="N232" i="5"/>
  <c r="O232" i="5"/>
  <c r="P232" i="5"/>
  <c r="Q232" i="5"/>
  <c r="R232" i="5"/>
  <c r="C233" i="5"/>
  <c r="D233" i="5"/>
  <c r="E233" i="5"/>
  <c r="F233" i="5"/>
  <c r="G233" i="5"/>
  <c r="H233" i="5"/>
  <c r="I233" i="5"/>
  <c r="J233" i="5"/>
  <c r="K233" i="5"/>
  <c r="L233" i="5"/>
  <c r="M233" i="5"/>
  <c r="N233" i="5"/>
  <c r="O233" i="5"/>
  <c r="P233" i="5"/>
  <c r="Q233" i="5"/>
  <c r="R233" i="5"/>
  <c r="C234" i="5"/>
  <c r="D234" i="5"/>
  <c r="E234" i="5"/>
  <c r="F234" i="5"/>
  <c r="G234" i="5"/>
  <c r="H234" i="5"/>
  <c r="I234" i="5"/>
  <c r="J234" i="5"/>
  <c r="K234" i="5"/>
  <c r="L234" i="5"/>
  <c r="M234" i="5"/>
  <c r="N234" i="5"/>
  <c r="O234" i="5"/>
  <c r="P234" i="5"/>
  <c r="Q234" i="5"/>
  <c r="R234" i="5"/>
  <c r="C235" i="5"/>
  <c r="D235" i="5"/>
  <c r="E235" i="5"/>
  <c r="F235" i="5"/>
  <c r="G235" i="5"/>
  <c r="H235" i="5"/>
  <c r="I235" i="5"/>
  <c r="J235" i="5"/>
  <c r="K235" i="5"/>
  <c r="L235" i="5"/>
  <c r="M235" i="5"/>
  <c r="N235" i="5"/>
  <c r="O235" i="5"/>
  <c r="P235" i="5"/>
  <c r="Q235" i="5"/>
  <c r="R235" i="5"/>
  <c r="C236" i="5"/>
  <c r="D236" i="5"/>
  <c r="E236" i="5"/>
  <c r="F236" i="5"/>
  <c r="G236" i="5"/>
  <c r="H236" i="5"/>
  <c r="I236" i="5"/>
  <c r="J236" i="5"/>
  <c r="K236" i="5"/>
  <c r="L236" i="5"/>
  <c r="M236" i="5"/>
  <c r="N236" i="5"/>
  <c r="O236" i="5"/>
  <c r="P236" i="5"/>
  <c r="Q236" i="5"/>
  <c r="R236" i="5"/>
  <c r="C237" i="5"/>
  <c r="D237" i="5"/>
  <c r="E237" i="5"/>
  <c r="F237" i="5"/>
  <c r="G237" i="5"/>
  <c r="H237" i="5"/>
  <c r="I237" i="5"/>
  <c r="J237" i="5"/>
  <c r="K237" i="5"/>
  <c r="L237" i="5"/>
  <c r="M237" i="5"/>
  <c r="N237" i="5"/>
  <c r="O237" i="5"/>
  <c r="P237" i="5"/>
  <c r="Q237" i="5"/>
  <c r="R237" i="5"/>
  <c r="C238" i="5"/>
  <c r="D238" i="5"/>
  <c r="E238" i="5"/>
  <c r="F238" i="5"/>
  <c r="G238" i="5"/>
  <c r="H238" i="5"/>
  <c r="I238" i="5"/>
  <c r="J238" i="5"/>
  <c r="K238" i="5"/>
  <c r="L238" i="5"/>
  <c r="M238" i="5"/>
  <c r="N238" i="5"/>
  <c r="O238" i="5"/>
  <c r="P238" i="5"/>
  <c r="Q238" i="5"/>
  <c r="R238" i="5"/>
  <c r="C239" i="5"/>
  <c r="D239" i="5"/>
  <c r="E239" i="5"/>
  <c r="F239" i="5"/>
  <c r="G239" i="5"/>
  <c r="H239" i="5"/>
  <c r="I239" i="5"/>
  <c r="J239" i="5"/>
  <c r="K239" i="5"/>
  <c r="L239" i="5"/>
  <c r="M239" i="5"/>
  <c r="N239" i="5"/>
  <c r="O239" i="5"/>
  <c r="P239" i="5"/>
  <c r="Q239" i="5"/>
  <c r="R239" i="5"/>
  <c r="C240" i="5"/>
  <c r="D240" i="5"/>
  <c r="E240" i="5"/>
  <c r="F240" i="5"/>
  <c r="G240" i="5"/>
  <c r="H240" i="5"/>
  <c r="I240" i="5"/>
  <c r="J240" i="5"/>
  <c r="K240" i="5"/>
  <c r="L240" i="5"/>
  <c r="M240" i="5"/>
  <c r="N240" i="5"/>
  <c r="O240" i="5"/>
  <c r="P240" i="5"/>
  <c r="Q240" i="5"/>
  <c r="R240" i="5"/>
  <c r="C241" i="5"/>
  <c r="D241" i="5"/>
  <c r="E241" i="5"/>
  <c r="F241" i="5"/>
  <c r="G241" i="5"/>
  <c r="H241" i="5"/>
  <c r="I241" i="5"/>
  <c r="J241" i="5"/>
  <c r="K241" i="5"/>
  <c r="L241" i="5"/>
  <c r="M241" i="5"/>
  <c r="N241" i="5"/>
  <c r="O241" i="5"/>
  <c r="P241" i="5"/>
  <c r="Q241" i="5"/>
  <c r="R241" i="5"/>
  <c r="C242" i="5"/>
  <c r="D242" i="5"/>
  <c r="E242" i="5"/>
  <c r="F242" i="5"/>
  <c r="G242" i="5"/>
  <c r="H242" i="5"/>
  <c r="I242" i="5"/>
  <c r="J242" i="5"/>
  <c r="K242" i="5"/>
  <c r="L242" i="5"/>
  <c r="M242" i="5"/>
  <c r="N242" i="5"/>
  <c r="O242" i="5"/>
  <c r="P242" i="5"/>
  <c r="Q242" i="5"/>
  <c r="R242" i="5"/>
  <c r="C243" i="5"/>
  <c r="D243" i="5"/>
  <c r="E243" i="5"/>
  <c r="F243" i="5"/>
  <c r="G243" i="5"/>
  <c r="H243" i="5"/>
  <c r="I243" i="5"/>
  <c r="J243" i="5"/>
  <c r="K243" i="5"/>
  <c r="L243" i="5"/>
  <c r="M243" i="5"/>
  <c r="N243" i="5"/>
  <c r="O243" i="5"/>
  <c r="P243" i="5"/>
  <c r="Q243" i="5"/>
  <c r="R243" i="5"/>
  <c r="C244" i="5"/>
  <c r="D244" i="5"/>
  <c r="E244" i="5"/>
  <c r="F244" i="5"/>
  <c r="G244" i="5"/>
  <c r="H244" i="5"/>
  <c r="I244" i="5"/>
  <c r="J244" i="5"/>
  <c r="K244" i="5"/>
  <c r="L244" i="5"/>
  <c r="M244" i="5"/>
  <c r="N244" i="5"/>
  <c r="O244" i="5"/>
  <c r="P244" i="5"/>
  <c r="Q244" i="5"/>
  <c r="R244" i="5"/>
  <c r="C245" i="5"/>
  <c r="D245" i="5"/>
  <c r="E245" i="5"/>
  <c r="F245" i="5"/>
  <c r="G245" i="5"/>
  <c r="H245" i="5"/>
  <c r="I245" i="5"/>
  <c r="J245" i="5"/>
  <c r="K245" i="5"/>
  <c r="L245" i="5"/>
  <c r="M245" i="5"/>
  <c r="N245" i="5"/>
  <c r="O245" i="5"/>
  <c r="P245" i="5"/>
  <c r="Q245" i="5"/>
  <c r="R245" i="5"/>
  <c r="C246" i="5"/>
  <c r="D246" i="5"/>
  <c r="E246" i="5"/>
  <c r="F246" i="5"/>
  <c r="G246" i="5"/>
  <c r="H246" i="5"/>
  <c r="I246" i="5"/>
  <c r="J246" i="5"/>
  <c r="K246" i="5"/>
  <c r="L246" i="5"/>
  <c r="M246" i="5"/>
  <c r="N246" i="5"/>
  <c r="O246" i="5"/>
  <c r="P246" i="5"/>
  <c r="Q246" i="5"/>
  <c r="R246" i="5"/>
  <c r="C247" i="5"/>
  <c r="D247" i="5"/>
  <c r="E247" i="5"/>
  <c r="F247" i="5"/>
  <c r="G247" i="5"/>
  <c r="H247" i="5"/>
  <c r="I247" i="5"/>
  <c r="J247" i="5"/>
  <c r="K247" i="5"/>
  <c r="L247" i="5"/>
  <c r="M247" i="5"/>
  <c r="N247" i="5"/>
  <c r="O247" i="5"/>
  <c r="P247" i="5"/>
  <c r="Q247" i="5"/>
  <c r="R247" i="5"/>
  <c r="C248" i="5"/>
  <c r="D248" i="5"/>
  <c r="E248" i="5"/>
  <c r="F248" i="5"/>
  <c r="G248" i="5"/>
  <c r="H248" i="5"/>
  <c r="I248" i="5"/>
  <c r="J248" i="5"/>
  <c r="K248" i="5"/>
  <c r="L248" i="5"/>
  <c r="M248" i="5"/>
  <c r="N248" i="5"/>
  <c r="O248" i="5"/>
  <c r="P248" i="5"/>
  <c r="Q248" i="5"/>
  <c r="R248" i="5"/>
  <c r="C249" i="5"/>
  <c r="D249" i="5"/>
  <c r="E249" i="5"/>
  <c r="F249" i="5"/>
  <c r="G249" i="5"/>
  <c r="H249" i="5"/>
  <c r="I249" i="5"/>
  <c r="J249" i="5"/>
  <c r="K249" i="5"/>
  <c r="L249" i="5"/>
  <c r="M249" i="5"/>
  <c r="N249" i="5"/>
  <c r="O249" i="5"/>
  <c r="P249" i="5"/>
  <c r="Q249" i="5"/>
  <c r="R249" i="5"/>
  <c r="C250" i="5"/>
  <c r="D250" i="5"/>
  <c r="E250" i="5"/>
  <c r="F250" i="5"/>
  <c r="G250" i="5"/>
  <c r="H250" i="5"/>
  <c r="I250" i="5"/>
  <c r="J250" i="5"/>
  <c r="K250" i="5"/>
  <c r="L250" i="5"/>
  <c r="M250" i="5"/>
  <c r="N250" i="5"/>
  <c r="O250" i="5"/>
  <c r="P250" i="5"/>
  <c r="Q250" i="5"/>
  <c r="R250" i="5"/>
  <c r="C251" i="5"/>
  <c r="D251" i="5"/>
  <c r="E251" i="5"/>
  <c r="F251" i="5"/>
  <c r="G251" i="5"/>
  <c r="H251" i="5"/>
  <c r="I251" i="5"/>
  <c r="J251" i="5"/>
  <c r="K251" i="5"/>
  <c r="L251" i="5"/>
  <c r="M251" i="5"/>
  <c r="N251" i="5"/>
  <c r="O251" i="5"/>
  <c r="P251" i="5"/>
  <c r="Q251" i="5"/>
  <c r="R251" i="5"/>
  <c r="C252" i="5"/>
  <c r="D252" i="5"/>
  <c r="E252" i="5"/>
  <c r="F252" i="5"/>
  <c r="G252" i="5"/>
  <c r="H252" i="5"/>
  <c r="I252" i="5"/>
  <c r="J252" i="5"/>
  <c r="K252" i="5"/>
  <c r="L252" i="5"/>
  <c r="M252" i="5"/>
  <c r="N252" i="5"/>
  <c r="O252" i="5"/>
  <c r="P252" i="5"/>
  <c r="Q252" i="5"/>
  <c r="R252" i="5"/>
  <c r="C253" i="5"/>
  <c r="D253" i="5"/>
  <c r="E253" i="5"/>
  <c r="F253" i="5"/>
  <c r="G253" i="5"/>
  <c r="H253" i="5"/>
  <c r="I253" i="5"/>
  <c r="J253" i="5"/>
  <c r="K253" i="5"/>
  <c r="L253" i="5"/>
  <c r="M253" i="5"/>
  <c r="N253" i="5"/>
  <c r="O253" i="5"/>
  <c r="P253" i="5"/>
  <c r="Q253" i="5"/>
  <c r="R253" i="5"/>
  <c r="C254" i="5"/>
  <c r="D254" i="5"/>
  <c r="E254" i="5"/>
  <c r="F254" i="5"/>
  <c r="G254" i="5"/>
  <c r="H254" i="5"/>
  <c r="I254" i="5"/>
  <c r="J254" i="5"/>
  <c r="K254" i="5"/>
  <c r="L254" i="5"/>
  <c r="M254" i="5"/>
  <c r="N254" i="5"/>
  <c r="O254" i="5"/>
  <c r="P254" i="5"/>
  <c r="Q254" i="5"/>
  <c r="R254" i="5"/>
  <c r="C255" i="5"/>
  <c r="D255" i="5"/>
  <c r="E255" i="5"/>
  <c r="F255" i="5"/>
  <c r="G255" i="5"/>
  <c r="H255" i="5"/>
  <c r="I255" i="5"/>
  <c r="J255" i="5"/>
  <c r="K255" i="5"/>
  <c r="L255" i="5"/>
  <c r="M255" i="5"/>
  <c r="N255" i="5"/>
  <c r="O255" i="5"/>
  <c r="P255" i="5"/>
  <c r="Q255" i="5"/>
  <c r="R255" i="5"/>
  <c r="C256" i="5"/>
  <c r="D256" i="5"/>
  <c r="E256" i="5"/>
  <c r="F256" i="5"/>
  <c r="G256" i="5"/>
  <c r="H256" i="5"/>
  <c r="I256" i="5"/>
  <c r="J256" i="5"/>
  <c r="K256" i="5"/>
  <c r="L256" i="5"/>
  <c r="M256" i="5"/>
  <c r="N256" i="5"/>
  <c r="O256" i="5"/>
  <c r="P256" i="5"/>
  <c r="Q256" i="5"/>
  <c r="R256" i="5"/>
  <c r="C257" i="5"/>
  <c r="D257" i="5"/>
  <c r="E257" i="5"/>
  <c r="F257" i="5"/>
  <c r="G257" i="5"/>
  <c r="H257" i="5"/>
  <c r="I257" i="5"/>
  <c r="J257" i="5"/>
  <c r="K257" i="5"/>
  <c r="L257" i="5"/>
  <c r="M257" i="5"/>
  <c r="N257" i="5"/>
  <c r="O257" i="5"/>
  <c r="P257" i="5"/>
  <c r="Q257" i="5"/>
  <c r="R257" i="5"/>
  <c r="C258" i="5"/>
  <c r="D258" i="5"/>
  <c r="E258" i="5"/>
  <c r="F258" i="5"/>
  <c r="G258" i="5"/>
  <c r="H258" i="5"/>
  <c r="I258" i="5"/>
  <c r="J258" i="5"/>
  <c r="K258" i="5"/>
  <c r="L258" i="5"/>
  <c r="M258" i="5"/>
  <c r="N258" i="5"/>
  <c r="O258" i="5"/>
  <c r="P258" i="5"/>
  <c r="Q258" i="5"/>
  <c r="R258" i="5"/>
  <c r="C259" i="5"/>
  <c r="D259" i="5"/>
  <c r="E259" i="5"/>
  <c r="F259" i="5"/>
  <c r="G259" i="5"/>
  <c r="H259" i="5"/>
  <c r="I259" i="5"/>
  <c r="J259" i="5"/>
  <c r="K259" i="5"/>
  <c r="L259" i="5"/>
  <c r="M259" i="5"/>
  <c r="N259" i="5"/>
  <c r="O259" i="5"/>
  <c r="P259" i="5"/>
  <c r="Q259" i="5"/>
  <c r="R259" i="5"/>
  <c r="C260" i="5"/>
  <c r="D260" i="5"/>
  <c r="E260" i="5"/>
  <c r="F260" i="5"/>
  <c r="G260" i="5"/>
  <c r="H260" i="5"/>
  <c r="I260" i="5"/>
  <c r="J260" i="5"/>
  <c r="K260" i="5"/>
  <c r="L260" i="5"/>
  <c r="M260" i="5"/>
  <c r="N260" i="5"/>
  <c r="O260" i="5"/>
  <c r="P260" i="5"/>
  <c r="Q260" i="5"/>
  <c r="R260" i="5"/>
  <c r="C261" i="5"/>
  <c r="D261" i="5"/>
  <c r="E261" i="5"/>
  <c r="F261" i="5"/>
  <c r="G261" i="5"/>
  <c r="H261" i="5"/>
  <c r="I261" i="5"/>
  <c r="J261" i="5"/>
  <c r="K261" i="5"/>
  <c r="L261" i="5"/>
  <c r="M261" i="5"/>
  <c r="N261" i="5"/>
  <c r="O261" i="5"/>
  <c r="P261" i="5"/>
  <c r="Q261" i="5"/>
  <c r="R261" i="5"/>
  <c r="C262" i="5"/>
  <c r="D262" i="5"/>
  <c r="E262" i="5"/>
  <c r="F262" i="5"/>
  <c r="G262" i="5"/>
  <c r="H262" i="5"/>
  <c r="I262" i="5"/>
  <c r="J262" i="5"/>
  <c r="K262" i="5"/>
  <c r="L262" i="5"/>
  <c r="M262" i="5"/>
  <c r="N262" i="5"/>
  <c r="O262" i="5"/>
  <c r="P262" i="5"/>
  <c r="Q262" i="5"/>
  <c r="R262" i="5"/>
  <c r="C263" i="5"/>
  <c r="D263" i="5"/>
  <c r="E263" i="5"/>
  <c r="F263" i="5"/>
  <c r="G263" i="5"/>
  <c r="H263" i="5"/>
  <c r="I263" i="5"/>
  <c r="J263" i="5"/>
  <c r="K263" i="5"/>
  <c r="L263" i="5"/>
  <c r="M263" i="5"/>
  <c r="N263" i="5"/>
  <c r="O263" i="5"/>
  <c r="P263" i="5"/>
  <c r="Q263" i="5"/>
  <c r="R263" i="5"/>
  <c r="C264" i="5"/>
  <c r="D264" i="5"/>
  <c r="E264" i="5"/>
  <c r="F264" i="5"/>
  <c r="G264" i="5"/>
  <c r="H264" i="5"/>
  <c r="I264" i="5"/>
  <c r="J264" i="5"/>
  <c r="K264" i="5"/>
  <c r="L264" i="5"/>
  <c r="M264" i="5"/>
  <c r="N264" i="5"/>
  <c r="O264" i="5"/>
  <c r="P264" i="5"/>
  <c r="Q264" i="5"/>
  <c r="R264" i="5"/>
  <c r="C265" i="5"/>
  <c r="D265" i="5"/>
  <c r="E265" i="5"/>
  <c r="F265" i="5"/>
  <c r="G265" i="5"/>
  <c r="H265" i="5"/>
  <c r="I265" i="5"/>
  <c r="J265" i="5"/>
  <c r="K265" i="5"/>
  <c r="L265" i="5"/>
  <c r="M265" i="5"/>
  <c r="N265" i="5"/>
  <c r="O265" i="5"/>
  <c r="P265" i="5"/>
  <c r="Q265" i="5"/>
  <c r="R265" i="5"/>
  <c r="C266" i="5"/>
  <c r="D266" i="5"/>
  <c r="E266" i="5"/>
  <c r="F266" i="5"/>
  <c r="G266" i="5"/>
  <c r="H266" i="5"/>
  <c r="I266" i="5"/>
  <c r="J266" i="5"/>
  <c r="K266" i="5"/>
  <c r="L266" i="5"/>
  <c r="M266" i="5"/>
  <c r="N266" i="5"/>
  <c r="O266" i="5"/>
  <c r="P266" i="5"/>
  <c r="Q266" i="5"/>
  <c r="R266" i="5"/>
  <c r="C267" i="5"/>
  <c r="D267" i="5"/>
  <c r="E267" i="5"/>
  <c r="F267" i="5"/>
  <c r="G267" i="5"/>
  <c r="H267" i="5"/>
  <c r="I267" i="5"/>
  <c r="J267" i="5"/>
  <c r="K267" i="5"/>
  <c r="L267" i="5"/>
  <c r="M267" i="5"/>
  <c r="N267" i="5"/>
  <c r="O267" i="5"/>
  <c r="P267" i="5"/>
  <c r="Q267" i="5"/>
  <c r="R267" i="5"/>
  <c r="C268" i="5"/>
  <c r="D268" i="5"/>
  <c r="E268" i="5"/>
  <c r="F268" i="5"/>
  <c r="G268" i="5"/>
  <c r="H268" i="5"/>
  <c r="I268" i="5"/>
  <c r="J268" i="5"/>
  <c r="K268" i="5"/>
  <c r="L268" i="5"/>
  <c r="M268" i="5"/>
  <c r="N268" i="5"/>
  <c r="O268" i="5"/>
  <c r="P268" i="5"/>
  <c r="Q268" i="5"/>
  <c r="R268" i="5"/>
  <c r="C269" i="5"/>
  <c r="D269" i="5"/>
  <c r="E269" i="5"/>
  <c r="F269" i="5"/>
  <c r="G269" i="5"/>
  <c r="H269" i="5"/>
  <c r="I269" i="5"/>
  <c r="J269" i="5"/>
  <c r="K269" i="5"/>
  <c r="L269" i="5"/>
  <c r="M269" i="5"/>
  <c r="N269" i="5"/>
  <c r="O269" i="5"/>
  <c r="P269" i="5"/>
  <c r="Q269" i="5"/>
  <c r="R269" i="5"/>
  <c r="C270" i="5"/>
  <c r="D270" i="5"/>
  <c r="E270" i="5"/>
  <c r="F270" i="5"/>
  <c r="G270" i="5"/>
  <c r="H270" i="5"/>
  <c r="I270" i="5"/>
  <c r="J270" i="5"/>
  <c r="K270" i="5"/>
  <c r="L270" i="5"/>
  <c r="M270" i="5"/>
  <c r="N270" i="5"/>
  <c r="O270" i="5"/>
  <c r="P270" i="5"/>
  <c r="Q270" i="5"/>
  <c r="R270" i="5"/>
  <c r="C271" i="5"/>
  <c r="D271" i="5"/>
  <c r="E271" i="5"/>
  <c r="F271" i="5"/>
  <c r="G271" i="5"/>
  <c r="H271" i="5"/>
  <c r="I271" i="5"/>
  <c r="J271" i="5"/>
  <c r="K271" i="5"/>
  <c r="L271" i="5"/>
  <c r="M271" i="5"/>
  <c r="N271" i="5"/>
  <c r="O271" i="5"/>
  <c r="P271" i="5"/>
  <c r="Q271" i="5"/>
  <c r="R271" i="5"/>
  <c r="C272" i="5"/>
  <c r="D272" i="5"/>
  <c r="E272" i="5"/>
  <c r="F272" i="5"/>
  <c r="G272" i="5"/>
  <c r="H272" i="5"/>
  <c r="I272" i="5"/>
  <c r="J272" i="5"/>
  <c r="K272" i="5"/>
  <c r="L272" i="5"/>
  <c r="M272" i="5"/>
  <c r="N272" i="5"/>
  <c r="O272" i="5"/>
  <c r="P272" i="5"/>
  <c r="Q272" i="5"/>
  <c r="R272" i="5"/>
  <c r="C273" i="5"/>
  <c r="D273" i="5"/>
  <c r="E273" i="5"/>
  <c r="F273" i="5"/>
  <c r="G273" i="5"/>
  <c r="H273" i="5"/>
  <c r="I273" i="5"/>
  <c r="J273" i="5"/>
  <c r="K273" i="5"/>
  <c r="L273" i="5"/>
  <c r="M273" i="5"/>
  <c r="N273" i="5"/>
  <c r="O273" i="5"/>
  <c r="P273" i="5"/>
  <c r="Q273" i="5"/>
  <c r="R273" i="5"/>
  <c r="C274" i="5"/>
  <c r="D274" i="5"/>
  <c r="E274" i="5"/>
  <c r="F274" i="5"/>
  <c r="G274" i="5"/>
  <c r="H274" i="5"/>
  <c r="I274" i="5"/>
  <c r="J274" i="5"/>
  <c r="K274" i="5"/>
  <c r="L274" i="5"/>
  <c r="M274" i="5"/>
  <c r="N274" i="5"/>
  <c r="O274" i="5"/>
  <c r="P274" i="5"/>
  <c r="Q274" i="5"/>
  <c r="R274" i="5"/>
  <c r="C275" i="5"/>
  <c r="D275" i="5"/>
  <c r="E275" i="5"/>
  <c r="F275" i="5"/>
  <c r="G275" i="5"/>
  <c r="H275" i="5"/>
  <c r="I275" i="5"/>
  <c r="J275" i="5"/>
  <c r="K275" i="5"/>
  <c r="L275" i="5"/>
  <c r="M275" i="5"/>
  <c r="N275" i="5"/>
  <c r="O275" i="5"/>
  <c r="P275" i="5"/>
  <c r="Q275" i="5"/>
  <c r="R275" i="5"/>
  <c r="C276" i="5"/>
  <c r="D276" i="5"/>
  <c r="E276" i="5"/>
  <c r="F276" i="5"/>
  <c r="G276" i="5"/>
  <c r="H276" i="5"/>
  <c r="I276" i="5"/>
  <c r="J276" i="5"/>
  <c r="K276" i="5"/>
  <c r="L276" i="5"/>
  <c r="M276" i="5"/>
  <c r="N276" i="5"/>
  <c r="O276" i="5"/>
  <c r="P276" i="5"/>
  <c r="Q276" i="5"/>
  <c r="R276" i="5"/>
  <c r="C277" i="5"/>
  <c r="D277" i="5"/>
  <c r="E277" i="5"/>
  <c r="F277" i="5"/>
  <c r="G277" i="5"/>
  <c r="H277" i="5"/>
  <c r="I277" i="5"/>
  <c r="J277" i="5"/>
  <c r="K277" i="5"/>
  <c r="L277" i="5"/>
  <c r="M277" i="5"/>
  <c r="N277" i="5"/>
  <c r="O277" i="5"/>
  <c r="P277" i="5"/>
  <c r="Q277" i="5"/>
  <c r="R277" i="5"/>
  <c r="C278" i="5"/>
  <c r="D278" i="5"/>
  <c r="E278" i="5"/>
  <c r="F278" i="5"/>
  <c r="G278" i="5"/>
  <c r="H278" i="5"/>
  <c r="I278" i="5"/>
  <c r="J278" i="5"/>
  <c r="K278" i="5"/>
  <c r="L278" i="5"/>
  <c r="M278" i="5"/>
  <c r="N278" i="5"/>
  <c r="O278" i="5"/>
  <c r="P278" i="5"/>
  <c r="Q278" i="5"/>
  <c r="R278" i="5"/>
  <c r="C279" i="5"/>
  <c r="D279" i="5"/>
  <c r="E279" i="5"/>
  <c r="F279" i="5"/>
  <c r="G279" i="5"/>
  <c r="H279" i="5"/>
  <c r="I279" i="5"/>
  <c r="J279" i="5"/>
  <c r="K279" i="5"/>
  <c r="L279" i="5"/>
  <c r="M279" i="5"/>
  <c r="N279" i="5"/>
  <c r="O279" i="5"/>
  <c r="P279" i="5"/>
  <c r="Q279" i="5"/>
  <c r="R279" i="5"/>
  <c r="C280" i="5"/>
  <c r="D280" i="5"/>
  <c r="E280" i="5"/>
  <c r="F280" i="5"/>
  <c r="G280" i="5"/>
  <c r="H280" i="5"/>
  <c r="I280" i="5"/>
  <c r="J280" i="5"/>
  <c r="K280" i="5"/>
  <c r="L280" i="5"/>
  <c r="M280" i="5"/>
  <c r="N280" i="5"/>
  <c r="O280" i="5"/>
  <c r="P280" i="5"/>
  <c r="Q280" i="5"/>
  <c r="R280" i="5"/>
  <c r="C281" i="5"/>
  <c r="D281" i="5"/>
  <c r="E281" i="5"/>
  <c r="F281" i="5"/>
  <c r="G281" i="5"/>
  <c r="H281" i="5"/>
  <c r="I281" i="5"/>
  <c r="J281" i="5"/>
  <c r="K281" i="5"/>
  <c r="L281" i="5"/>
  <c r="M281" i="5"/>
  <c r="N281" i="5"/>
  <c r="O281" i="5"/>
  <c r="P281" i="5"/>
  <c r="Q281" i="5"/>
  <c r="R281" i="5"/>
  <c r="C282" i="5"/>
  <c r="D282" i="5"/>
  <c r="E282" i="5"/>
  <c r="F282" i="5"/>
  <c r="G282" i="5"/>
  <c r="H282" i="5"/>
  <c r="I282" i="5"/>
  <c r="J282" i="5"/>
  <c r="K282" i="5"/>
  <c r="L282" i="5"/>
  <c r="M282" i="5"/>
  <c r="N282" i="5"/>
  <c r="O282" i="5"/>
  <c r="P282" i="5"/>
  <c r="Q282" i="5"/>
  <c r="R282" i="5"/>
  <c r="C283" i="5"/>
  <c r="D283" i="5"/>
  <c r="E283" i="5"/>
  <c r="F283" i="5"/>
  <c r="G283" i="5"/>
  <c r="H283" i="5"/>
  <c r="I283" i="5"/>
  <c r="J283" i="5"/>
  <c r="K283" i="5"/>
  <c r="L283" i="5"/>
  <c r="M283" i="5"/>
  <c r="N283" i="5"/>
  <c r="O283" i="5"/>
  <c r="P283" i="5"/>
  <c r="Q283" i="5"/>
  <c r="R283" i="5"/>
  <c r="C284" i="5"/>
  <c r="D284" i="5"/>
  <c r="E284" i="5"/>
  <c r="F284" i="5"/>
  <c r="G284" i="5"/>
  <c r="H284" i="5"/>
  <c r="I284" i="5"/>
  <c r="J284" i="5"/>
  <c r="K284" i="5"/>
  <c r="L284" i="5"/>
  <c r="M284" i="5"/>
  <c r="N284" i="5"/>
  <c r="O284" i="5"/>
  <c r="P284" i="5"/>
  <c r="Q284" i="5"/>
  <c r="R284" i="5"/>
  <c r="C285" i="5"/>
  <c r="D285" i="5"/>
  <c r="E285" i="5"/>
  <c r="F285" i="5"/>
  <c r="G285" i="5"/>
  <c r="H285" i="5"/>
  <c r="I285" i="5"/>
  <c r="J285" i="5"/>
  <c r="K285" i="5"/>
  <c r="L285" i="5"/>
  <c r="M285" i="5"/>
  <c r="N285" i="5"/>
  <c r="O285" i="5"/>
  <c r="P285" i="5"/>
  <c r="Q285" i="5"/>
  <c r="R285" i="5"/>
  <c r="C286" i="5"/>
  <c r="D286" i="5"/>
  <c r="E286" i="5"/>
  <c r="F286" i="5"/>
  <c r="G286" i="5"/>
  <c r="H286" i="5"/>
  <c r="I286" i="5"/>
  <c r="J286" i="5"/>
  <c r="K286" i="5"/>
  <c r="L286" i="5"/>
  <c r="M286" i="5"/>
  <c r="N286" i="5"/>
  <c r="O286" i="5"/>
  <c r="P286" i="5"/>
  <c r="Q286" i="5"/>
  <c r="R286" i="5"/>
  <c r="C287" i="5"/>
  <c r="D287" i="5"/>
  <c r="E287" i="5"/>
  <c r="F287" i="5"/>
  <c r="G287" i="5"/>
  <c r="H287" i="5"/>
  <c r="I287" i="5"/>
  <c r="J287" i="5"/>
  <c r="K287" i="5"/>
  <c r="L287" i="5"/>
  <c r="M287" i="5"/>
  <c r="N287" i="5"/>
  <c r="O287" i="5"/>
  <c r="P287" i="5"/>
  <c r="Q287" i="5"/>
  <c r="R287" i="5"/>
  <c r="C288" i="5"/>
  <c r="D288" i="5"/>
  <c r="E288" i="5"/>
  <c r="F288" i="5"/>
  <c r="G288" i="5"/>
  <c r="H288" i="5"/>
  <c r="I288" i="5"/>
  <c r="J288" i="5"/>
  <c r="K288" i="5"/>
  <c r="L288" i="5"/>
  <c r="M288" i="5"/>
  <c r="N288" i="5"/>
  <c r="O288" i="5"/>
  <c r="P288" i="5"/>
  <c r="Q288" i="5"/>
  <c r="R288" i="5"/>
  <c r="C289" i="5"/>
  <c r="D289" i="5"/>
  <c r="E289" i="5"/>
  <c r="F289" i="5"/>
  <c r="G289" i="5"/>
  <c r="H289" i="5"/>
  <c r="I289" i="5"/>
  <c r="J289" i="5"/>
  <c r="K289" i="5"/>
  <c r="L289" i="5"/>
  <c r="M289" i="5"/>
  <c r="N289" i="5"/>
  <c r="O289" i="5"/>
  <c r="P289" i="5"/>
  <c r="Q289" i="5"/>
  <c r="R289" i="5"/>
  <c r="C290" i="5"/>
  <c r="D290" i="5"/>
  <c r="E290" i="5"/>
  <c r="F290" i="5"/>
  <c r="G290" i="5"/>
  <c r="H290" i="5"/>
  <c r="I290" i="5"/>
  <c r="J290" i="5"/>
  <c r="K290" i="5"/>
  <c r="L290" i="5"/>
  <c r="M290" i="5"/>
  <c r="N290" i="5"/>
  <c r="O290" i="5"/>
  <c r="P290" i="5"/>
  <c r="Q290" i="5"/>
  <c r="R290" i="5"/>
  <c r="C291" i="5"/>
  <c r="D291" i="5"/>
  <c r="E291" i="5"/>
  <c r="F291" i="5"/>
  <c r="G291" i="5"/>
  <c r="H291" i="5"/>
  <c r="I291" i="5"/>
  <c r="J291" i="5"/>
  <c r="K291" i="5"/>
  <c r="L291" i="5"/>
  <c r="M291" i="5"/>
  <c r="N291" i="5"/>
  <c r="O291" i="5"/>
  <c r="P291" i="5"/>
  <c r="Q291" i="5"/>
  <c r="R291" i="5"/>
  <c r="C292" i="5"/>
  <c r="D292" i="5"/>
  <c r="E292" i="5"/>
  <c r="F292" i="5"/>
  <c r="G292" i="5"/>
  <c r="H292" i="5"/>
  <c r="I292" i="5"/>
  <c r="J292" i="5"/>
  <c r="K292" i="5"/>
  <c r="L292" i="5"/>
  <c r="M292" i="5"/>
  <c r="N292" i="5"/>
  <c r="O292" i="5"/>
  <c r="P292" i="5"/>
  <c r="Q292" i="5"/>
  <c r="R292" i="5"/>
  <c r="C293" i="5"/>
  <c r="D293" i="5"/>
  <c r="E293" i="5"/>
  <c r="F293" i="5"/>
  <c r="G293" i="5"/>
  <c r="H293" i="5"/>
  <c r="I293" i="5"/>
  <c r="J293" i="5"/>
  <c r="K293" i="5"/>
  <c r="L293" i="5"/>
  <c r="M293" i="5"/>
  <c r="N293" i="5"/>
  <c r="O293" i="5"/>
  <c r="P293" i="5"/>
  <c r="Q293" i="5"/>
  <c r="R293" i="5"/>
  <c r="C294" i="5"/>
  <c r="D294" i="5"/>
  <c r="E294" i="5"/>
  <c r="F294" i="5"/>
  <c r="G294" i="5"/>
  <c r="H294" i="5"/>
  <c r="I294" i="5"/>
  <c r="J294" i="5"/>
  <c r="K294" i="5"/>
  <c r="L294" i="5"/>
  <c r="M294" i="5"/>
  <c r="N294" i="5"/>
  <c r="O294" i="5"/>
  <c r="P294" i="5"/>
  <c r="Q294" i="5"/>
  <c r="R294" i="5"/>
  <c r="C295" i="5"/>
  <c r="D295" i="5"/>
  <c r="E295" i="5"/>
  <c r="F295" i="5"/>
  <c r="G295" i="5"/>
  <c r="H295" i="5"/>
  <c r="I295" i="5"/>
  <c r="J295" i="5"/>
  <c r="K295" i="5"/>
  <c r="L295" i="5"/>
  <c r="M295" i="5"/>
  <c r="N295" i="5"/>
  <c r="O295" i="5"/>
  <c r="P295" i="5"/>
  <c r="Q295" i="5"/>
  <c r="R295" i="5"/>
  <c r="C296" i="5"/>
  <c r="D296" i="5"/>
  <c r="E296" i="5"/>
  <c r="F296" i="5"/>
  <c r="G296" i="5"/>
  <c r="H296" i="5"/>
  <c r="I296" i="5"/>
  <c r="J296" i="5"/>
  <c r="K296" i="5"/>
  <c r="L296" i="5"/>
  <c r="M296" i="5"/>
  <c r="N296" i="5"/>
  <c r="O296" i="5"/>
  <c r="P296" i="5"/>
  <c r="Q296" i="5"/>
  <c r="R296" i="5"/>
  <c r="C297" i="5"/>
  <c r="D297" i="5"/>
  <c r="E297" i="5"/>
  <c r="F297" i="5"/>
  <c r="G297" i="5"/>
  <c r="H297" i="5"/>
  <c r="I297" i="5"/>
  <c r="J297" i="5"/>
  <c r="K297" i="5"/>
  <c r="L297" i="5"/>
  <c r="M297" i="5"/>
  <c r="N297" i="5"/>
  <c r="O297" i="5"/>
  <c r="P297" i="5"/>
  <c r="Q297" i="5"/>
  <c r="R297" i="5"/>
  <c r="C298" i="5"/>
  <c r="D298" i="5"/>
  <c r="E298" i="5"/>
  <c r="F298" i="5"/>
  <c r="G298" i="5"/>
  <c r="H298" i="5"/>
  <c r="I298" i="5"/>
  <c r="J298" i="5"/>
  <c r="K298" i="5"/>
  <c r="L298" i="5"/>
  <c r="M298" i="5"/>
  <c r="N298" i="5"/>
  <c r="O298" i="5"/>
  <c r="P298" i="5"/>
  <c r="Q298" i="5"/>
  <c r="R298" i="5"/>
  <c r="C299" i="5"/>
  <c r="D299" i="5"/>
  <c r="E299" i="5"/>
  <c r="F299" i="5"/>
  <c r="G299" i="5"/>
  <c r="H299" i="5"/>
  <c r="I299" i="5"/>
  <c r="J299" i="5"/>
  <c r="K299" i="5"/>
  <c r="L299" i="5"/>
  <c r="M299" i="5"/>
  <c r="N299" i="5"/>
  <c r="O299" i="5"/>
  <c r="P299" i="5"/>
  <c r="Q299" i="5"/>
  <c r="R299" i="5"/>
  <c r="C300" i="5"/>
  <c r="D300" i="5"/>
  <c r="E300" i="5"/>
  <c r="F300" i="5"/>
  <c r="G300" i="5"/>
  <c r="H300" i="5"/>
  <c r="I300" i="5"/>
  <c r="J300" i="5"/>
  <c r="K300" i="5"/>
  <c r="L300" i="5"/>
  <c r="M300" i="5"/>
  <c r="N300" i="5"/>
  <c r="O300" i="5"/>
  <c r="P300" i="5"/>
  <c r="Q300" i="5"/>
  <c r="R300" i="5"/>
  <c r="C301" i="5"/>
  <c r="D301" i="5"/>
  <c r="E301" i="5"/>
  <c r="F301" i="5"/>
  <c r="G301" i="5"/>
  <c r="H301" i="5"/>
  <c r="I301" i="5"/>
  <c r="J301" i="5"/>
  <c r="K301" i="5"/>
  <c r="L301" i="5"/>
  <c r="M301" i="5"/>
  <c r="N301" i="5"/>
  <c r="O301" i="5"/>
  <c r="P301" i="5"/>
  <c r="Q301" i="5"/>
  <c r="R301" i="5"/>
  <c r="C302" i="5"/>
  <c r="D302" i="5"/>
  <c r="E302" i="5"/>
  <c r="F302" i="5"/>
  <c r="G302" i="5"/>
  <c r="H302" i="5"/>
  <c r="I302" i="5"/>
  <c r="J302" i="5"/>
  <c r="K302" i="5"/>
  <c r="L302" i="5"/>
  <c r="M302" i="5"/>
  <c r="N302" i="5"/>
  <c r="O302" i="5"/>
  <c r="P302" i="5"/>
  <c r="Q302" i="5"/>
  <c r="R302" i="5"/>
  <c r="C303" i="5"/>
  <c r="D303" i="5"/>
  <c r="E303" i="5"/>
  <c r="F303" i="5"/>
  <c r="G303" i="5"/>
  <c r="H303" i="5"/>
  <c r="I303" i="5"/>
  <c r="J303" i="5"/>
  <c r="K303" i="5"/>
  <c r="L303" i="5"/>
  <c r="M303" i="5"/>
  <c r="N303" i="5"/>
  <c r="O303" i="5"/>
  <c r="P303" i="5"/>
  <c r="Q303" i="5"/>
  <c r="R303" i="5"/>
  <c r="C304" i="5"/>
  <c r="D304" i="5"/>
  <c r="E304" i="5"/>
  <c r="F304" i="5"/>
  <c r="G304" i="5"/>
  <c r="H304" i="5"/>
  <c r="I304" i="5"/>
  <c r="J304" i="5"/>
  <c r="K304" i="5"/>
  <c r="L304" i="5"/>
  <c r="M304" i="5"/>
  <c r="N304" i="5"/>
  <c r="O304" i="5"/>
  <c r="P304" i="5"/>
  <c r="Q304" i="5"/>
  <c r="R304" i="5"/>
  <c r="C305" i="5"/>
  <c r="D305" i="5"/>
  <c r="E305" i="5"/>
  <c r="F305" i="5"/>
  <c r="G305" i="5"/>
  <c r="H305" i="5"/>
  <c r="I305" i="5"/>
  <c r="J305" i="5"/>
  <c r="K305" i="5"/>
  <c r="L305" i="5"/>
  <c r="M305" i="5"/>
  <c r="N305" i="5"/>
  <c r="O305" i="5"/>
  <c r="P305" i="5"/>
  <c r="Q305" i="5"/>
  <c r="R305" i="5"/>
  <c r="C306" i="5"/>
  <c r="D306" i="5"/>
  <c r="E306" i="5"/>
  <c r="F306" i="5"/>
  <c r="G306" i="5"/>
  <c r="H306" i="5"/>
  <c r="I306" i="5"/>
  <c r="J306" i="5"/>
  <c r="K306" i="5"/>
  <c r="L306" i="5"/>
  <c r="M306" i="5"/>
  <c r="N306" i="5"/>
  <c r="O306" i="5"/>
  <c r="P306" i="5"/>
  <c r="Q306" i="5"/>
  <c r="R306" i="5"/>
  <c r="C307" i="5"/>
  <c r="D307" i="5"/>
  <c r="E307" i="5"/>
  <c r="F307" i="5"/>
  <c r="G307" i="5"/>
  <c r="H307" i="5"/>
  <c r="I307" i="5"/>
  <c r="J307" i="5"/>
  <c r="K307" i="5"/>
  <c r="L307" i="5"/>
  <c r="M307" i="5"/>
  <c r="N307" i="5"/>
  <c r="O307" i="5"/>
  <c r="P307" i="5"/>
  <c r="Q307" i="5"/>
  <c r="R307" i="5"/>
  <c r="C308" i="5"/>
  <c r="D308" i="5"/>
  <c r="E308" i="5"/>
  <c r="F308" i="5"/>
  <c r="G308" i="5"/>
  <c r="H308" i="5"/>
  <c r="I308" i="5"/>
  <c r="J308" i="5"/>
  <c r="K308" i="5"/>
  <c r="L308" i="5"/>
  <c r="M308" i="5"/>
  <c r="N308" i="5"/>
  <c r="O308" i="5"/>
  <c r="P308" i="5"/>
  <c r="Q308" i="5"/>
  <c r="R308" i="5"/>
  <c r="C309" i="5"/>
  <c r="D309" i="5"/>
  <c r="E309" i="5"/>
  <c r="F309" i="5"/>
  <c r="G309" i="5"/>
  <c r="H309" i="5"/>
  <c r="I309" i="5"/>
  <c r="J309" i="5"/>
  <c r="K309" i="5"/>
  <c r="L309" i="5"/>
  <c r="M309" i="5"/>
  <c r="N309" i="5"/>
  <c r="O309" i="5"/>
  <c r="P309" i="5"/>
  <c r="Q309" i="5"/>
  <c r="R309" i="5"/>
  <c r="C310" i="5"/>
  <c r="D310" i="5"/>
  <c r="E310" i="5"/>
  <c r="F310" i="5"/>
  <c r="G310" i="5"/>
  <c r="H310" i="5"/>
  <c r="I310" i="5"/>
  <c r="J310" i="5"/>
  <c r="K310" i="5"/>
  <c r="L310" i="5"/>
  <c r="M310" i="5"/>
  <c r="N310" i="5"/>
  <c r="O310" i="5"/>
  <c r="P310" i="5"/>
  <c r="Q310" i="5"/>
  <c r="R310" i="5"/>
  <c r="C311" i="5"/>
  <c r="D311" i="5"/>
  <c r="E311" i="5"/>
  <c r="F311" i="5"/>
  <c r="G311" i="5"/>
  <c r="H311" i="5"/>
  <c r="I311" i="5"/>
  <c r="J311" i="5"/>
  <c r="K311" i="5"/>
  <c r="L311" i="5"/>
  <c r="M311" i="5"/>
  <c r="N311" i="5"/>
  <c r="O311" i="5"/>
  <c r="P311" i="5"/>
  <c r="Q311" i="5"/>
  <c r="R311" i="5"/>
  <c r="C312" i="5"/>
  <c r="D312" i="5"/>
  <c r="E312" i="5"/>
  <c r="F312" i="5"/>
  <c r="G312" i="5"/>
  <c r="H312" i="5"/>
  <c r="I312" i="5"/>
  <c r="J312" i="5"/>
  <c r="K312" i="5"/>
  <c r="L312" i="5"/>
  <c r="M312" i="5"/>
  <c r="N312" i="5"/>
  <c r="O312" i="5"/>
  <c r="P312" i="5"/>
  <c r="Q312" i="5"/>
  <c r="R312" i="5"/>
  <c r="C313" i="5"/>
  <c r="D313" i="5"/>
  <c r="E313" i="5"/>
  <c r="F313" i="5"/>
  <c r="G313" i="5"/>
  <c r="H313" i="5"/>
  <c r="I313" i="5"/>
  <c r="J313" i="5"/>
  <c r="K313" i="5"/>
  <c r="L313" i="5"/>
  <c r="M313" i="5"/>
  <c r="N313" i="5"/>
  <c r="O313" i="5"/>
  <c r="P313" i="5"/>
  <c r="Q313" i="5"/>
  <c r="R313" i="5"/>
  <c r="C314" i="5"/>
  <c r="D314" i="5"/>
  <c r="E314" i="5"/>
  <c r="F314" i="5"/>
  <c r="G314" i="5"/>
  <c r="H314" i="5"/>
  <c r="I314" i="5"/>
  <c r="J314" i="5"/>
  <c r="K314" i="5"/>
  <c r="L314" i="5"/>
  <c r="M314" i="5"/>
  <c r="N314" i="5"/>
  <c r="O314" i="5"/>
  <c r="P314" i="5"/>
  <c r="Q314" i="5"/>
  <c r="R314" i="5"/>
  <c r="C315" i="5"/>
  <c r="D315" i="5"/>
  <c r="E315" i="5"/>
  <c r="F315" i="5"/>
  <c r="G315" i="5"/>
  <c r="H315" i="5"/>
  <c r="I315" i="5"/>
  <c r="J315" i="5"/>
  <c r="K315" i="5"/>
  <c r="L315" i="5"/>
  <c r="M315" i="5"/>
  <c r="N315" i="5"/>
  <c r="O315" i="5"/>
  <c r="P315" i="5"/>
  <c r="Q315" i="5"/>
  <c r="R315" i="5"/>
  <c r="C316" i="5"/>
  <c r="D316" i="5"/>
  <c r="E316" i="5"/>
  <c r="F316" i="5"/>
  <c r="G316" i="5"/>
  <c r="H316" i="5"/>
  <c r="I316" i="5"/>
  <c r="J316" i="5"/>
  <c r="K316" i="5"/>
  <c r="L316" i="5"/>
  <c r="M316" i="5"/>
  <c r="N316" i="5"/>
  <c r="O316" i="5"/>
  <c r="P316" i="5"/>
  <c r="Q316" i="5"/>
  <c r="R316" i="5"/>
  <c r="C317" i="5"/>
  <c r="D317" i="5"/>
  <c r="E317" i="5"/>
  <c r="F317" i="5"/>
  <c r="G317" i="5"/>
  <c r="H317" i="5"/>
  <c r="I317" i="5"/>
  <c r="J317" i="5"/>
  <c r="K317" i="5"/>
  <c r="L317" i="5"/>
  <c r="M317" i="5"/>
  <c r="N317" i="5"/>
  <c r="O317" i="5"/>
  <c r="P317" i="5"/>
  <c r="Q317" i="5"/>
  <c r="R317" i="5"/>
  <c r="C318" i="5"/>
  <c r="D318" i="5"/>
  <c r="E318" i="5"/>
  <c r="F318" i="5"/>
  <c r="G318" i="5"/>
  <c r="H318" i="5"/>
  <c r="I318" i="5"/>
  <c r="J318" i="5"/>
  <c r="K318" i="5"/>
  <c r="L318" i="5"/>
  <c r="M318" i="5"/>
  <c r="N318" i="5"/>
  <c r="O318" i="5"/>
  <c r="P318" i="5"/>
  <c r="Q318" i="5"/>
  <c r="R318" i="5"/>
  <c r="C319" i="5"/>
  <c r="D319" i="5"/>
  <c r="E319" i="5"/>
  <c r="F319" i="5"/>
  <c r="G319" i="5"/>
  <c r="H319" i="5"/>
  <c r="I319" i="5"/>
  <c r="J319" i="5"/>
  <c r="K319" i="5"/>
  <c r="L319" i="5"/>
  <c r="M319" i="5"/>
  <c r="N319" i="5"/>
  <c r="O319" i="5"/>
  <c r="P319" i="5"/>
  <c r="Q319" i="5"/>
  <c r="R319" i="5"/>
  <c r="C320" i="5"/>
  <c r="D320" i="5"/>
  <c r="E320" i="5"/>
  <c r="F320" i="5"/>
  <c r="G320" i="5"/>
  <c r="H320" i="5"/>
  <c r="I320" i="5"/>
  <c r="J320" i="5"/>
  <c r="K320" i="5"/>
  <c r="L320" i="5"/>
  <c r="M320" i="5"/>
  <c r="N320" i="5"/>
  <c r="O320" i="5"/>
  <c r="P320" i="5"/>
  <c r="Q320" i="5"/>
  <c r="R320" i="5"/>
  <c r="C321" i="5"/>
  <c r="D321" i="5"/>
  <c r="E321" i="5"/>
  <c r="F321" i="5"/>
  <c r="G321" i="5"/>
  <c r="H321" i="5"/>
  <c r="I321" i="5"/>
  <c r="J321" i="5"/>
  <c r="K321" i="5"/>
  <c r="L321" i="5"/>
  <c r="M321" i="5"/>
  <c r="N321" i="5"/>
  <c r="O321" i="5"/>
  <c r="P321" i="5"/>
  <c r="Q321" i="5"/>
  <c r="R321" i="5"/>
  <c r="C322" i="5"/>
  <c r="D322" i="5"/>
  <c r="E322" i="5"/>
  <c r="F322" i="5"/>
  <c r="G322" i="5"/>
  <c r="H322" i="5"/>
  <c r="I322" i="5"/>
  <c r="J322" i="5"/>
  <c r="K322" i="5"/>
  <c r="L322" i="5"/>
  <c r="M322" i="5"/>
  <c r="N322" i="5"/>
  <c r="O322" i="5"/>
  <c r="P322" i="5"/>
  <c r="Q322" i="5"/>
  <c r="R322" i="5"/>
  <c r="C323" i="5"/>
  <c r="D323" i="5"/>
  <c r="E323" i="5"/>
  <c r="F323" i="5"/>
  <c r="G323" i="5"/>
  <c r="H323" i="5"/>
  <c r="I323" i="5"/>
  <c r="J323" i="5"/>
  <c r="K323" i="5"/>
  <c r="L323" i="5"/>
  <c r="M323" i="5"/>
  <c r="N323" i="5"/>
  <c r="O323" i="5"/>
  <c r="P323" i="5"/>
  <c r="Q323" i="5"/>
  <c r="R323" i="5"/>
  <c r="C324" i="5"/>
  <c r="D324" i="5"/>
  <c r="E324" i="5"/>
  <c r="F324" i="5"/>
  <c r="G324" i="5"/>
  <c r="H324" i="5"/>
  <c r="I324" i="5"/>
  <c r="J324" i="5"/>
  <c r="K324" i="5"/>
  <c r="L324" i="5"/>
  <c r="M324" i="5"/>
  <c r="N324" i="5"/>
  <c r="O324" i="5"/>
  <c r="P324" i="5"/>
  <c r="Q324" i="5"/>
  <c r="R324" i="5"/>
  <c r="C325" i="5"/>
  <c r="D325" i="5"/>
  <c r="E325" i="5"/>
  <c r="F325" i="5"/>
  <c r="G325" i="5"/>
  <c r="H325" i="5"/>
  <c r="I325" i="5"/>
  <c r="J325" i="5"/>
  <c r="K325" i="5"/>
  <c r="L325" i="5"/>
  <c r="M325" i="5"/>
  <c r="N325" i="5"/>
  <c r="O325" i="5"/>
  <c r="P325" i="5"/>
  <c r="Q325" i="5"/>
  <c r="R325" i="5"/>
  <c r="C326" i="5"/>
  <c r="D326" i="5"/>
  <c r="E326" i="5"/>
  <c r="F326" i="5"/>
  <c r="G326" i="5"/>
  <c r="H326" i="5"/>
  <c r="I326" i="5"/>
  <c r="J326" i="5"/>
  <c r="K326" i="5"/>
  <c r="L326" i="5"/>
  <c r="M326" i="5"/>
  <c r="N326" i="5"/>
  <c r="O326" i="5"/>
  <c r="P326" i="5"/>
  <c r="Q326" i="5"/>
  <c r="R326" i="5"/>
  <c r="C327" i="5"/>
  <c r="D327" i="5"/>
  <c r="E327" i="5"/>
  <c r="F327" i="5"/>
  <c r="G327" i="5"/>
  <c r="H327" i="5"/>
  <c r="I327" i="5"/>
  <c r="J327" i="5"/>
  <c r="K327" i="5"/>
  <c r="L327" i="5"/>
  <c r="M327" i="5"/>
  <c r="N327" i="5"/>
  <c r="O327" i="5"/>
  <c r="P327" i="5"/>
  <c r="Q327" i="5"/>
  <c r="R327" i="5"/>
  <c r="C328" i="5"/>
  <c r="D328" i="5"/>
  <c r="E328" i="5"/>
  <c r="F328" i="5"/>
  <c r="G328" i="5"/>
  <c r="H328" i="5"/>
  <c r="I328" i="5"/>
  <c r="J328" i="5"/>
  <c r="K328" i="5"/>
  <c r="L328" i="5"/>
  <c r="M328" i="5"/>
  <c r="N328" i="5"/>
  <c r="O328" i="5"/>
  <c r="P328" i="5"/>
  <c r="Q328" i="5"/>
  <c r="R328" i="5"/>
  <c r="C329" i="5"/>
  <c r="D329" i="5"/>
  <c r="E329" i="5"/>
  <c r="F329" i="5"/>
  <c r="G329" i="5"/>
  <c r="H329" i="5"/>
  <c r="I329" i="5"/>
  <c r="J329" i="5"/>
  <c r="K329" i="5"/>
  <c r="L329" i="5"/>
  <c r="M329" i="5"/>
  <c r="N329" i="5"/>
  <c r="O329" i="5"/>
  <c r="P329" i="5"/>
  <c r="Q329" i="5"/>
  <c r="R329" i="5"/>
  <c r="C330" i="5"/>
  <c r="D330" i="5"/>
  <c r="E330" i="5"/>
  <c r="F330" i="5"/>
  <c r="G330" i="5"/>
  <c r="H330" i="5"/>
  <c r="I330" i="5"/>
  <c r="J330" i="5"/>
  <c r="K330" i="5"/>
  <c r="L330" i="5"/>
  <c r="M330" i="5"/>
  <c r="N330" i="5"/>
  <c r="O330" i="5"/>
  <c r="P330" i="5"/>
  <c r="Q330" i="5"/>
  <c r="R330" i="5"/>
  <c r="C331" i="5"/>
  <c r="D331" i="5"/>
  <c r="E331" i="5"/>
  <c r="F331" i="5"/>
  <c r="G331" i="5"/>
  <c r="H331" i="5"/>
  <c r="I331" i="5"/>
  <c r="J331" i="5"/>
  <c r="K331" i="5"/>
  <c r="L331" i="5"/>
  <c r="M331" i="5"/>
  <c r="N331" i="5"/>
  <c r="O331" i="5"/>
  <c r="P331" i="5"/>
  <c r="Q331" i="5"/>
  <c r="R331" i="5"/>
  <c r="C332" i="5"/>
  <c r="D332" i="5"/>
  <c r="E332" i="5"/>
  <c r="F332" i="5"/>
  <c r="G332" i="5"/>
  <c r="H332" i="5"/>
  <c r="I332" i="5"/>
  <c r="J332" i="5"/>
  <c r="K332" i="5"/>
  <c r="L332" i="5"/>
  <c r="M332" i="5"/>
  <c r="N332" i="5"/>
  <c r="O332" i="5"/>
  <c r="P332" i="5"/>
  <c r="Q332" i="5"/>
  <c r="R332" i="5"/>
  <c r="C333" i="5"/>
  <c r="D333" i="5"/>
  <c r="E333" i="5"/>
  <c r="F333" i="5"/>
  <c r="G333" i="5"/>
  <c r="H333" i="5"/>
  <c r="I333" i="5"/>
  <c r="J333" i="5"/>
  <c r="K333" i="5"/>
  <c r="L333" i="5"/>
  <c r="M333" i="5"/>
  <c r="N333" i="5"/>
  <c r="O333" i="5"/>
  <c r="P333" i="5"/>
  <c r="Q333" i="5"/>
  <c r="R333" i="5"/>
  <c r="C334" i="5"/>
  <c r="D334" i="5"/>
  <c r="E334" i="5"/>
  <c r="F334" i="5"/>
  <c r="G334" i="5"/>
  <c r="H334" i="5"/>
  <c r="I334" i="5"/>
  <c r="J334" i="5"/>
  <c r="K334" i="5"/>
  <c r="L334" i="5"/>
  <c r="M334" i="5"/>
  <c r="N334" i="5"/>
  <c r="O334" i="5"/>
  <c r="P334" i="5"/>
  <c r="Q334" i="5"/>
  <c r="R334" i="5"/>
  <c r="C335" i="5"/>
  <c r="D335" i="5"/>
  <c r="E335" i="5"/>
  <c r="F335" i="5"/>
  <c r="G335" i="5"/>
  <c r="H335" i="5"/>
  <c r="I335" i="5"/>
  <c r="J335" i="5"/>
  <c r="K335" i="5"/>
  <c r="L335" i="5"/>
  <c r="M335" i="5"/>
  <c r="N335" i="5"/>
  <c r="O335" i="5"/>
  <c r="P335" i="5"/>
  <c r="Q335" i="5"/>
  <c r="R335" i="5"/>
  <c r="C336" i="5"/>
  <c r="D336" i="5"/>
  <c r="E336" i="5"/>
  <c r="F336" i="5"/>
  <c r="G336" i="5"/>
  <c r="H336" i="5"/>
  <c r="I336" i="5"/>
  <c r="J336" i="5"/>
  <c r="K336" i="5"/>
  <c r="L336" i="5"/>
  <c r="M336" i="5"/>
  <c r="N336" i="5"/>
  <c r="O336" i="5"/>
  <c r="P336" i="5"/>
  <c r="Q336" i="5"/>
  <c r="R336" i="5"/>
  <c r="C337" i="5"/>
  <c r="D337" i="5"/>
  <c r="E337" i="5"/>
  <c r="F337" i="5"/>
  <c r="G337" i="5"/>
  <c r="H337" i="5"/>
  <c r="I337" i="5"/>
  <c r="J337" i="5"/>
  <c r="K337" i="5"/>
  <c r="L337" i="5"/>
  <c r="M337" i="5"/>
  <c r="N337" i="5"/>
  <c r="O337" i="5"/>
  <c r="P337" i="5"/>
  <c r="Q337" i="5"/>
  <c r="R337" i="5"/>
  <c r="C338" i="5"/>
  <c r="D338" i="5"/>
  <c r="E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C339" i="5"/>
  <c r="D339" i="5"/>
  <c r="E339" i="5"/>
  <c r="F339" i="5"/>
  <c r="G339" i="5"/>
  <c r="H339" i="5"/>
  <c r="I339" i="5"/>
  <c r="J339" i="5"/>
  <c r="K339" i="5"/>
  <c r="L339" i="5"/>
  <c r="M339" i="5"/>
  <c r="N339" i="5"/>
  <c r="O339" i="5"/>
  <c r="P339" i="5"/>
  <c r="Q339" i="5"/>
  <c r="R339" i="5"/>
  <c r="C340" i="5"/>
  <c r="D340" i="5"/>
  <c r="E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C341" i="5"/>
  <c r="D341" i="5"/>
  <c r="E341" i="5"/>
  <c r="F341" i="5"/>
  <c r="G341" i="5"/>
  <c r="H341" i="5"/>
  <c r="I341" i="5"/>
  <c r="J341" i="5"/>
  <c r="K341" i="5"/>
  <c r="L341" i="5"/>
  <c r="M341" i="5"/>
  <c r="N341" i="5"/>
  <c r="O341" i="5"/>
  <c r="P341" i="5"/>
  <c r="Q341" i="5"/>
  <c r="R341" i="5"/>
  <c r="C342" i="5"/>
  <c r="D342" i="5"/>
  <c r="E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C343" i="5"/>
  <c r="D343" i="5"/>
  <c r="E343" i="5"/>
  <c r="F343" i="5"/>
  <c r="G343" i="5"/>
  <c r="H343" i="5"/>
  <c r="I343" i="5"/>
  <c r="J343" i="5"/>
  <c r="K343" i="5"/>
  <c r="L343" i="5"/>
  <c r="M343" i="5"/>
  <c r="N343" i="5"/>
  <c r="O343" i="5"/>
  <c r="P343" i="5"/>
  <c r="Q343" i="5"/>
  <c r="R343" i="5"/>
  <c r="C344" i="5"/>
  <c r="D344" i="5"/>
  <c r="E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C345" i="5"/>
  <c r="D345" i="5"/>
  <c r="E345" i="5"/>
  <c r="F345" i="5"/>
  <c r="G345" i="5"/>
  <c r="H345" i="5"/>
  <c r="I345" i="5"/>
  <c r="J345" i="5"/>
  <c r="K345" i="5"/>
  <c r="L345" i="5"/>
  <c r="M345" i="5"/>
  <c r="N345" i="5"/>
  <c r="O345" i="5"/>
  <c r="P345" i="5"/>
  <c r="Q345" i="5"/>
  <c r="R345" i="5"/>
  <c r="C346" i="5"/>
  <c r="D346" i="5"/>
  <c r="E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C347" i="5"/>
  <c r="D347" i="5"/>
  <c r="E347" i="5"/>
  <c r="F347" i="5"/>
  <c r="G347" i="5"/>
  <c r="H347" i="5"/>
  <c r="I347" i="5"/>
  <c r="J347" i="5"/>
  <c r="K347" i="5"/>
  <c r="L347" i="5"/>
  <c r="M347" i="5"/>
  <c r="N347" i="5"/>
  <c r="O347" i="5"/>
  <c r="P347" i="5"/>
  <c r="Q347" i="5"/>
  <c r="R347" i="5"/>
  <c r="C348" i="5"/>
  <c r="D348" i="5"/>
  <c r="E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C349" i="5"/>
  <c r="D349" i="5"/>
  <c r="E349" i="5"/>
  <c r="F349" i="5"/>
  <c r="G349" i="5"/>
  <c r="H349" i="5"/>
  <c r="I349" i="5"/>
  <c r="J349" i="5"/>
  <c r="K349" i="5"/>
  <c r="L349" i="5"/>
  <c r="M349" i="5"/>
  <c r="N349" i="5"/>
  <c r="O349" i="5"/>
  <c r="P349" i="5"/>
  <c r="Q349" i="5"/>
  <c r="R349" i="5"/>
  <c r="C350" i="5"/>
  <c r="D350" i="5"/>
  <c r="E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C351" i="5"/>
  <c r="D351" i="5"/>
  <c r="E351" i="5"/>
  <c r="F351" i="5"/>
  <c r="G351" i="5"/>
  <c r="H351" i="5"/>
  <c r="I351" i="5"/>
  <c r="J351" i="5"/>
  <c r="K351" i="5"/>
  <c r="L351" i="5"/>
  <c r="M351" i="5"/>
  <c r="N351" i="5"/>
  <c r="O351" i="5"/>
  <c r="P351" i="5"/>
  <c r="Q351" i="5"/>
  <c r="R351" i="5"/>
  <c r="C352" i="5"/>
  <c r="D352" i="5"/>
  <c r="E352" i="5"/>
  <c r="F352" i="5"/>
  <c r="G352" i="5"/>
  <c r="H352" i="5"/>
  <c r="I352" i="5"/>
  <c r="J352" i="5"/>
  <c r="K352" i="5"/>
  <c r="L352" i="5"/>
  <c r="M352" i="5"/>
  <c r="N352" i="5"/>
  <c r="O352" i="5"/>
  <c r="P352" i="5"/>
  <c r="Q352" i="5"/>
  <c r="R352" i="5"/>
  <c r="C353" i="5"/>
  <c r="D353" i="5"/>
  <c r="E353" i="5"/>
  <c r="F353" i="5"/>
  <c r="G353" i="5"/>
  <c r="H353" i="5"/>
  <c r="I353" i="5"/>
  <c r="J353" i="5"/>
  <c r="K353" i="5"/>
  <c r="L353" i="5"/>
  <c r="M353" i="5"/>
  <c r="N353" i="5"/>
  <c r="O353" i="5"/>
  <c r="P353" i="5"/>
  <c r="Q353" i="5"/>
  <c r="R353" i="5"/>
  <c r="C354" i="5"/>
  <c r="D354" i="5"/>
  <c r="E354" i="5"/>
  <c r="F354" i="5"/>
  <c r="G354" i="5"/>
  <c r="H354" i="5"/>
  <c r="I354" i="5"/>
  <c r="J354" i="5"/>
  <c r="K354" i="5"/>
  <c r="L354" i="5"/>
  <c r="M354" i="5"/>
  <c r="N354" i="5"/>
  <c r="O354" i="5"/>
  <c r="P354" i="5"/>
  <c r="Q354" i="5"/>
  <c r="R354" i="5"/>
  <c r="C355" i="5"/>
  <c r="D355" i="5"/>
  <c r="E355" i="5"/>
  <c r="F355" i="5"/>
  <c r="G355" i="5"/>
  <c r="H355" i="5"/>
  <c r="I355" i="5"/>
  <c r="J355" i="5"/>
  <c r="K355" i="5"/>
  <c r="L355" i="5"/>
  <c r="M355" i="5"/>
  <c r="N355" i="5"/>
  <c r="O355" i="5"/>
  <c r="P355" i="5"/>
  <c r="Q355" i="5"/>
  <c r="R355" i="5"/>
  <c r="C356" i="5"/>
  <c r="D356" i="5"/>
  <c r="E356" i="5"/>
  <c r="F356" i="5"/>
  <c r="G356" i="5"/>
  <c r="H356" i="5"/>
  <c r="I356" i="5"/>
  <c r="J356" i="5"/>
  <c r="K356" i="5"/>
  <c r="L356" i="5"/>
  <c r="M356" i="5"/>
  <c r="N356" i="5"/>
  <c r="O356" i="5"/>
  <c r="P356" i="5"/>
  <c r="Q356" i="5"/>
  <c r="R356" i="5"/>
  <c r="C357" i="5"/>
  <c r="D357" i="5"/>
  <c r="E357" i="5"/>
  <c r="F357" i="5"/>
  <c r="G357" i="5"/>
  <c r="H357" i="5"/>
  <c r="I357" i="5"/>
  <c r="J357" i="5"/>
  <c r="K357" i="5"/>
  <c r="L357" i="5"/>
  <c r="M357" i="5"/>
  <c r="N357" i="5"/>
  <c r="O357" i="5"/>
  <c r="P357" i="5"/>
  <c r="Q357" i="5"/>
  <c r="R357" i="5"/>
  <c r="C358" i="5"/>
  <c r="D358" i="5"/>
  <c r="E358" i="5"/>
  <c r="F358" i="5"/>
  <c r="G358" i="5"/>
  <c r="H358" i="5"/>
  <c r="I358" i="5"/>
  <c r="J358" i="5"/>
  <c r="K358" i="5"/>
  <c r="L358" i="5"/>
  <c r="M358" i="5"/>
  <c r="N358" i="5"/>
  <c r="O358" i="5"/>
  <c r="P358" i="5"/>
  <c r="Q358" i="5"/>
  <c r="R358" i="5"/>
  <c r="C359" i="5"/>
  <c r="D359" i="5"/>
  <c r="E359" i="5"/>
  <c r="F359" i="5"/>
  <c r="G359" i="5"/>
  <c r="H359" i="5"/>
  <c r="I359" i="5"/>
  <c r="J359" i="5"/>
  <c r="K359" i="5"/>
  <c r="L359" i="5"/>
  <c r="M359" i="5"/>
  <c r="N359" i="5"/>
  <c r="O359" i="5"/>
  <c r="P359" i="5"/>
  <c r="Q359" i="5"/>
  <c r="R359" i="5"/>
  <c r="C360" i="5"/>
  <c r="D360" i="5"/>
  <c r="E360" i="5"/>
  <c r="F360" i="5"/>
  <c r="G360" i="5"/>
  <c r="H360" i="5"/>
  <c r="I360" i="5"/>
  <c r="J360" i="5"/>
  <c r="K360" i="5"/>
  <c r="L360" i="5"/>
  <c r="M360" i="5"/>
  <c r="N360" i="5"/>
  <c r="O360" i="5"/>
  <c r="P360" i="5"/>
  <c r="Q360" i="5"/>
  <c r="R360" i="5"/>
  <c r="C361" i="5"/>
  <c r="D361" i="5"/>
  <c r="E361" i="5"/>
  <c r="F361" i="5"/>
  <c r="G361" i="5"/>
  <c r="H361" i="5"/>
  <c r="I361" i="5"/>
  <c r="J361" i="5"/>
  <c r="K361" i="5"/>
  <c r="L361" i="5"/>
  <c r="M361" i="5"/>
  <c r="N361" i="5"/>
  <c r="O361" i="5"/>
  <c r="P361" i="5"/>
  <c r="Q361" i="5"/>
  <c r="R361" i="5"/>
  <c r="C362" i="5"/>
  <c r="D362" i="5"/>
  <c r="E362" i="5"/>
  <c r="F362" i="5"/>
  <c r="G362" i="5"/>
  <c r="H362" i="5"/>
  <c r="I362" i="5"/>
  <c r="J362" i="5"/>
  <c r="K362" i="5"/>
  <c r="L362" i="5"/>
  <c r="M362" i="5"/>
  <c r="N362" i="5"/>
  <c r="O362" i="5"/>
  <c r="P362" i="5"/>
  <c r="Q362" i="5"/>
  <c r="R362" i="5"/>
  <c r="C363" i="5"/>
  <c r="D363" i="5"/>
  <c r="E363" i="5"/>
  <c r="F363" i="5"/>
  <c r="G363" i="5"/>
  <c r="H363" i="5"/>
  <c r="I363" i="5"/>
  <c r="J363" i="5"/>
  <c r="K363" i="5"/>
  <c r="L363" i="5"/>
  <c r="M363" i="5"/>
  <c r="N363" i="5"/>
  <c r="O363" i="5"/>
  <c r="P363" i="5"/>
  <c r="Q363" i="5"/>
  <c r="R363" i="5"/>
  <c r="C364" i="5"/>
  <c r="D364" i="5"/>
  <c r="E364" i="5"/>
  <c r="F364" i="5"/>
  <c r="G364" i="5"/>
  <c r="H364" i="5"/>
  <c r="I364" i="5"/>
  <c r="J364" i="5"/>
  <c r="K364" i="5"/>
  <c r="L364" i="5"/>
  <c r="M364" i="5"/>
  <c r="N364" i="5"/>
  <c r="O364" i="5"/>
  <c r="P364" i="5"/>
  <c r="Q364" i="5"/>
  <c r="R364" i="5"/>
  <c r="C365" i="5"/>
  <c r="D365" i="5"/>
  <c r="E365" i="5"/>
  <c r="F365" i="5"/>
  <c r="G365" i="5"/>
  <c r="H365" i="5"/>
  <c r="I365" i="5"/>
  <c r="J365" i="5"/>
  <c r="K365" i="5"/>
  <c r="L365" i="5"/>
  <c r="M365" i="5"/>
  <c r="N365" i="5"/>
  <c r="O365" i="5"/>
  <c r="P365" i="5"/>
  <c r="Q365" i="5"/>
  <c r="R365" i="5"/>
  <c r="C366" i="5"/>
  <c r="D366" i="5"/>
  <c r="E366" i="5"/>
  <c r="F366" i="5"/>
  <c r="G366" i="5"/>
  <c r="H366" i="5"/>
  <c r="I366" i="5"/>
  <c r="J366" i="5"/>
  <c r="K366" i="5"/>
  <c r="L366" i="5"/>
  <c r="M366" i="5"/>
  <c r="N366" i="5"/>
  <c r="O366" i="5"/>
  <c r="P366" i="5"/>
  <c r="Q366" i="5"/>
  <c r="R366" i="5"/>
  <c r="C367" i="5"/>
  <c r="D367" i="5"/>
  <c r="E367" i="5"/>
  <c r="F367" i="5"/>
  <c r="G367" i="5"/>
  <c r="H367" i="5"/>
  <c r="I367" i="5"/>
  <c r="J367" i="5"/>
  <c r="K367" i="5"/>
  <c r="L367" i="5"/>
  <c r="M367" i="5"/>
  <c r="N367" i="5"/>
  <c r="O367" i="5"/>
  <c r="P367" i="5"/>
  <c r="Q367" i="5"/>
  <c r="R367" i="5"/>
  <c r="C368" i="5"/>
  <c r="D368" i="5"/>
  <c r="E368" i="5"/>
  <c r="F368" i="5"/>
  <c r="G368" i="5"/>
  <c r="H368" i="5"/>
  <c r="I368" i="5"/>
  <c r="J368" i="5"/>
  <c r="K368" i="5"/>
  <c r="L368" i="5"/>
  <c r="M368" i="5"/>
  <c r="N368" i="5"/>
  <c r="O368" i="5"/>
  <c r="P368" i="5"/>
  <c r="Q368" i="5"/>
  <c r="R368" i="5"/>
  <c r="C369" i="5"/>
  <c r="D369" i="5"/>
  <c r="E369" i="5"/>
  <c r="F369" i="5"/>
  <c r="G369" i="5"/>
  <c r="H369" i="5"/>
  <c r="I369" i="5"/>
  <c r="J369" i="5"/>
  <c r="K369" i="5"/>
  <c r="L369" i="5"/>
  <c r="M369" i="5"/>
  <c r="N369" i="5"/>
  <c r="O369" i="5"/>
  <c r="P369" i="5"/>
  <c r="Q369" i="5"/>
  <c r="R369" i="5"/>
  <c r="C370" i="5"/>
  <c r="D370" i="5"/>
  <c r="E370" i="5"/>
  <c r="F370" i="5"/>
  <c r="G370" i="5"/>
  <c r="H370" i="5"/>
  <c r="I370" i="5"/>
  <c r="J370" i="5"/>
  <c r="K370" i="5"/>
  <c r="L370" i="5"/>
  <c r="M370" i="5"/>
  <c r="N370" i="5"/>
  <c r="O370" i="5"/>
  <c r="P370" i="5"/>
  <c r="Q370" i="5"/>
  <c r="R370" i="5"/>
  <c r="C371" i="5"/>
  <c r="D371" i="5"/>
  <c r="E371" i="5"/>
  <c r="F371" i="5"/>
  <c r="G371" i="5"/>
  <c r="H371" i="5"/>
  <c r="I371" i="5"/>
  <c r="J371" i="5"/>
  <c r="K371" i="5"/>
  <c r="L371" i="5"/>
  <c r="M371" i="5"/>
  <c r="N371" i="5"/>
  <c r="O371" i="5"/>
  <c r="P371" i="5"/>
  <c r="Q371" i="5"/>
  <c r="R371" i="5"/>
  <c r="C372" i="5"/>
  <c r="D372" i="5"/>
  <c r="E372" i="5"/>
  <c r="F372" i="5"/>
  <c r="G372" i="5"/>
  <c r="H372" i="5"/>
  <c r="I372" i="5"/>
  <c r="J372" i="5"/>
  <c r="K372" i="5"/>
  <c r="L372" i="5"/>
  <c r="M372" i="5"/>
  <c r="N372" i="5"/>
  <c r="O372" i="5"/>
  <c r="P372" i="5"/>
  <c r="Q372" i="5"/>
  <c r="R372" i="5"/>
  <c r="C373" i="5"/>
  <c r="D373" i="5"/>
  <c r="E373" i="5"/>
  <c r="F373" i="5"/>
  <c r="G373" i="5"/>
  <c r="H373" i="5"/>
  <c r="I373" i="5"/>
  <c r="J373" i="5"/>
  <c r="K373" i="5"/>
  <c r="L373" i="5"/>
  <c r="M373" i="5"/>
  <c r="N373" i="5"/>
  <c r="O373" i="5"/>
  <c r="P373" i="5"/>
  <c r="Q373" i="5"/>
  <c r="R373" i="5"/>
  <c r="C374" i="5"/>
  <c r="D374" i="5"/>
  <c r="E374" i="5"/>
  <c r="F374" i="5"/>
  <c r="G374" i="5"/>
  <c r="H374" i="5"/>
  <c r="I374" i="5"/>
  <c r="J374" i="5"/>
  <c r="K374" i="5"/>
  <c r="L374" i="5"/>
  <c r="M374" i="5"/>
  <c r="N374" i="5"/>
  <c r="O374" i="5"/>
  <c r="P374" i="5"/>
  <c r="Q374" i="5"/>
  <c r="R374" i="5"/>
  <c r="C375" i="5"/>
  <c r="D375" i="5"/>
  <c r="E375" i="5"/>
  <c r="F375" i="5"/>
  <c r="G375" i="5"/>
  <c r="H375" i="5"/>
  <c r="I375" i="5"/>
  <c r="J375" i="5"/>
  <c r="K375" i="5"/>
  <c r="L375" i="5"/>
  <c r="M375" i="5"/>
  <c r="N375" i="5"/>
  <c r="O375" i="5"/>
  <c r="P375" i="5"/>
  <c r="Q375" i="5"/>
  <c r="R375" i="5"/>
  <c r="C376" i="5"/>
  <c r="D376" i="5"/>
  <c r="E376" i="5"/>
  <c r="F376" i="5"/>
  <c r="G376" i="5"/>
  <c r="H376" i="5"/>
  <c r="I376" i="5"/>
  <c r="J376" i="5"/>
  <c r="K376" i="5"/>
  <c r="L376" i="5"/>
  <c r="M376" i="5"/>
  <c r="N376" i="5"/>
  <c r="O376" i="5"/>
  <c r="P376" i="5"/>
  <c r="Q376" i="5"/>
  <c r="R376" i="5"/>
  <c r="C377" i="5"/>
  <c r="D377" i="5"/>
  <c r="E377" i="5"/>
  <c r="F377" i="5"/>
  <c r="G377" i="5"/>
  <c r="H377" i="5"/>
  <c r="I377" i="5"/>
  <c r="J377" i="5"/>
  <c r="K377" i="5"/>
  <c r="L377" i="5"/>
  <c r="M377" i="5"/>
  <c r="N377" i="5"/>
  <c r="O377" i="5"/>
  <c r="P377" i="5"/>
  <c r="Q377" i="5"/>
  <c r="R377" i="5"/>
  <c r="C378" i="5"/>
  <c r="D378" i="5"/>
  <c r="E378" i="5"/>
  <c r="F378" i="5"/>
  <c r="G378" i="5"/>
  <c r="H378" i="5"/>
  <c r="I378" i="5"/>
  <c r="J378" i="5"/>
  <c r="K378" i="5"/>
  <c r="L378" i="5"/>
  <c r="M378" i="5"/>
  <c r="N378" i="5"/>
  <c r="O378" i="5"/>
  <c r="P378" i="5"/>
  <c r="Q378" i="5"/>
  <c r="R378" i="5"/>
  <c r="C379" i="5"/>
  <c r="D379" i="5"/>
  <c r="E379" i="5"/>
  <c r="F379" i="5"/>
  <c r="G379" i="5"/>
  <c r="H379" i="5"/>
  <c r="I379" i="5"/>
  <c r="J379" i="5"/>
  <c r="K379" i="5"/>
  <c r="L379" i="5"/>
  <c r="M379" i="5"/>
  <c r="N379" i="5"/>
  <c r="O379" i="5"/>
  <c r="P379" i="5"/>
  <c r="Q379" i="5"/>
  <c r="R379" i="5"/>
  <c r="C380" i="5"/>
  <c r="D380" i="5"/>
  <c r="E380" i="5"/>
  <c r="F380" i="5"/>
  <c r="G380" i="5"/>
  <c r="H380" i="5"/>
  <c r="I380" i="5"/>
  <c r="J380" i="5"/>
  <c r="K380" i="5"/>
  <c r="L380" i="5"/>
  <c r="M380" i="5"/>
  <c r="N380" i="5"/>
  <c r="O380" i="5"/>
  <c r="P380" i="5"/>
  <c r="Q380" i="5"/>
  <c r="R380" i="5"/>
  <c r="C381" i="5"/>
  <c r="D381" i="5"/>
  <c r="E381" i="5"/>
  <c r="F381" i="5"/>
  <c r="G381" i="5"/>
  <c r="H381" i="5"/>
  <c r="I381" i="5"/>
  <c r="J381" i="5"/>
  <c r="K381" i="5"/>
  <c r="L381" i="5"/>
  <c r="M381" i="5"/>
  <c r="N381" i="5"/>
  <c r="O381" i="5"/>
  <c r="P381" i="5"/>
  <c r="Q381" i="5"/>
  <c r="R381" i="5"/>
  <c r="C382" i="5"/>
  <c r="D382" i="5"/>
  <c r="E382" i="5"/>
  <c r="F382" i="5"/>
  <c r="G382" i="5"/>
  <c r="H382" i="5"/>
  <c r="I382" i="5"/>
  <c r="J382" i="5"/>
  <c r="K382" i="5"/>
  <c r="L382" i="5"/>
  <c r="M382" i="5"/>
  <c r="N382" i="5"/>
  <c r="O382" i="5"/>
  <c r="P382" i="5"/>
  <c r="Q382" i="5"/>
  <c r="R382" i="5"/>
  <c r="C383" i="5"/>
  <c r="D383" i="5"/>
  <c r="E383" i="5"/>
  <c r="F383" i="5"/>
  <c r="G383" i="5"/>
  <c r="H383" i="5"/>
  <c r="I383" i="5"/>
  <c r="J383" i="5"/>
  <c r="K383" i="5"/>
  <c r="L383" i="5"/>
  <c r="M383" i="5"/>
  <c r="N383" i="5"/>
  <c r="O383" i="5"/>
  <c r="P383" i="5"/>
  <c r="Q383" i="5"/>
  <c r="R383" i="5"/>
  <c r="C384" i="5"/>
  <c r="D384" i="5"/>
  <c r="E384" i="5"/>
  <c r="F384" i="5"/>
  <c r="G384" i="5"/>
  <c r="H384" i="5"/>
  <c r="I384" i="5"/>
  <c r="J384" i="5"/>
  <c r="K384" i="5"/>
  <c r="L384" i="5"/>
  <c r="M384" i="5"/>
  <c r="N384" i="5"/>
  <c r="O384" i="5"/>
  <c r="P384" i="5"/>
  <c r="Q384" i="5"/>
  <c r="R384" i="5"/>
  <c r="C385" i="5"/>
  <c r="D385" i="5"/>
  <c r="E385" i="5"/>
  <c r="F385" i="5"/>
  <c r="G385" i="5"/>
  <c r="H385" i="5"/>
  <c r="I385" i="5"/>
  <c r="J385" i="5"/>
  <c r="K385" i="5"/>
  <c r="L385" i="5"/>
  <c r="M385" i="5"/>
  <c r="N385" i="5"/>
  <c r="O385" i="5"/>
  <c r="P385" i="5"/>
  <c r="Q385" i="5"/>
  <c r="R385" i="5"/>
  <c r="C386" i="5"/>
  <c r="D386" i="5"/>
  <c r="E386" i="5"/>
  <c r="F386" i="5"/>
  <c r="G386" i="5"/>
  <c r="H386" i="5"/>
  <c r="I386" i="5"/>
  <c r="J386" i="5"/>
  <c r="K386" i="5"/>
  <c r="L386" i="5"/>
  <c r="M386" i="5"/>
  <c r="N386" i="5"/>
  <c r="O386" i="5"/>
  <c r="P386" i="5"/>
  <c r="Q386" i="5"/>
  <c r="R386" i="5"/>
  <c r="C387" i="5"/>
  <c r="D387" i="5"/>
  <c r="E387" i="5"/>
  <c r="F387" i="5"/>
  <c r="G387" i="5"/>
  <c r="H387" i="5"/>
  <c r="I387" i="5"/>
  <c r="J387" i="5"/>
  <c r="K387" i="5"/>
  <c r="L387" i="5"/>
  <c r="M387" i="5"/>
  <c r="N387" i="5"/>
  <c r="O387" i="5"/>
  <c r="P387" i="5"/>
  <c r="Q387" i="5"/>
  <c r="R387" i="5"/>
  <c r="C388" i="5"/>
  <c r="D388" i="5"/>
  <c r="E388" i="5"/>
  <c r="F388" i="5"/>
  <c r="G388" i="5"/>
  <c r="H388" i="5"/>
  <c r="I388" i="5"/>
  <c r="J388" i="5"/>
  <c r="K388" i="5"/>
  <c r="L388" i="5"/>
  <c r="M388" i="5"/>
  <c r="N388" i="5"/>
  <c r="O388" i="5"/>
  <c r="P388" i="5"/>
  <c r="Q388" i="5"/>
  <c r="R388" i="5"/>
  <c r="C389" i="5"/>
  <c r="D389" i="5"/>
  <c r="E389" i="5"/>
  <c r="F389" i="5"/>
  <c r="G389" i="5"/>
  <c r="H389" i="5"/>
  <c r="I389" i="5"/>
  <c r="J389" i="5"/>
  <c r="K389" i="5"/>
  <c r="L389" i="5"/>
  <c r="M389" i="5"/>
  <c r="N389" i="5"/>
  <c r="O389" i="5"/>
  <c r="P389" i="5"/>
  <c r="Q389" i="5"/>
  <c r="R389" i="5"/>
  <c r="C390" i="5"/>
  <c r="D390" i="5"/>
  <c r="E390" i="5"/>
  <c r="F390" i="5"/>
  <c r="G390" i="5"/>
  <c r="H390" i="5"/>
  <c r="I390" i="5"/>
  <c r="J390" i="5"/>
  <c r="K390" i="5"/>
  <c r="L390" i="5"/>
  <c r="M390" i="5"/>
  <c r="N390" i="5"/>
  <c r="O390" i="5"/>
  <c r="P390" i="5"/>
  <c r="Q390" i="5"/>
  <c r="R390" i="5"/>
  <c r="C391" i="5"/>
  <c r="D391" i="5"/>
  <c r="E391" i="5"/>
  <c r="F391" i="5"/>
  <c r="G391" i="5"/>
  <c r="H391" i="5"/>
  <c r="I391" i="5"/>
  <c r="J391" i="5"/>
  <c r="K391" i="5"/>
  <c r="L391" i="5"/>
  <c r="M391" i="5"/>
  <c r="N391" i="5"/>
  <c r="O391" i="5"/>
  <c r="P391" i="5"/>
  <c r="Q391" i="5"/>
  <c r="R391" i="5"/>
  <c r="C392" i="5"/>
  <c r="D392" i="5"/>
  <c r="E392" i="5"/>
  <c r="F392" i="5"/>
  <c r="G392" i="5"/>
  <c r="H392" i="5"/>
  <c r="I392" i="5"/>
  <c r="J392" i="5"/>
  <c r="K392" i="5"/>
  <c r="L392" i="5"/>
  <c r="M392" i="5"/>
  <c r="N392" i="5"/>
  <c r="O392" i="5"/>
  <c r="P392" i="5"/>
  <c r="Q392" i="5"/>
  <c r="R392" i="5"/>
  <c r="C393" i="5"/>
  <c r="D393" i="5"/>
  <c r="E393" i="5"/>
  <c r="F393" i="5"/>
  <c r="G393" i="5"/>
  <c r="H393" i="5"/>
  <c r="I393" i="5"/>
  <c r="J393" i="5"/>
  <c r="K393" i="5"/>
  <c r="L393" i="5"/>
  <c r="M393" i="5"/>
  <c r="N393" i="5"/>
  <c r="O393" i="5"/>
  <c r="P393" i="5"/>
  <c r="Q393" i="5"/>
  <c r="R393" i="5"/>
  <c r="C394" i="5"/>
  <c r="D394" i="5"/>
  <c r="E394" i="5"/>
  <c r="F394" i="5"/>
  <c r="G394" i="5"/>
  <c r="H394" i="5"/>
  <c r="I394" i="5"/>
  <c r="J394" i="5"/>
  <c r="K394" i="5"/>
  <c r="L394" i="5"/>
  <c r="M394" i="5"/>
  <c r="N394" i="5"/>
  <c r="O394" i="5"/>
  <c r="P394" i="5"/>
  <c r="Q394" i="5"/>
  <c r="R394" i="5"/>
  <c r="C395" i="5"/>
  <c r="D395" i="5"/>
  <c r="E395" i="5"/>
  <c r="F395" i="5"/>
  <c r="G395" i="5"/>
  <c r="H395" i="5"/>
  <c r="I395" i="5"/>
  <c r="J395" i="5"/>
  <c r="K395" i="5"/>
  <c r="L395" i="5"/>
  <c r="M395" i="5"/>
  <c r="N395" i="5"/>
  <c r="O395" i="5"/>
  <c r="P395" i="5"/>
  <c r="Q395" i="5"/>
  <c r="R395" i="5"/>
  <c r="C396" i="5"/>
  <c r="D396" i="5"/>
  <c r="E396" i="5"/>
  <c r="F396" i="5"/>
  <c r="G396" i="5"/>
  <c r="H396" i="5"/>
  <c r="I396" i="5"/>
  <c r="J396" i="5"/>
  <c r="K396" i="5"/>
  <c r="L396" i="5"/>
  <c r="M396" i="5"/>
  <c r="N396" i="5"/>
  <c r="O396" i="5"/>
  <c r="P396" i="5"/>
  <c r="Q396" i="5"/>
  <c r="R396" i="5"/>
  <c r="C397" i="5"/>
  <c r="D397" i="5"/>
  <c r="E397" i="5"/>
  <c r="F397" i="5"/>
  <c r="G397" i="5"/>
  <c r="H397" i="5"/>
  <c r="I397" i="5"/>
  <c r="J397" i="5"/>
  <c r="K397" i="5"/>
  <c r="L397" i="5"/>
  <c r="M397" i="5"/>
  <c r="N397" i="5"/>
  <c r="O397" i="5"/>
  <c r="P397" i="5"/>
  <c r="Q397" i="5"/>
  <c r="R397" i="5"/>
  <c r="C398" i="5"/>
  <c r="D398" i="5"/>
  <c r="E398" i="5"/>
  <c r="F398" i="5"/>
  <c r="G398" i="5"/>
  <c r="H398" i="5"/>
  <c r="I398" i="5"/>
  <c r="J398" i="5"/>
  <c r="K398" i="5"/>
  <c r="L398" i="5"/>
  <c r="M398" i="5"/>
  <c r="N398" i="5"/>
  <c r="O398" i="5"/>
  <c r="P398" i="5"/>
  <c r="Q398" i="5"/>
  <c r="R398" i="5"/>
  <c r="C399" i="5"/>
  <c r="D399" i="5"/>
  <c r="E399" i="5"/>
  <c r="F399" i="5"/>
  <c r="G399" i="5"/>
  <c r="H399" i="5"/>
  <c r="I399" i="5"/>
  <c r="J399" i="5"/>
  <c r="K399" i="5"/>
  <c r="L399" i="5"/>
  <c r="M399" i="5"/>
  <c r="N399" i="5"/>
  <c r="O399" i="5"/>
  <c r="P399" i="5"/>
  <c r="Q399" i="5"/>
  <c r="R399" i="5"/>
  <c r="C400" i="5"/>
  <c r="D400" i="5"/>
  <c r="E400" i="5"/>
  <c r="F400" i="5"/>
  <c r="G400" i="5"/>
  <c r="H400" i="5"/>
  <c r="I400" i="5"/>
  <c r="J400" i="5"/>
  <c r="K400" i="5"/>
  <c r="L400" i="5"/>
  <c r="M400" i="5"/>
  <c r="N400" i="5"/>
  <c r="O400" i="5"/>
  <c r="P400" i="5"/>
  <c r="Q400" i="5"/>
  <c r="R400" i="5"/>
  <c r="C401" i="5"/>
  <c r="D401" i="5"/>
  <c r="E401" i="5"/>
  <c r="F401" i="5"/>
  <c r="G401" i="5"/>
  <c r="H401" i="5"/>
  <c r="I401" i="5"/>
  <c r="J401" i="5"/>
  <c r="K401" i="5"/>
  <c r="L401" i="5"/>
  <c r="M401" i="5"/>
  <c r="N401" i="5"/>
  <c r="O401" i="5"/>
  <c r="P401" i="5"/>
  <c r="Q401" i="5"/>
  <c r="R401" i="5"/>
  <c r="C402" i="5"/>
  <c r="D402" i="5"/>
  <c r="E402" i="5"/>
  <c r="F402" i="5"/>
  <c r="G402" i="5"/>
  <c r="H402" i="5"/>
  <c r="I402" i="5"/>
  <c r="J402" i="5"/>
  <c r="K402" i="5"/>
  <c r="L402" i="5"/>
  <c r="M402" i="5"/>
  <c r="N402" i="5"/>
  <c r="O402" i="5"/>
  <c r="P402" i="5"/>
  <c r="Q402" i="5"/>
  <c r="R402" i="5"/>
  <c r="C403" i="5"/>
  <c r="D403" i="5"/>
  <c r="E403" i="5"/>
  <c r="F403" i="5"/>
  <c r="G403" i="5"/>
  <c r="H403" i="5"/>
  <c r="I403" i="5"/>
  <c r="J403" i="5"/>
  <c r="K403" i="5"/>
  <c r="L403" i="5"/>
  <c r="M403" i="5"/>
  <c r="N403" i="5"/>
  <c r="O403" i="5"/>
  <c r="P403" i="5"/>
  <c r="Q403" i="5"/>
  <c r="R403" i="5"/>
  <c r="C404" i="5"/>
  <c r="D404" i="5"/>
  <c r="E404" i="5"/>
  <c r="F404" i="5"/>
  <c r="G404" i="5"/>
  <c r="H404" i="5"/>
  <c r="I404" i="5"/>
  <c r="J404" i="5"/>
  <c r="K404" i="5"/>
  <c r="L404" i="5"/>
  <c r="M404" i="5"/>
  <c r="N404" i="5"/>
  <c r="O404" i="5"/>
  <c r="P404" i="5"/>
  <c r="Q404" i="5"/>
  <c r="R404" i="5"/>
  <c r="C405" i="5"/>
  <c r="D405" i="5"/>
  <c r="E405" i="5"/>
  <c r="F405" i="5"/>
  <c r="G405" i="5"/>
  <c r="H405" i="5"/>
  <c r="I405" i="5"/>
  <c r="J405" i="5"/>
  <c r="K405" i="5"/>
  <c r="L405" i="5"/>
  <c r="M405" i="5"/>
  <c r="N405" i="5"/>
  <c r="O405" i="5"/>
  <c r="P405" i="5"/>
  <c r="Q405" i="5"/>
  <c r="R405" i="5"/>
  <c r="C406" i="5"/>
  <c r="D406" i="5"/>
  <c r="E406" i="5"/>
  <c r="F406" i="5"/>
  <c r="G406" i="5"/>
  <c r="H406" i="5"/>
  <c r="I406" i="5"/>
  <c r="J406" i="5"/>
  <c r="K406" i="5"/>
  <c r="L406" i="5"/>
  <c r="M406" i="5"/>
  <c r="N406" i="5"/>
  <c r="O406" i="5"/>
  <c r="P406" i="5"/>
  <c r="Q406" i="5"/>
  <c r="R406" i="5"/>
  <c r="C407" i="5"/>
  <c r="D407" i="5"/>
  <c r="E407" i="5"/>
  <c r="F407" i="5"/>
  <c r="G407" i="5"/>
  <c r="H407" i="5"/>
  <c r="I407" i="5"/>
  <c r="J407" i="5"/>
  <c r="K407" i="5"/>
  <c r="L407" i="5"/>
  <c r="M407" i="5"/>
  <c r="N407" i="5"/>
  <c r="O407" i="5"/>
  <c r="P407" i="5"/>
  <c r="Q407" i="5"/>
  <c r="R407" i="5"/>
  <c r="C408" i="5"/>
  <c r="D408" i="5"/>
  <c r="E408" i="5"/>
  <c r="F408" i="5"/>
  <c r="G408" i="5"/>
  <c r="H408" i="5"/>
  <c r="I408" i="5"/>
  <c r="J408" i="5"/>
  <c r="K408" i="5"/>
  <c r="L408" i="5"/>
  <c r="M408" i="5"/>
  <c r="N408" i="5"/>
  <c r="O408" i="5"/>
  <c r="P408" i="5"/>
  <c r="Q408" i="5"/>
  <c r="R408" i="5"/>
  <c r="C409" i="5"/>
  <c r="D409" i="5"/>
  <c r="E409" i="5"/>
  <c r="F409" i="5"/>
  <c r="G409" i="5"/>
  <c r="H409" i="5"/>
  <c r="I409" i="5"/>
  <c r="J409" i="5"/>
  <c r="K409" i="5"/>
  <c r="L409" i="5"/>
  <c r="M409" i="5"/>
  <c r="N409" i="5"/>
  <c r="O409" i="5"/>
  <c r="P409" i="5"/>
  <c r="Q409" i="5"/>
  <c r="R409" i="5"/>
  <c r="C410" i="5"/>
  <c r="D410" i="5"/>
  <c r="E410" i="5"/>
  <c r="F410" i="5"/>
  <c r="G410" i="5"/>
  <c r="H410" i="5"/>
  <c r="I410" i="5"/>
  <c r="J410" i="5"/>
  <c r="K410" i="5"/>
  <c r="L410" i="5"/>
  <c r="M410" i="5"/>
  <c r="N410" i="5"/>
  <c r="O410" i="5"/>
  <c r="P410" i="5"/>
  <c r="Q410" i="5"/>
  <c r="R410" i="5"/>
  <c r="C411" i="5"/>
  <c r="D411" i="5"/>
  <c r="E411" i="5"/>
  <c r="F411" i="5"/>
  <c r="G411" i="5"/>
  <c r="H411" i="5"/>
  <c r="I411" i="5"/>
  <c r="J411" i="5"/>
  <c r="K411" i="5"/>
  <c r="L411" i="5"/>
  <c r="M411" i="5"/>
  <c r="N411" i="5"/>
  <c r="O411" i="5"/>
  <c r="P411" i="5"/>
  <c r="Q411" i="5"/>
  <c r="R411" i="5"/>
  <c r="C412" i="5"/>
  <c r="D412" i="5"/>
  <c r="E412" i="5"/>
  <c r="F412" i="5"/>
  <c r="G412" i="5"/>
  <c r="H412" i="5"/>
  <c r="I412" i="5"/>
  <c r="J412" i="5"/>
  <c r="K412" i="5"/>
  <c r="L412" i="5"/>
  <c r="M412" i="5"/>
  <c r="N412" i="5"/>
  <c r="O412" i="5"/>
  <c r="P412" i="5"/>
  <c r="Q412" i="5"/>
  <c r="R412" i="5"/>
  <c r="C413" i="5"/>
  <c r="D413" i="5"/>
  <c r="E413" i="5"/>
  <c r="F413" i="5"/>
  <c r="G413" i="5"/>
  <c r="H413" i="5"/>
  <c r="I413" i="5"/>
  <c r="J413" i="5"/>
  <c r="K413" i="5"/>
  <c r="L413" i="5"/>
  <c r="M413" i="5"/>
  <c r="N413" i="5"/>
  <c r="O413" i="5"/>
  <c r="P413" i="5"/>
  <c r="Q413" i="5"/>
  <c r="R413" i="5"/>
  <c r="C414" i="5"/>
  <c r="D414" i="5"/>
  <c r="E414" i="5"/>
  <c r="F414" i="5"/>
  <c r="G414" i="5"/>
  <c r="H414" i="5"/>
  <c r="I414" i="5"/>
  <c r="J414" i="5"/>
  <c r="K414" i="5"/>
  <c r="L414" i="5"/>
  <c r="M414" i="5"/>
  <c r="N414" i="5"/>
  <c r="O414" i="5"/>
  <c r="P414" i="5"/>
  <c r="Q414" i="5"/>
  <c r="R414" i="5"/>
  <c r="C415" i="5"/>
  <c r="D415" i="5"/>
  <c r="E415" i="5"/>
  <c r="F415" i="5"/>
  <c r="G415" i="5"/>
  <c r="H415" i="5"/>
  <c r="I415" i="5"/>
  <c r="J415" i="5"/>
  <c r="K415" i="5"/>
  <c r="L415" i="5"/>
  <c r="M415" i="5"/>
  <c r="N415" i="5"/>
  <c r="O415" i="5"/>
  <c r="P415" i="5"/>
  <c r="Q415" i="5"/>
  <c r="R415" i="5"/>
  <c r="C416" i="5"/>
  <c r="D416" i="5"/>
  <c r="E416" i="5"/>
  <c r="F416" i="5"/>
  <c r="G416" i="5"/>
  <c r="H416" i="5"/>
  <c r="I416" i="5"/>
  <c r="J416" i="5"/>
  <c r="K416" i="5"/>
  <c r="L416" i="5"/>
  <c r="M416" i="5"/>
  <c r="N416" i="5"/>
  <c r="O416" i="5"/>
  <c r="P416" i="5"/>
  <c r="Q416" i="5"/>
  <c r="R416" i="5"/>
  <c r="C417" i="5"/>
  <c r="D417" i="5"/>
  <c r="E417" i="5"/>
  <c r="F417" i="5"/>
  <c r="G417" i="5"/>
  <c r="H417" i="5"/>
  <c r="I417" i="5"/>
  <c r="J417" i="5"/>
  <c r="K417" i="5"/>
  <c r="L417" i="5"/>
  <c r="M417" i="5"/>
  <c r="N417" i="5"/>
  <c r="O417" i="5"/>
  <c r="P417" i="5"/>
  <c r="Q417" i="5"/>
  <c r="R417" i="5"/>
  <c r="C418" i="5"/>
  <c r="D418" i="5"/>
  <c r="E418" i="5"/>
  <c r="F418" i="5"/>
  <c r="G418" i="5"/>
  <c r="H418" i="5"/>
  <c r="I418" i="5"/>
  <c r="J418" i="5"/>
  <c r="K418" i="5"/>
  <c r="L418" i="5"/>
  <c r="M418" i="5"/>
  <c r="N418" i="5"/>
  <c r="O418" i="5"/>
  <c r="P418" i="5"/>
  <c r="Q418" i="5"/>
  <c r="R418" i="5"/>
  <c r="C419" i="5"/>
  <c r="D419" i="5"/>
  <c r="E419" i="5"/>
  <c r="F419" i="5"/>
  <c r="G419" i="5"/>
  <c r="H419" i="5"/>
  <c r="I419" i="5"/>
  <c r="J419" i="5"/>
  <c r="K419" i="5"/>
  <c r="L419" i="5"/>
  <c r="M419" i="5"/>
  <c r="N419" i="5"/>
  <c r="O419" i="5"/>
  <c r="P419" i="5"/>
  <c r="Q419" i="5"/>
  <c r="R419" i="5"/>
  <c r="C420" i="5"/>
  <c r="D420" i="5"/>
  <c r="E420" i="5"/>
  <c r="F420" i="5"/>
  <c r="G420" i="5"/>
  <c r="H420" i="5"/>
  <c r="I420" i="5"/>
  <c r="J420" i="5"/>
  <c r="K420" i="5"/>
  <c r="L420" i="5"/>
  <c r="M420" i="5"/>
  <c r="N420" i="5"/>
  <c r="O420" i="5"/>
  <c r="P420" i="5"/>
  <c r="Q420" i="5"/>
  <c r="R420" i="5"/>
  <c r="C421" i="5"/>
  <c r="D421" i="5"/>
  <c r="E421" i="5"/>
  <c r="F421" i="5"/>
  <c r="G421" i="5"/>
  <c r="H421" i="5"/>
  <c r="I421" i="5"/>
  <c r="J421" i="5"/>
  <c r="K421" i="5"/>
  <c r="L421" i="5"/>
  <c r="M421" i="5"/>
  <c r="N421" i="5"/>
  <c r="O421" i="5"/>
  <c r="P421" i="5"/>
  <c r="Q421" i="5"/>
  <c r="R421" i="5"/>
  <c r="C422" i="5"/>
  <c r="D422" i="5"/>
  <c r="E422" i="5"/>
  <c r="F422" i="5"/>
  <c r="G422" i="5"/>
  <c r="H422" i="5"/>
  <c r="I422" i="5"/>
  <c r="J422" i="5"/>
  <c r="K422" i="5"/>
  <c r="L422" i="5"/>
  <c r="M422" i="5"/>
  <c r="N422" i="5"/>
  <c r="O422" i="5"/>
  <c r="P422" i="5"/>
  <c r="Q422" i="5"/>
  <c r="R422" i="5"/>
  <c r="C423" i="5"/>
  <c r="D423" i="5"/>
  <c r="E423" i="5"/>
  <c r="F423" i="5"/>
  <c r="G423" i="5"/>
  <c r="H423" i="5"/>
  <c r="I423" i="5"/>
  <c r="J423" i="5"/>
  <c r="K423" i="5"/>
  <c r="L423" i="5"/>
  <c r="M423" i="5"/>
  <c r="N423" i="5"/>
  <c r="O423" i="5"/>
  <c r="P423" i="5"/>
  <c r="Q423" i="5"/>
  <c r="R423" i="5"/>
  <c r="C424" i="5"/>
  <c r="D424" i="5"/>
  <c r="E424" i="5"/>
  <c r="F424" i="5"/>
  <c r="G424" i="5"/>
  <c r="H424" i="5"/>
  <c r="I424" i="5"/>
  <c r="J424" i="5"/>
  <c r="K424" i="5"/>
  <c r="L424" i="5"/>
  <c r="M424" i="5"/>
  <c r="N424" i="5"/>
  <c r="O424" i="5"/>
  <c r="P424" i="5"/>
  <c r="Q424" i="5"/>
  <c r="R424" i="5"/>
  <c r="C425" i="5"/>
  <c r="D425" i="5"/>
  <c r="E425" i="5"/>
  <c r="F425" i="5"/>
  <c r="G425" i="5"/>
  <c r="H425" i="5"/>
  <c r="I425" i="5"/>
  <c r="J425" i="5"/>
  <c r="K425" i="5"/>
  <c r="L425" i="5"/>
  <c r="M425" i="5"/>
  <c r="N425" i="5"/>
  <c r="O425" i="5"/>
  <c r="P425" i="5"/>
  <c r="Q425" i="5"/>
  <c r="R425" i="5"/>
  <c r="C426" i="5"/>
  <c r="D426" i="5"/>
  <c r="E426" i="5"/>
  <c r="F426" i="5"/>
  <c r="G426" i="5"/>
  <c r="H426" i="5"/>
  <c r="I426" i="5"/>
  <c r="J426" i="5"/>
  <c r="K426" i="5"/>
  <c r="L426" i="5"/>
  <c r="M426" i="5"/>
  <c r="N426" i="5"/>
  <c r="O426" i="5"/>
  <c r="P426" i="5"/>
  <c r="Q426" i="5"/>
  <c r="R426" i="5"/>
  <c r="C427" i="5"/>
  <c r="D427" i="5"/>
  <c r="E427" i="5"/>
  <c r="F427" i="5"/>
  <c r="G427" i="5"/>
  <c r="H427" i="5"/>
  <c r="I427" i="5"/>
  <c r="J427" i="5"/>
  <c r="K427" i="5"/>
  <c r="L427" i="5"/>
  <c r="M427" i="5"/>
  <c r="N427" i="5"/>
  <c r="O427" i="5"/>
  <c r="P427" i="5"/>
  <c r="Q427" i="5"/>
  <c r="R427" i="5"/>
  <c r="C428" i="5"/>
  <c r="D428" i="5"/>
  <c r="E428" i="5"/>
  <c r="F428" i="5"/>
  <c r="G428" i="5"/>
  <c r="H428" i="5"/>
  <c r="I428" i="5"/>
  <c r="J428" i="5"/>
  <c r="K428" i="5"/>
  <c r="L428" i="5"/>
  <c r="M428" i="5"/>
  <c r="N428" i="5"/>
  <c r="O428" i="5"/>
  <c r="P428" i="5"/>
  <c r="Q428" i="5"/>
  <c r="R428" i="5"/>
  <c r="C429" i="5"/>
  <c r="D429" i="5"/>
  <c r="E429" i="5"/>
  <c r="F429" i="5"/>
  <c r="G429" i="5"/>
  <c r="H429" i="5"/>
  <c r="I429" i="5"/>
  <c r="J429" i="5"/>
  <c r="K429" i="5"/>
  <c r="L429" i="5"/>
  <c r="M429" i="5"/>
  <c r="N429" i="5"/>
  <c r="O429" i="5"/>
  <c r="P429" i="5"/>
  <c r="Q429" i="5"/>
  <c r="R429" i="5"/>
  <c r="C430" i="5"/>
  <c r="D430" i="5"/>
  <c r="E430" i="5"/>
  <c r="F430" i="5"/>
  <c r="G430" i="5"/>
  <c r="H430" i="5"/>
  <c r="I430" i="5"/>
  <c r="J430" i="5"/>
  <c r="K430" i="5"/>
  <c r="L430" i="5"/>
  <c r="M430" i="5"/>
  <c r="N430" i="5"/>
  <c r="O430" i="5"/>
  <c r="P430" i="5"/>
  <c r="Q430" i="5"/>
  <c r="R430" i="5"/>
  <c r="C431" i="5"/>
  <c r="D431" i="5"/>
  <c r="E431" i="5"/>
  <c r="F431" i="5"/>
  <c r="G431" i="5"/>
  <c r="H431" i="5"/>
  <c r="I431" i="5"/>
  <c r="J431" i="5"/>
  <c r="K431" i="5"/>
  <c r="L431" i="5"/>
  <c r="M431" i="5"/>
  <c r="N431" i="5"/>
  <c r="O431" i="5"/>
  <c r="P431" i="5"/>
  <c r="Q431" i="5"/>
  <c r="R431" i="5"/>
  <c r="C432" i="5"/>
  <c r="D432" i="5"/>
  <c r="E432" i="5"/>
  <c r="F432" i="5"/>
  <c r="G432" i="5"/>
  <c r="H432" i="5"/>
  <c r="I432" i="5"/>
  <c r="J432" i="5"/>
  <c r="K432" i="5"/>
  <c r="L432" i="5"/>
  <c r="M432" i="5"/>
  <c r="N432" i="5"/>
  <c r="O432" i="5"/>
  <c r="P432" i="5"/>
  <c r="Q432" i="5"/>
  <c r="R432" i="5"/>
  <c r="C433" i="5"/>
  <c r="D433" i="5"/>
  <c r="E433" i="5"/>
  <c r="F433" i="5"/>
  <c r="G433" i="5"/>
  <c r="H433" i="5"/>
  <c r="I433" i="5"/>
  <c r="J433" i="5"/>
  <c r="K433" i="5"/>
  <c r="L433" i="5"/>
  <c r="M433" i="5"/>
  <c r="N433" i="5"/>
  <c r="O433" i="5"/>
  <c r="P433" i="5"/>
  <c r="Q433" i="5"/>
  <c r="R433" i="5"/>
  <c r="C434" i="5"/>
  <c r="D434" i="5"/>
  <c r="E434" i="5"/>
  <c r="F434" i="5"/>
  <c r="G434" i="5"/>
  <c r="H434" i="5"/>
  <c r="I434" i="5"/>
  <c r="J434" i="5"/>
  <c r="K434" i="5"/>
  <c r="L434" i="5"/>
  <c r="M434" i="5"/>
  <c r="N434" i="5"/>
  <c r="O434" i="5"/>
  <c r="P434" i="5"/>
  <c r="Q434" i="5"/>
  <c r="R434" i="5"/>
  <c r="C435" i="5"/>
  <c r="D435" i="5"/>
  <c r="E435" i="5"/>
  <c r="F435" i="5"/>
  <c r="G435" i="5"/>
  <c r="H435" i="5"/>
  <c r="I435" i="5"/>
  <c r="J435" i="5"/>
  <c r="K435" i="5"/>
  <c r="L435" i="5"/>
  <c r="M435" i="5"/>
  <c r="N435" i="5"/>
  <c r="O435" i="5"/>
  <c r="P435" i="5"/>
  <c r="Q435" i="5"/>
  <c r="R435" i="5"/>
  <c r="C436" i="5"/>
  <c r="D436" i="5"/>
  <c r="E436" i="5"/>
  <c r="F436" i="5"/>
  <c r="G436" i="5"/>
  <c r="H436" i="5"/>
  <c r="I436" i="5"/>
  <c r="J436" i="5"/>
  <c r="K436" i="5"/>
  <c r="L436" i="5"/>
  <c r="M436" i="5"/>
  <c r="N436" i="5"/>
  <c r="O436" i="5"/>
  <c r="P436" i="5"/>
  <c r="Q436" i="5"/>
  <c r="R436" i="5"/>
  <c r="C437" i="5"/>
  <c r="D437" i="5"/>
  <c r="E437" i="5"/>
  <c r="F437" i="5"/>
  <c r="G437" i="5"/>
  <c r="H437" i="5"/>
  <c r="I437" i="5"/>
  <c r="J437" i="5"/>
  <c r="K437" i="5"/>
  <c r="L437" i="5"/>
  <c r="M437" i="5"/>
  <c r="N437" i="5"/>
  <c r="O437" i="5"/>
  <c r="P437" i="5"/>
  <c r="Q437" i="5"/>
  <c r="R437" i="5"/>
  <c r="C438" i="5"/>
  <c r="D438" i="5"/>
  <c r="E438" i="5"/>
  <c r="F438" i="5"/>
  <c r="G438" i="5"/>
  <c r="H438" i="5"/>
  <c r="I438" i="5"/>
  <c r="J438" i="5"/>
  <c r="K438" i="5"/>
  <c r="L438" i="5"/>
  <c r="M438" i="5"/>
  <c r="N438" i="5"/>
  <c r="O438" i="5"/>
  <c r="P438" i="5"/>
  <c r="Q438" i="5"/>
  <c r="R438" i="5"/>
  <c r="C439" i="5"/>
  <c r="D439" i="5"/>
  <c r="E439" i="5"/>
  <c r="F439" i="5"/>
  <c r="G439" i="5"/>
  <c r="H439" i="5"/>
  <c r="I439" i="5"/>
  <c r="J439" i="5"/>
  <c r="K439" i="5"/>
  <c r="L439" i="5"/>
  <c r="M439" i="5"/>
  <c r="N439" i="5"/>
  <c r="O439" i="5"/>
  <c r="P439" i="5"/>
  <c r="Q439" i="5"/>
  <c r="R439" i="5"/>
  <c r="C440" i="5"/>
  <c r="D440" i="5"/>
  <c r="E440" i="5"/>
  <c r="F440" i="5"/>
  <c r="G440" i="5"/>
  <c r="H440" i="5"/>
  <c r="I440" i="5"/>
  <c r="J440" i="5"/>
  <c r="K440" i="5"/>
  <c r="L440" i="5"/>
  <c r="M440" i="5"/>
  <c r="N440" i="5"/>
  <c r="O440" i="5"/>
  <c r="P440" i="5"/>
  <c r="Q440" i="5"/>
  <c r="R440" i="5"/>
  <c r="C441" i="5"/>
  <c r="D441" i="5"/>
  <c r="E441" i="5"/>
  <c r="F441" i="5"/>
  <c r="G441" i="5"/>
  <c r="H441" i="5"/>
  <c r="I441" i="5"/>
  <c r="J441" i="5"/>
  <c r="K441" i="5"/>
  <c r="L441" i="5"/>
  <c r="M441" i="5"/>
  <c r="N441" i="5"/>
  <c r="O441" i="5"/>
  <c r="P441" i="5"/>
  <c r="Q441" i="5"/>
  <c r="R441" i="5"/>
  <c r="C442" i="5"/>
  <c r="D442" i="5"/>
  <c r="E442" i="5"/>
  <c r="F442" i="5"/>
  <c r="G442" i="5"/>
  <c r="H442" i="5"/>
  <c r="I442" i="5"/>
  <c r="J442" i="5"/>
  <c r="K442" i="5"/>
  <c r="L442" i="5"/>
  <c r="M442" i="5"/>
  <c r="N442" i="5"/>
  <c r="O442" i="5"/>
  <c r="P442" i="5"/>
  <c r="Q442" i="5"/>
  <c r="R442" i="5"/>
  <c r="C443" i="5"/>
  <c r="D443" i="5"/>
  <c r="E443" i="5"/>
  <c r="F443" i="5"/>
  <c r="G443" i="5"/>
  <c r="H443" i="5"/>
  <c r="I443" i="5"/>
  <c r="J443" i="5"/>
  <c r="K443" i="5"/>
  <c r="L443" i="5"/>
  <c r="M443" i="5"/>
  <c r="N443" i="5"/>
  <c r="O443" i="5"/>
  <c r="P443" i="5"/>
  <c r="Q443" i="5"/>
  <c r="R443" i="5"/>
  <c r="C444" i="5"/>
  <c r="D444" i="5"/>
  <c r="E444" i="5"/>
  <c r="F444" i="5"/>
  <c r="G444" i="5"/>
  <c r="H444" i="5"/>
  <c r="I444" i="5"/>
  <c r="J444" i="5"/>
  <c r="K444" i="5"/>
  <c r="L444" i="5"/>
  <c r="M444" i="5"/>
  <c r="N444" i="5"/>
  <c r="O444" i="5"/>
  <c r="P444" i="5"/>
  <c r="Q444" i="5"/>
  <c r="R444" i="5"/>
  <c r="C445" i="5"/>
  <c r="D445" i="5"/>
  <c r="E445" i="5"/>
  <c r="F445" i="5"/>
  <c r="G445" i="5"/>
  <c r="H445" i="5"/>
  <c r="I445" i="5"/>
  <c r="J445" i="5"/>
  <c r="K445" i="5"/>
  <c r="L445" i="5"/>
  <c r="M445" i="5"/>
  <c r="N445" i="5"/>
  <c r="O445" i="5"/>
  <c r="P445" i="5"/>
  <c r="Q445" i="5"/>
  <c r="R445" i="5"/>
  <c r="C446" i="5"/>
  <c r="D446" i="5"/>
  <c r="E446" i="5"/>
  <c r="F446" i="5"/>
  <c r="G446" i="5"/>
  <c r="H446" i="5"/>
  <c r="I446" i="5"/>
  <c r="J446" i="5"/>
  <c r="K446" i="5"/>
  <c r="L446" i="5"/>
  <c r="M446" i="5"/>
  <c r="N446" i="5"/>
  <c r="O446" i="5"/>
  <c r="P446" i="5"/>
  <c r="Q446" i="5"/>
  <c r="R446" i="5"/>
  <c r="C447" i="5"/>
  <c r="D447" i="5"/>
  <c r="E447" i="5"/>
  <c r="F447" i="5"/>
  <c r="G447" i="5"/>
  <c r="H447" i="5"/>
  <c r="I447" i="5"/>
  <c r="J447" i="5"/>
  <c r="K447" i="5"/>
  <c r="L447" i="5"/>
  <c r="M447" i="5"/>
  <c r="N447" i="5"/>
  <c r="O447" i="5"/>
  <c r="P447" i="5"/>
  <c r="Q447" i="5"/>
  <c r="R447" i="5"/>
  <c r="C448" i="5"/>
  <c r="D448" i="5"/>
  <c r="E448" i="5"/>
  <c r="F448" i="5"/>
  <c r="G448" i="5"/>
  <c r="H448" i="5"/>
  <c r="I448" i="5"/>
  <c r="J448" i="5"/>
  <c r="K448" i="5"/>
  <c r="L448" i="5"/>
  <c r="M448" i="5"/>
  <c r="N448" i="5"/>
  <c r="O448" i="5"/>
  <c r="P448" i="5"/>
  <c r="Q448" i="5"/>
  <c r="R448" i="5"/>
  <c r="C449" i="5"/>
  <c r="D449" i="5"/>
  <c r="E449" i="5"/>
  <c r="F449" i="5"/>
  <c r="G449" i="5"/>
  <c r="H449" i="5"/>
  <c r="I449" i="5"/>
  <c r="J449" i="5"/>
  <c r="K449" i="5"/>
  <c r="L449" i="5"/>
  <c r="M449" i="5"/>
  <c r="N449" i="5"/>
  <c r="O449" i="5"/>
  <c r="P449" i="5"/>
  <c r="Q449" i="5"/>
  <c r="R449" i="5"/>
  <c r="C450" i="5"/>
  <c r="D450" i="5"/>
  <c r="E450" i="5"/>
  <c r="F450" i="5"/>
  <c r="G450" i="5"/>
  <c r="H450" i="5"/>
  <c r="I450" i="5"/>
  <c r="J450" i="5"/>
  <c r="K450" i="5"/>
  <c r="L450" i="5"/>
  <c r="M450" i="5"/>
  <c r="N450" i="5"/>
  <c r="O450" i="5"/>
  <c r="P450" i="5"/>
  <c r="Q450" i="5"/>
  <c r="R450" i="5"/>
  <c r="C451" i="5"/>
  <c r="D451" i="5"/>
  <c r="E451" i="5"/>
  <c r="F451" i="5"/>
  <c r="G451" i="5"/>
  <c r="H451" i="5"/>
  <c r="I451" i="5"/>
  <c r="J451" i="5"/>
  <c r="K451" i="5"/>
  <c r="L451" i="5"/>
  <c r="M451" i="5"/>
  <c r="N451" i="5"/>
  <c r="O451" i="5"/>
  <c r="P451" i="5"/>
  <c r="Q451" i="5"/>
  <c r="R451" i="5"/>
  <c r="C452" i="5"/>
  <c r="D452" i="5"/>
  <c r="E452" i="5"/>
  <c r="F452" i="5"/>
  <c r="G452" i="5"/>
  <c r="H452" i="5"/>
  <c r="I452" i="5"/>
  <c r="J452" i="5"/>
  <c r="K452" i="5"/>
  <c r="L452" i="5"/>
  <c r="M452" i="5"/>
  <c r="N452" i="5"/>
  <c r="O452" i="5"/>
  <c r="P452" i="5"/>
  <c r="Q452" i="5"/>
  <c r="R452" i="5"/>
  <c r="C453" i="5"/>
  <c r="D453" i="5"/>
  <c r="E453" i="5"/>
  <c r="F453" i="5"/>
  <c r="G453" i="5"/>
  <c r="H453" i="5"/>
  <c r="I453" i="5"/>
  <c r="J453" i="5"/>
  <c r="K453" i="5"/>
  <c r="L453" i="5"/>
  <c r="M453" i="5"/>
  <c r="N453" i="5"/>
  <c r="O453" i="5"/>
  <c r="P453" i="5"/>
  <c r="Q453" i="5"/>
  <c r="R453" i="5"/>
  <c r="C454" i="5"/>
  <c r="D454" i="5"/>
  <c r="E454" i="5"/>
  <c r="F454" i="5"/>
  <c r="G454" i="5"/>
  <c r="H454" i="5"/>
  <c r="I454" i="5"/>
  <c r="J454" i="5"/>
  <c r="K454" i="5"/>
  <c r="L454" i="5"/>
  <c r="M454" i="5"/>
  <c r="N454" i="5"/>
  <c r="O454" i="5"/>
  <c r="P454" i="5"/>
  <c r="Q454" i="5"/>
  <c r="R454" i="5"/>
  <c r="C455" i="5"/>
  <c r="D455" i="5"/>
  <c r="E455" i="5"/>
  <c r="F455" i="5"/>
  <c r="G455" i="5"/>
  <c r="H455" i="5"/>
  <c r="I455" i="5"/>
  <c r="J455" i="5"/>
  <c r="K455" i="5"/>
  <c r="L455" i="5"/>
  <c r="M455" i="5"/>
  <c r="N455" i="5"/>
  <c r="O455" i="5"/>
  <c r="P455" i="5"/>
  <c r="Q455" i="5"/>
  <c r="R455" i="5"/>
  <c r="C456" i="5"/>
  <c r="D456" i="5"/>
  <c r="E456" i="5"/>
  <c r="F456" i="5"/>
  <c r="G456" i="5"/>
  <c r="H456" i="5"/>
  <c r="I456" i="5"/>
  <c r="J456" i="5"/>
  <c r="K456" i="5"/>
  <c r="L456" i="5"/>
  <c r="M456" i="5"/>
  <c r="N456" i="5"/>
  <c r="O456" i="5"/>
  <c r="P456" i="5"/>
  <c r="Q456" i="5"/>
  <c r="R456" i="5"/>
  <c r="C457" i="5"/>
  <c r="D457" i="5"/>
  <c r="E457" i="5"/>
  <c r="F457" i="5"/>
  <c r="G457" i="5"/>
  <c r="H457" i="5"/>
  <c r="I457" i="5"/>
  <c r="J457" i="5"/>
  <c r="K457" i="5"/>
  <c r="L457" i="5"/>
  <c r="M457" i="5"/>
  <c r="N457" i="5"/>
  <c r="O457" i="5"/>
  <c r="P457" i="5"/>
  <c r="Q457" i="5"/>
  <c r="R457" i="5"/>
  <c r="C458" i="5"/>
  <c r="D458" i="5"/>
  <c r="E458" i="5"/>
  <c r="F458" i="5"/>
  <c r="G458" i="5"/>
  <c r="H458" i="5"/>
  <c r="I458" i="5"/>
  <c r="J458" i="5"/>
  <c r="K458" i="5"/>
  <c r="L458" i="5"/>
  <c r="M458" i="5"/>
  <c r="N458" i="5"/>
  <c r="O458" i="5"/>
  <c r="P458" i="5"/>
  <c r="Q458" i="5"/>
  <c r="R458" i="5"/>
  <c r="C459" i="5"/>
  <c r="D459" i="5"/>
  <c r="E459" i="5"/>
  <c r="F459" i="5"/>
  <c r="G459" i="5"/>
  <c r="H459" i="5"/>
  <c r="I459" i="5"/>
  <c r="J459" i="5"/>
  <c r="K459" i="5"/>
  <c r="L459" i="5"/>
  <c r="M459" i="5"/>
  <c r="N459" i="5"/>
  <c r="O459" i="5"/>
  <c r="P459" i="5"/>
  <c r="Q459" i="5"/>
  <c r="R459" i="5"/>
  <c r="C460" i="5"/>
  <c r="D460" i="5"/>
  <c r="E460" i="5"/>
  <c r="F460" i="5"/>
  <c r="G460" i="5"/>
  <c r="H460" i="5"/>
  <c r="I460" i="5"/>
  <c r="J460" i="5"/>
  <c r="K460" i="5"/>
  <c r="L460" i="5"/>
  <c r="M460" i="5"/>
  <c r="N460" i="5"/>
  <c r="O460" i="5"/>
  <c r="P460" i="5"/>
  <c r="Q460" i="5"/>
  <c r="R460" i="5"/>
  <c r="C461" i="5"/>
  <c r="D461" i="5"/>
  <c r="E461" i="5"/>
  <c r="F461" i="5"/>
  <c r="G461" i="5"/>
  <c r="H461" i="5"/>
  <c r="I461" i="5"/>
  <c r="J461" i="5"/>
  <c r="K461" i="5"/>
  <c r="L461" i="5"/>
  <c r="M461" i="5"/>
  <c r="N461" i="5"/>
  <c r="O461" i="5"/>
  <c r="P461" i="5"/>
  <c r="Q461" i="5"/>
  <c r="R461" i="5"/>
  <c r="C462" i="5"/>
  <c r="D462" i="5"/>
  <c r="E462" i="5"/>
  <c r="F462" i="5"/>
  <c r="G462" i="5"/>
  <c r="H462" i="5"/>
  <c r="I462" i="5"/>
  <c r="J462" i="5"/>
  <c r="K462" i="5"/>
  <c r="L462" i="5"/>
  <c r="M462" i="5"/>
  <c r="N462" i="5"/>
  <c r="O462" i="5"/>
  <c r="P462" i="5"/>
  <c r="Q462" i="5"/>
  <c r="R462" i="5"/>
  <c r="C463" i="5"/>
  <c r="D463" i="5"/>
  <c r="E463" i="5"/>
  <c r="F463" i="5"/>
  <c r="G463" i="5"/>
  <c r="H463" i="5"/>
  <c r="I463" i="5"/>
  <c r="J463" i="5"/>
  <c r="K463" i="5"/>
  <c r="L463" i="5"/>
  <c r="M463" i="5"/>
  <c r="N463" i="5"/>
  <c r="O463" i="5"/>
  <c r="P463" i="5"/>
  <c r="Q463" i="5"/>
  <c r="R463" i="5"/>
  <c r="C464" i="5"/>
  <c r="D464" i="5"/>
  <c r="E464" i="5"/>
  <c r="F464" i="5"/>
  <c r="G464" i="5"/>
  <c r="H464" i="5"/>
  <c r="I464" i="5"/>
  <c r="J464" i="5"/>
  <c r="K464" i="5"/>
  <c r="L464" i="5"/>
  <c r="M464" i="5"/>
  <c r="N464" i="5"/>
  <c r="O464" i="5"/>
  <c r="P464" i="5"/>
  <c r="Q464" i="5"/>
  <c r="R464" i="5"/>
  <c r="C465" i="5"/>
  <c r="D465" i="5"/>
  <c r="E465" i="5"/>
  <c r="F465" i="5"/>
  <c r="G465" i="5"/>
  <c r="H465" i="5"/>
  <c r="I465" i="5"/>
  <c r="J465" i="5"/>
  <c r="K465" i="5"/>
  <c r="L465" i="5"/>
  <c r="M465" i="5"/>
  <c r="N465" i="5"/>
  <c r="O465" i="5"/>
  <c r="P465" i="5"/>
  <c r="Q465" i="5"/>
  <c r="R465" i="5"/>
  <c r="C466" i="5"/>
  <c r="D466" i="5"/>
  <c r="E466" i="5"/>
  <c r="F466" i="5"/>
  <c r="G466" i="5"/>
  <c r="H466" i="5"/>
  <c r="I466" i="5"/>
  <c r="J466" i="5"/>
  <c r="K466" i="5"/>
  <c r="L466" i="5"/>
  <c r="M466" i="5"/>
  <c r="N466" i="5"/>
  <c r="O466" i="5"/>
  <c r="P466" i="5"/>
  <c r="Q466" i="5"/>
  <c r="R466" i="5"/>
  <c r="C467" i="5"/>
  <c r="D467" i="5"/>
  <c r="E467" i="5"/>
  <c r="F467" i="5"/>
  <c r="G467" i="5"/>
  <c r="H467" i="5"/>
  <c r="I467" i="5"/>
  <c r="J467" i="5"/>
  <c r="K467" i="5"/>
  <c r="L467" i="5"/>
  <c r="M467" i="5"/>
  <c r="N467" i="5"/>
  <c r="O467" i="5"/>
  <c r="P467" i="5"/>
  <c r="Q467" i="5"/>
  <c r="R467" i="5"/>
  <c r="C468" i="5"/>
  <c r="D468" i="5"/>
  <c r="E468" i="5"/>
  <c r="F468" i="5"/>
  <c r="G468" i="5"/>
  <c r="H468" i="5"/>
  <c r="I468" i="5"/>
  <c r="J468" i="5"/>
  <c r="K468" i="5"/>
  <c r="L468" i="5"/>
  <c r="M468" i="5"/>
  <c r="N468" i="5"/>
  <c r="O468" i="5"/>
  <c r="P468" i="5"/>
  <c r="Q468" i="5"/>
  <c r="R468" i="5"/>
  <c r="C469" i="5"/>
  <c r="D469" i="5"/>
  <c r="E469" i="5"/>
  <c r="F469" i="5"/>
  <c r="G469" i="5"/>
  <c r="H469" i="5"/>
  <c r="I469" i="5"/>
  <c r="J469" i="5"/>
  <c r="K469" i="5"/>
  <c r="L469" i="5"/>
  <c r="M469" i="5"/>
  <c r="N469" i="5"/>
  <c r="O469" i="5"/>
  <c r="P469" i="5"/>
  <c r="Q469" i="5"/>
  <c r="R469" i="5"/>
  <c r="C470" i="5"/>
  <c r="D470" i="5"/>
  <c r="E470" i="5"/>
  <c r="F470" i="5"/>
  <c r="G470" i="5"/>
  <c r="H470" i="5"/>
  <c r="I470" i="5"/>
  <c r="J470" i="5"/>
  <c r="K470" i="5"/>
  <c r="L470" i="5"/>
  <c r="M470" i="5"/>
  <c r="N470" i="5"/>
  <c r="O470" i="5"/>
  <c r="P470" i="5"/>
  <c r="Q470" i="5"/>
  <c r="R470" i="5"/>
  <c r="C471" i="5"/>
  <c r="D471" i="5"/>
  <c r="E471" i="5"/>
  <c r="F471" i="5"/>
  <c r="G471" i="5"/>
  <c r="H471" i="5"/>
  <c r="I471" i="5"/>
  <c r="J471" i="5"/>
  <c r="K471" i="5"/>
  <c r="L471" i="5"/>
  <c r="M471" i="5"/>
  <c r="N471" i="5"/>
  <c r="O471" i="5"/>
  <c r="P471" i="5"/>
  <c r="Q471" i="5"/>
  <c r="R471" i="5"/>
  <c r="C472" i="5"/>
  <c r="D472" i="5"/>
  <c r="E472" i="5"/>
  <c r="F472" i="5"/>
  <c r="G472" i="5"/>
  <c r="H472" i="5"/>
  <c r="I472" i="5"/>
  <c r="J472" i="5"/>
  <c r="K472" i="5"/>
  <c r="L472" i="5"/>
  <c r="M472" i="5"/>
  <c r="N472" i="5"/>
  <c r="O472" i="5"/>
  <c r="P472" i="5"/>
  <c r="Q472" i="5"/>
  <c r="R472" i="5"/>
  <c r="C473" i="5"/>
  <c r="D473" i="5"/>
  <c r="E473" i="5"/>
  <c r="F473" i="5"/>
  <c r="G473" i="5"/>
  <c r="H473" i="5"/>
  <c r="I473" i="5"/>
  <c r="J473" i="5"/>
  <c r="K473" i="5"/>
  <c r="L473" i="5"/>
  <c r="M473" i="5"/>
  <c r="N473" i="5"/>
  <c r="O473" i="5"/>
  <c r="P473" i="5"/>
  <c r="Q473" i="5"/>
  <c r="R473" i="5"/>
  <c r="C474" i="5"/>
  <c r="D474" i="5"/>
  <c r="E474" i="5"/>
  <c r="F474" i="5"/>
  <c r="G474" i="5"/>
  <c r="H474" i="5"/>
  <c r="I474" i="5"/>
  <c r="J474" i="5"/>
  <c r="K474" i="5"/>
  <c r="L474" i="5"/>
  <c r="M474" i="5"/>
  <c r="N474" i="5"/>
  <c r="O474" i="5"/>
  <c r="P474" i="5"/>
  <c r="Q474" i="5"/>
  <c r="R474" i="5"/>
  <c r="C475" i="5"/>
  <c r="D475" i="5"/>
  <c r="E475" i="5"/>
  <c r="F475" i="5"/>
  <c r="G475" i="5"/>
  <c r="H475" i="5"/>
  <c r="I475" i="5"/>
  <c r="J475" i="5"/>
  <c r="K475" i="5"/>
  <c r="L475" i="5"/>
  <c r="M475" i="5"/>
  <c r="N475" i="5"/>
  <c r="O475" i="5"/>
  <c r="P475" i="5"/>
  <c r="Q475" i="5"/>
  <c r="R475" i="5"/>
  <c r="C476" i="5"/>
  <c r="D476" i="5"/>
  <c r="E476" i="5"/>
  <c r="F476" i="5"/>
  <c r="G476" i="5"/>
  <c r="H476" i="5"/>
  <c r="I476" i="5"/>
  <c r="J476" i="5"/>
  <c r="K476" i="5"/>
  <c r="L476" i="5"/>
  <c r="M476" i="5"/>
  <c r="N476" i="5"/>
  <c r="O476" i="5"/>
  <c r="P476" i="5"/>
  <c r="Q476" i="5"/>
  <c r="R476" i="5"/>
  <c r="C477" i="5"/>
  <c r="D477" i="5"/>
  <c r="E477" i="5"/>
  <c r="F477" i="5"/>
  <c r="G477" i="5"/>
  <c r="H477" i="5"/>
  <c r="I477" i="5"/>
  <c r="J477" i="5"/>
  <c r="K477" i="5"/>
  <c r="L477" i="5"/>
  <c r="M477" i="5"/>
  <c r="N477" i="5"/>
  <c r="O477" i="5"/>
  <c r="P477" i="5"/>
  <c r="Q477" i="5"/>
  <c r="R477" i="5"/>
  <c r="C478" i="5"/>
  <c r="D478" i="5"/>
  <c r="E478" i="5"/>
  <c r="F478" i="5"/>
  <c r="G478" i="5"/>
  <c r="H478" i="5"/>
  <c r="I478" i="5"/>
  <c r="J478" i="5"/>
  <c r="K478" i="5"/>
  <c r="L478" i="5"/>
  <c r="M478" i="5"/>
  <c r="N478" i="5"/>
  <c r="O478" i="5"/>
  <c r="P478" i="5"/>
  <c r="Q478" i="5"/>
  <c r="R478" i="5"/>
  <c r="C479" i="5"/>
  <c r="D479" i="5"/>
  <c r="E479" i="5"/>
  <c r="F479" i="5"/>
  <c r="G479" i="5"/>
  <c r="H479" i="5"/>
  <c r="I479" i="5"/>
  <c r="J479" i="5"/>
  <c r="K479" i="5"/>
  <c r="L479" i="5"/>
  <c r="M479" i="5"/>
  <c r="N479" i="5"/>
  <c r="O479" i="5"/>
  <c r="P479" i="5"/>
  <c r="Q479" i="5"/>
  <c r="R479" i="5"/>
  <c r="C480" i="5"/>
  <c r="D480" i="5"/>
  <c r="E480" i="5"/>
  <c r="F480" i="5"/>
  <c r="G480" i="5"/>
  <c r="H480" i="5"/>
  <c r="I480" i="5"/>
  <c r="J480" i="5"/>
  <c r="K480" i="5"/>
  <c r="L480" i="5"/>
  <c r="M480" i="5"/>
  <c r="N480" i="5"/>
  <c r="O480" i="5"/>
  <c r="P480" i="5"/>
  <c r="Q480" i="5"/>
  <c r="R480" i="5"/>
  <c r="C481" i="5"/>
  <c r="D481" i="5"/>
  <c r="E481" i="5"/>
  <c r="F481" i="5"/>
  <c r="G481" i="5"/>
  <c r="H481" i="5"/>
  <c r="I481" i="5"/>
  <c r="J481" i="5"/>
  <c r="K481" i="5"/>
  <c r="L481" i="5"/>
  <c r="M481" i="5"/>
  <c r="N481" i="5"/>
  <c r="O481" i="5"/>
  <c r="P481" i="5"/>
  <c r="Q481" i="5"/>
  <c r="R481" i="5"/>
  <c r="C482" i="5"/>
  <c r="D482" i="5"/>
  <c r="E482" i="5"/>
  <c r="F482" i="5"/>
  <c r="G482" i="5"/>
  <c r="H482" i="5"/>
  <c r="I482" i="5"/>
  <c r="J482" i="5"/>
  <c r="K482" i="5"/>
  <c r="L482" i="5"/>
  <c r="M482" i="5"/>
  <c r="N482" i="5"/>
  <c r="O482" i="5"/>
  <c r="P482" i="5"/>
  <c r="Q482" i="5"/>
  <c r="R482" i="5"/>
  <c r="C483" i="5"/>
  <c r="D483" i="5"/>
  <c r="E483" i="5"/>
  <c r="F483" i="5"/>
  <c r="G483" i="5"/>
  <c r="H483" i="5"/>
  <c r="I483" i="5"/>
  <c r="J483" i="5"/>
  <c r="K483" i="5"/>
  <c r="L483" i="5"/>
  <c r="M483" i="5"/>
  <c r="N483" i="5"/>
  <c r="O483" i="5"/>
  <c r="P483" i="5"/>
  <c r="Q483" i="5"/>
  <c r="R483" i="5"/>
  <c r="C484" i="5"/>
  <c r="D484" i="5"/>
  <c r="E484" i="5"/>
  <c r="F484" i="5"/>
  <c r="G484" i="5"/>
  <c r="H484" i="5"/>
  <c r="I484" i="5"/>
  <c r="J484" i="5"/>
  <c r="K484" i="5"/>
  <c r="L484" i="5"/>
  <c r="M484" i="5"/>
  <c r="N484" i="5"/>
  <c r="O484" i="5"/>
  <c r="P484" i="5"/>
  <c r="Q484" i="5"/>
  <c r="R484" i="5"/>
  <c r="C485" i="5"/>
  <c r="D485" i="5"/>
  <c r="E485" i="5"/>
  <c r="F485" i="5"/>
  <c r="G485" i="5"/>
  <c r="H485" i="5"/>
  <c r="I485" i="5"/>
  <c r="J485" i="5"/>
  <c r="K485" i="5"/>
  <c r="L485" i="5"/>
  <c r="M485" i="5"/>
  <c r="N485" i="5"/>
  <c r="O485" i="5"/>
  <c r="P485" i="5"/>
  <c r="Q485" i="5"/>
  <c r="R485" i="5"/>
  <c r="C486" i="5"/>
  <c r="D486" i="5"/>
  <c r="E486" i="5"/>
  <c r="F486" i="5"/>
  <c r="G486" i="5"/>
  <c r="H486" i="5"/>
  <c r="I486" i="5"/>
  <c r="J486" i="5"/>
  <c r="K486" i="5"/>
  <c r="L486" i="5"/>
  <c r="M486" i="5"/>
  <c r="N486" i="5"/>
  <c r="O486" i="5"/>
  <c r="P486" i="5"/>
  <c r="Q486" i="5"/>
  <c r="R486" i="5"/>
  <c r="C487" i="5"/>
  <c r="D487" i="5"/>
  <c r="E487" i="5"/>
  <c r="F487" i="5"/>
  <c r="G487" i="5"/>
  <c r="H487" i="5"/>
  <c r="I487" i="5"/>
  <c r="J487" i="5"/>
  <c r="K487" i="5"/>
  <c r="L487" i="5"/>
  <c r="M487" i="5"/>
  <c r="N487" i="5"/>
  <c r="O487" i="5"/>
  <c r="P487" i="5"/>
  <c r="Q487" i="5"/>
  <c r="R487" i="5"/>
  <c r="C488" i="5"/>
  <c r="D488" i="5"/>
  <c r="E488" i="5"/>
  <c r="F488" i="5"/>
  <c r="G488" i="5"/>
  <c r="H488" i="5"/>
  <c r="I488" i="5"/>
  <c r="J488" i="5"/>
  <c r="K488" i="5"/>
  <c r="L488" i="5"/>
  <c r="M488" i="5"/>
  <c r="N488" i="5"/>
  <c r="O488" i="5"/>
  <c r="P488" i="5"/>
  <c r="Q488" i="5"/>
  <c r="R488" i="5"/>
  <c r="C489" i="5"/>
  <c r="D489" i="5"/>
  <c r="E489" i="5"/>
  <c r="F489" i="5"/>
  <c r="G489" i="5"/>
  <c r="H489" i="5"/>
  <c r="I489" i="5"/>
  <c r="J489" i="5"/>
  <c r="K489" i="5"/>
  <c r="L489" i="5"/>
  <c r="M489" i="5"/>
  <c r="N489" i="5"/>
  <c r="O489" i="5"/>
  <c r="P489" i="5"/>
  <c r="Q489" i="5"/>
  <c r="R489" i="5"/>
  <c r="C490" i="5"/>
  <c r="D490" i="5"/>
  <c r="E490" i="5"/>
  <c r="F490" i="5"/>
  <c r="G490" i="5"/>
  <c r="H490" i="5"/>
  <c r="I490" i="5"/>
  <c r="J490" i="5"/>
  <c r="K490" i="5"/>
  <c r="L490" i="5"/>
  <c r="M490" i="5"/>
  <c r="N490" i="5"/>
  <c r="O490" i="5"/>
  <c r="P490" i="5"/>
  <c r="Q490" i="5"/>
  <c r="R490" i="5"/>
  <c r="C491" i="5"/>
  <c r="D491" i="5"/>
  <c r="E491" i="5"/>
  <c r="F491" i="5"/>
  <c r="G491" i="5"/>
  <c r="H491" i="5"/>
  <c r="I491" i="5"/>
  <c r="J491" i="5"/>
  <c r="K491" i="5"/>
  <c r="L491" i="5"/>
  <c r="M491" i="5"/>
  <c r="N491" i="5"/>
  <c r="O491" i="5"/>
  <c r="P491" i="5"/>
  <c r="Q491" i="5"/>
  <c r="R491" i="5"/>
  <c r="C492" i="5"/>
  <c r="D492" i="5"/>
  <c r="E492" i="5"/>
  <c r="F492" i="5"/>
  <c r="G492" i="5"/>
  <c r="H492" i="5"/>
  <c r="I492" i="5"/>
  <c r="J492" i="5"/>
  <c r="K492" i="5"/>
  <c r="L492" i="5"/>
  <c r="M492" i="5"/>
  <c r="N492" i="5"/>
  <c r="O492" i="5"/>
  <c r="P492" i="5"/>
  <c r="Q492" i="5"/>
  <c r="R492" i="5"/>
  <c r="C493" i="5"/>
  <c r="D493" i="5"/>
  <c r="E493" i="5"/>
  <c r="F493" i="5"/>
  <c r="G493" i="5"/>
  <c r="H493" i="5"/>
  <c r="I493" i="5"/>
  <c r="J493" i="5"/>
  <c r="K493" i="5"/>
  <c r="L493" i="5"/>
  <c r="M493" i="5"/>
  <c r="N493" i="5"/>
  <c r="O493" i="5"/>
  <c r="P493" i="5"/>
  <c r="Q493" i="5"/>
  <c r="R493" i="5"/>
  <c r="C494" i="5"/>
  <c r="D494" i="5"/>
  <c r="E494" i="5"/>
  <c r="F494" i="5"/>
  <c r="G494" i="5"/>
  <c r="H494" i="5"/>
  <c r="I494" i="5"/>
  <c r="J494" i="5"/>
  <c r="K494" i="5"/>
  <c r="L494" i="5"/>
  <c r="M494" i="5"/>
  <c r="N494" i="5"/>
  <c r="O494" i="5"/>
  <c r="P494" i="5"/>
  <c r="Q494" i="5"/>
  <c r="R494" i="5"/>
  <c r="C495" i="5"/>
  <c r="D495" i="5"/>
  <c r="E495" i="5"/>
  <c r="F495" i="5"/>
  <c r="G495" i="5"/>
  <c r="H495" i="5"/>
  <c r="I495" i="5"/>
  <c r="J495" i="5"/>
  <c r="K495" i="5"/>
  <c r="L495" i="5"/>
  <c r="M495" i="5"/>
  <c r="N495" i="5"/>
  <c r="O495" i="5"/>
  <c r="P495" i="5"/>
  <c r="Q495" i="5"/>
  <c r="R495" i="5"/>
  <c r="C496" i="5"/>
  <c r="D496" i="5"/>
  <c r="E496" i="5"/>
  <c r="F496" i="5"/>
  <c r="G496" i="5"/>
  <c r="H496" i="5"/>
  <c r="I496" i="5"/>
  <c r="J496" i="5"/>
  <c r="K496" i="5"/>
  <c r="L496" i="5"/>
  <c r="M496" i="5"/>
  <c r="N496" i="5"/>
  <c r="O496" i="5"/>
  <c r="P496" i="5"/>
  <c r="Q496" i="5"/>
  <c r="R496" i="5"/>
  <c r="C497" i="5"/>
  <c r="D497" i="5"/>
  <c r="E497" i="5"/>
  <c r="F497" i="5"/>
  <c r="G497" i="5"/>
  <c r="H497" i="5"/>
  <c r="I497" i="5"/>
  <c r="J497" i="5"/>
  <c r="K497" i="5"/>
  <c r="L497" i="5"/>
  <c r="M497" i="5"/>
  <c r="N497" i="5"/>
  <c r="O497" i="5"/>
  <c r="P497" i="5"/>
  <c r="Q497" i="5"/>
  <c r="R497" i="5"/>
  <c r="C498" i="5"/>
  <c r="D498" i="5"/>
  <c r="E498" i="5"/>
  <c r="F498" i="5"/>
  <c r="G498" i="5"/>
  <c r="H498" i="5"/>
  <c r="I498" i="5"/>
  <c r="J498" i="5"/>
  <c r="K498" i="5"/>
  <c r="L498" i="5"/>
  <c r="M498" i="5"/>
  <c r="N498" i="5"/>
  <c r="O498" i="5"/>
  <c r="P498" i="5"/>
  <c r="Q498" i="5"/>
  <c r="R498" i="5"/>
  <c r="C499" i="5"/>
  <c r="D499" i="5"/>
  <c r="E499" i="5"/>
  <c r="F499" i="5"/>
  <c r="G499" i="5"/>
  <c r="H499" i="5"/>
  <c r="I499" i="5"/>
  <c r="J499" i="5"/>
  <c r="K499" i="5"/>
  <c r="L499" i="5"/>
  <c r="M499" i="5"/>
  <c r="N499" i="5"/>
  <c r="O499" i="5"/>
  <c r="P499" i="5"/>
  <c r="Q499" i="5"/>
  <c r="R499" i="5"/>
  <c r="C500" i="5"/>
  <c r="D500" i="5"/>
  <c r="E500" i="5"/>
  <c r="F500" i="5"/>
  <c r="G500" i="5"/>
  <c r="H500" i="5"/>
  <c r="I500" i="5"/>
  <c r="J500" i="5"/>
  <c r="K500" i="5"/>
  <c r="L500" i="5"/>
  <c r="M500" i="5"/>
  <c r="N500" i="5"/>
  <c r="O500" i="5"/>
  <c r="P500" i="5"/>
  <c r="Q500" i="5"/>
  <c r="R500" i="5"/>
  <c r="C501" i="5"/>
  <c r="D501" i="5"/>
  <c r="E501" i="5"/>
  <c r="F501" i="5"/>
  <c r="G501" i="5"/>
  <c r="H501" i="5"/>
  <c r="I501" i="5"/>
  <c r="J501" i="5"/>
  <c r="K501" i="5"/>
  <c r="L501" i="5"/>
  <c r="M501" i="5"/>
  <c r="N501" i="5"/>
  <c r="O501" i="5"/>
  <c r="P501" i="5"/>
  <c r="Q501" i="5"/>
  <c r="R501" i="5"/>
  <c r="C502" i="5"/>
  <c r="D502" i="5"/>
  <c r="E502" i="5"/>
  <c r="F502" i="5"/>
  <c r="G502" i="5"/>
  <c r="H502" i="5"/>
  <c r="I502" i="5"/>
  <c r="J502" i="5"/>
  <c r="K502" i="5"/>
  <c r="L502" i="5"/>
  <c r="M502" i="5"/>
  <c r="N502" i="5"/>
  <c r="O502" i="5"/>
  <c r="P502" i="5"/>
  <c r="Q502" i="5"/>
  <c r="R502" i="5"/>
  <c r="C503" i="5"/>
  <c r="D503" i="5"/>
  <c r="E503" i="5"/>
  <c r="F503" i="5"/>
  <c r="G503" i="5"/>
  <c r="H503" i="5"/>
  <c r="I503" i="5"/>
  <c r="J503" i="5"/>
  <c r="K503" i="5"/>
  <c r="L503" i="5"/>
  <c r="M503" i="5"/>
  <c r="N503" i="5"/>
  <c r="O503" i="5"/>
  <c r="P503" i="5"/>
  <c r="Q503" i="5"/>
  <c r="R503" i="5"/>
  <c r="C504" i="5"/>
  <c r="D504" i="5"/>
  <c r="E504" i="5"/>
  <c r="F504" i="5"/>
  <c r="G504" i="5"/>
  <c r="H504" i="5"/>
  <c r="I504" i="5"/>
  <c r="J504" i="5"/>
  <c r="K504" i="5"/>
  <c r="L504" i="5"/>
  <c r="M504" i="5"/>
  <c r="N504" i="5"/>
  <c r="O504" i="5"/>
  <c r="P504" i="5"/>
  <c r="Q504" i="5"/>
  <c r="R504" i="5"/>
  <c r="C505" i="5"/>
  <c r="D505" i="5"/>
  <c r="E505" i="5"/>
  <c r="F505" i="5"/>
  <c r="G505" i="5"/>
  <c r="H505" i="5"/>
  <c r="I505" i="5"/>
  <c r="J505" i="5"/>
  <c r="K505" i="5"/>
  <c r="L505" i="5"/>
  <c r="M505" i="5"/>
  <c r="N505" i="5"/>
  <c r="O505" i="5"/>
  <c r="P505" i="5"/>
  <c r="Q505" i="5"/>
  <c r="R505" i="5"/>
  <c r="C506" i="5"/>
  <c r="D506" i="5"/>
  <c r="E506" i="5"/>
  <c r="F506" i="5"/>
  <c r="G506" i="5"/>
  <c r="H506" i="5"/>
  <c r="I506" i="5"/>
  <c r="J506" i="5"/>
  <c r="K506" i="5"/>
  <c r="L506" i="5"/>
  <c r="M506" i="5"/>
  <c r="N506" i="5"/>
  <c r="O506" i="5"/>
  <c r="P506" i="5"/>
  <c r="Q506" i="5"/>
  <c r="R506" i="5"/>
  <c r="C507" i="5"/>
  <c r="D507" i="5"/>
  <c r="E507" i="5"/>
  <c r="F507" i="5"/>
  <c r="G507" i="5"/>
  <c r="H507" i="5"/>
  <c r="I507" i="5"/>
  <c r="J507" i="5"/>
  <c r="K507" i="5"/>
  <c r="L507" i="5"/>
  <c r="M507" i="5"/>
  <c r="N507" i="5"/>
  <c r="O507" i="5"/>
  <c r="P507" i="5"/>
  <c r="Q507" i="5"/>
  <c r="R507" i="5"/>
  <c r="C508" i="5"/>
  <c r="D508" i="5"/>
  <c r="E508" i="5"/>
  <c r="F508" i="5"/>
  <c r="G508" i="5"/>
  <c r="H508" i="5"/>
  <c r="I508" i="5"/>
  <c r="J508" i="5"/>
  <c r="K508" i="5"/>
  <c r="L508" i="5"/>
  <c r="M508" i="5"/>
  <c r="N508" i="5"/>
  <c r="O508" i="5"/>
  <c r="P508" i="5"/>
  <c r="Q508" i="5"/>
  <c r="R508" i="5"/>
  <c r="C509" i="5"/>
  <c r="D509" i="5"/>
  <c r="E509" i="5"/>
  <c r="F509" i="5"/>
  <c r="G509" i="5"/>
  <c r="H509" i="5"/>
  <c r="I509" i="5"/>
  <c r="J509" i="5"/>
  <c r="K509" i="5"/>
  <c r="L509" i="5"/>
  <c r="M509" i="5"/>
  <c r="N509" i="5"/>
  <c r="O509" i="5"/>
  <c r="P509" i="5"/>
  <c r="Q509" i="5"/>
  <c r="R509" i="5"/>
  <c r="C510" i="5"/>
  <c r="D510" i="5"/>
  <c r="E510" i="5"/>
  <c r="F510" i="5"/>
  <c r="G510" i="5"/>
  <c r="H510" i="5"/>
  <c r="I510" i="5"/>
  <c r="J510" i="5"/>
  <c r="K510" i="5"/>
  <c r="L510" i="5"/>
  <c r="M510" i="5"/>
  <c r="N510" i="5"/>
  <c r="O510" i="5"/>
  <c r="P510" i="5"/>
  <c r="Q510" i="5"/>
  <c r="R510" i="5"/>
  <c r="C511" i="5"/>
  <c r="D511" i="5"/>
  <c r="E511" i="5"/>
  <c r="F511" i="5"/>
  <c r="G511" i="5"/>
  <c r="H511" i="5"/>
  <c r="I511" i="5"/>
  <c r="J511" i="5"/>
  <c r="K511" i="5"/>
  <c r="L511" i="5"/>
  <c r="M511" i="5"/>
  <c r="N511" i="5"/>
  <c r="O511" i="5"/>
  <c r="P511" i="5"/>
  <c r="Q511" i="5"/>
  <c r="R511" i="5"/>
  <c r="C512" i="5"/>
  <c r="D512" i="5"/>
  <c r="E512" i="5"/>
  <c r="F512" i="5"/>
  <c r="G512" i="5"/>
  <c r="H512" i="5"/>
  <c r="I512" i="5"/>
  <c r="J512" i="5"/>
  <c r="K512" i="5"/>
  <c r="L512" i="5"/>
  <c r="M512" i="5"/>
  <c r="N512" i="5"/>
  <c r="O512" i="5"/>
  <c r="P512" i="5"/>
  <c r="Q512" i="5"/>
  <c r="R512" i="5"/>
  <c r="C513" i="5"/>
  <c r="D513" i="5"/>
  <c r="E513" i="5"/>
  <c r="F513" i="5"/>
  <c r="G513" i="5"/>
  <c r="H513" i="5"/>
  <c r="I513" i="5"/>
  <c r="J513" i="5"/>
  <c r="K513" i="5"/>
  <c r="L513" i="5"/>
  <c r="M513" i="5"/>
  <c r="N513" i="5"/>
  <c r="O513" i="5"/>
  <c r="P513" i="5"/>
  <c r="Q513" i="5"/>
  <c r="R513" i="5"/>
  <c r="C514" i="5"/>
  <c r="D514" i="5"/>
  <c r="E514" i="5"/>
  <c r="F514" i="5"/>
  <c r="G514" i="5"/>
  <c r="H514" i="5"/>
  <c r="I514" i="5"/>
  <c r="J514" i="5"/>
  <c r="K514" i="5"/>
  <c r="L514" i="5"/>
  <c r="M514" i="5"/>
  <c r="N514" i="5"/>
  <c r="O514" i="5"/>
  <c r="P514" i="5"/>
  <c r="Q514" i="5"/>
  <c r="R514" i="5"/>
  <c r="C515" i="5"/>
  <c r="D515" i="5"/>
  <c r="E515" i="5"/>
  <c r="F515" i="5"/>
  <c r="G515" i="5"/>
  <c r="H515" i="5"/>
  <c r="I515" i="5"/>
  <c r="J515" i="5"/>
  <c r="K515" i="5"/>
  <c r="L515" i="5"/>
  <c r="M515" i="5"/>
  <c r="N515" i="5"/>
  <c r="O515" i="5"/>
  <c r="P515" i="5"/>
  <c r="Q515" i="5"/>
  <c r="R515" i="5"/>
  <c r="C516" i="5"/>
  <c r="D516" i="5"/>
  <c r="E516" i="5"/>
  <c r="F516" i="5"/>
  <c r="G516" i="5"/>
  <c r="H516" i="5"/>
  <c r="I516" i="5"/>
  <c r="J516" i="5"/>
  <c r="K516" i="5"/>
  <c r="L516" i="5"/>
  <c r="M516" i="5"/>
  <c r="N516" i="5"/>
  <c r="O516" i="5"/>
  <c r="P516" i="5"/>
  <c r="Q516" i="5"/>
  <c r="R516" i="5"/>
  <c r="C517" i="5"/>
  <c r="D517" i="5"/>
  <c r="E517" i="5"/>
  <c r="F517" i="5"/>
  <c r="G517" i="5"/>
  <c r="H517" i="5"/>
  <c r="I517" i="5"/>
  <c r="J517" i="5"/>
  <c r="K517" i="5"/>
  <c r="L517" i="5"/>
  <c r="M517" i="5"/>
  <c r="N517" i="5"/>
  <c r="O517" i="5"/>
  <c r="P517" i="5"/>
  <c r="Q517" i="5"/>
  <c r="R517" i="5"/>
  <c r="C518" i="5"/>
  <c r="D518" i="5"/>
  <c r="E518" i="5"/>
  <c r="F518" i="5"/>
  <c r="G518" i="5"/>
  <c r="H518" i="5"/>
  <c r="I518" i="5"/>
  <c r="J518" i="5"/>
  <c r="K518" i="5"/>
  <c r="L518" i="5"/>
  <c r="M518" i="5"/>
  <c r="N518" i="5"/>
  <c r="O518" i="5"/>
  <c r="P518" i="5"/>
  <c r="Q518" i="5"/>
  <c r="R518" i="5"/>
  <c r="C519" i="5"/>
  <c r="D519" i="5"/>
  <c r="E519" i="5"/>
  <c r="F519" i="5"/>
  <c r="G519" i="5"/>
  <c r="H519" i="5"/>
  <c r="I519" i="5"/>
  <c r="J519" i="5"/>
  <c r="K519" i="5"/>
  <c r="L519" i="5"/>
  <c r="M519" i="5"/>
  <c r="N519" i="5"/>
  <c r="O519" i="5"/>
  <c r="P519" i="5"/>
  <c r="Q519" i="5"/>
  <c r="R519" i="5"/>
  <c r="C520" i="5"/>
  <c r="D520" i="5"/>
  <c r="E520" i="5"/>
  <c r="F520" i="5"/>
  <c r="G520" i="5"/>
  <c r="H520" i="5"/>
  <c r="I520" i="5"/>
  <c r="J520" i="5"/>
  <c r="K520" i="5"/>
  <c r="L520" i="5"/>
  <c r="M520" i="5"/>
  <c r="N520" i="5"/>
  <c r="O520" i="5"/>
  <c r="P520" i="5"/>
  <c r="Q520" i="5"/>
  <c r="R520" i="5"/>
  <c r="C521" i="5"/>
  <c r="D521" i="5"/>
  <c r="E521" i="5"/>
  <c r="F521" i="5"/>
  <c r="G521" i="5"/>
  <c r="H521" i="5"/>
  <c r="I521" i="5"/>
  <c r="J521" i="5"/>
  <c r="K521" i="5"/>
  <c r="L521" i="5"/>
  <c r="M521" i="5"/>
  <c r="N521" i="5"/>
  <c r="O521" i="5"/>
  <c r="P521" i="5"/>
  <c r="Q521" i="5"/>
  <c r="R521" i="5"/>
  <c r="C522" i="5"/>
  <c r="D522" i="5"/>
  <c r="E522" i="5"/>
  <c r="F522" i="5"/>
  <c r="G522" i="5"/>
  <c r="H522" i="5"/>
  <c r="I522" i="5"/>
  <c r="J522" i="5"/>
  <c r="K522" i="5"/>
  <c r="L522" i="5"/>
  <c r="M522" i="5"/>
  <c r="N522" i="5"/>
  <c r="O522" i="5"/>
  <c r="P522" i="5"/>
  <c r="Q522" i="5"/>
  <c r="R522" i="5"/>
  <c r="C523" i="5"/>
  <c r="D523" i="5"/>
  <c r="E523" i="5"/>
  <c r="F523" i="5"/>
  <c r="G523" i="5"/>
  <c r="H523" i="5"/>
  <c r="I523" i="5"/>
  <c r="J523" i="5"/>
  <c r="K523" i="5"/>
  <c r="L523" i="5"/>
  <c r="M523" i="5"/>
  <c r="N523" i="5"/>
  <c r="O523" i="5"/>
  <c r="P523" i="5"/>
  <c r="Q523" i="5"/>
  <c r="R523" i="5"/>
  <c r="C524" i="5"/>
  <c r="D524" i="5"/>
  <c r="E524" i="5"/>
  <c r="F524" i="5"/>
  <c r="G524" i="5"/>
  <c r="H524" i="5"/>
  <c r="I524" i="5"/>
  <c r="J524" i="5"/>
  <c r="K524" i="5"/>
  <c r="L524" i="5"/>
  <c r="M524" i="5"/>
  <c r="N524" i="5"/>
  <c r="O524" i="5"/>
  <c r="P524" i="5"/>
  <c r="Q524" i="5"/>
  <c r="R524" i="5"/>
  <c r="C525" i="5"/>
  <c r="D525" i="5"/>
  <c r="E525" i="5"/>
  <c r="F525" i="5"/>
  <c r="G525" i="5"/>
  <c r="H525" i="5"/>
  <c r="I525" i="5"/>
  <c r="J525" i="5"/>
  <c r="K525" i="5"/>
  <c r="L525" i="5"/>
  <c r="M525" i="5"/>
  <c r="N525" i="5"/>
  <c r="O525" i="5"/>
  <c r="P525" i="5"/>
  <c r="Q525" i="5"/>
  <c r="R525" i="5"/>
  <c r="C526" i="5"/>
  <c r="D526" i="5"/>
  <c r="E526" i="5"/>
  <c r="F526" i="5"/>
  <c r="G526" i="5"/>
  <c r="H526" i="5"/>
  <c r="I526" i="5"/>
  <c r="J526" i="5"/>
  <c r="K526" i="5"/>
  <c r="L526" i="5"/>
  <c r="M526" i="5"/>
  <c r="N526" i="5"/>
  <c r="O526" i="5"/>
  <c r="P526" i="5"/>
  <c r="Q526" i="5"/>
  <c r="R526" i="5"/>
  <c r="C527" i="5"/>
  <c r="D527" i="5"/>
  <c r="E527" i="5"/>
  <c r="F527" i="5"/>
  <c r="G527" i="5"/>
  <c r="H527" i="5"/>
  <c r="I527" i="5"/>
  <c r="J527" i="5"/>
  <c r="K527" i="5"/>
  <c r="L527" i="5"/>
  <c r="M527" i="5"/>
  <c r="N527" i="5"/>
  <c r="O527" i="5"/>
  <c r="P527" i="5"/>
  <c r="Q527" i="5"/>
  <c r="R527" i="5"/>
  <c r="C528" i="5"/>
  <c r="D528" i="5"/>
  <c r="E528" i="5"/>
  <c r="F528" i="5"/>
  <c r="G528" i="5"/>
  <c r="H528" i="5"/>
  <c r="I528" i="5"/>
  <c r="J528" i="5"/>
  <c r="K528" i="5"/>
  <c r="L528" i="5"/>
  <c r="M528" i="5"/>
  <c r="N528" i="5"/>
  <c r="O528" i="5"/>
  <c r="P528" i="5"/>
  <c r="Q528" i="5"/>
  <c r="R528" i="5"/>
  <c r="C529" i="5"/>
  <c r="D529" i="5"/>
  <c r="E529" i="5"/>
  <c r="F529" i="5"/>
  <c r="G529" i="5"/>
  <c r="H529" i="5"/>
  <c r="I529" i="5"/>
  <c r="J529" i="5"/>
  <c r="K529" i="5"/>
  <c r="L529" i="5"/>
  <c r="M529" i="5"/>
  <c r="N529" i="5"/>
  <c r="O529" i="5"/>
  <c r="P529" i="5"/>
  <c r="Q529" i="5"/>
  <c r="R529" i="5"/>
  <c r="C530" i="5"/>
  <c r="D530" i="5"/>
  <c r="E530" i="5"/>
  <c r="F530" i="5"/>
  <c r="G530" i="5"/>
  <c r="H530" i="5"/>
  <c r="I530" i="5"/>
  <c r="J530" i="5"/>
  <c r="K530" i="5"/>
  <c r="L530" i="5"/>
  <c r="M530" i="5"/>
  <c r="N530" i="5"/>
  <c r="O530" i="5"/>
  <c r="P530" i="5"/>
  <c r="Q530" i="5"/>
  <c r="R530" i="5"/>
  <c r="C531" i="5"/>
  <c r="D531" i="5"/>
  <c r="E531" i="5"/>
  <c r="F531" i="5"/>
  <c r="G531" i="5"/>
  <c r="H531" i="5"/>
  <c r="I531" i="5"/>
  <c r="J531" i="5"/>
  <c r="K531" i="5"/>
  <c r="L531" i="5"/>
  <c r="M531" i="5"/>
  <c r="N531" i="5"/>
  <c r="O531" i="5"/>
  <c r="P531" i="5"/>
  <c r="Q531" i="5"/>
  <c r="R531" i="5"/>
  <c r="C532" i="5"/>
  <c r="D532" i="5"/>
  <c r="E532" i="5"/>
  <c r="F532" i="5"/>
  <c r="G532" i="5"/>
  <c r="H532" i="5"/>
  <c r="I532" i="5"/>
  <c r="J532" i="5"/>
  <c r="K532" i="5"/>
  <c r="L532" i="5"/>
  <c r="M532" i="5"/>
  <c r="N532" i="5"/>
  <c r="O532" i="5"/>
  <c r="P532" i="5"/>
  <c r="Q532" i="5"/>
  <c r="R532" i="5"/>
  <c r="C533" i="5"/>
  <c r="D533" i="5"/>
  <c r="E533" i="5"/>
  <c r="F533" i="5"/>
  <c r="G533" i="5"/>
  <c r="H533" i="5"/>
  <c r="I533" i="5"/>
  <c r="J533" i="5"/>
  <c r="K533" i="5"/>
  <c r="L533" i="5"/>
  <c r="M533" i="5"/>
  <c r="N533" i="5"/>
  <c r="O533" i="5"/>
  <c r="P533" i="5"/>
  <c r="Q533" i="5"/>
  <c r="R533" i="5"/>
  <c r="C534" i="5"/>
  <c r="D534" i="5"/>
  <c r="E534" i="5"/>
  <c r="F534" i="5"/>
  <c r="G534" i="5"/>
  <c r="H534" i="5"/>
  <c r="I534" i="5"/>
  <c r="J534" i="5"/>
  <c r="K534" i="5"/>
  <c r="L534" i="5"/>
  <c r="M534" i="5"/>
  <c r="N534" i="5"/>
  <c r="O534" i="5"/>
  <c r="P534" i="5"/>
  <c r="Q534" i="5"/>
  <c r="R534" i="5"/>
  <c r="C535" i="5"/>
  <c r="D535" i="5"/>
  <c r="E535" i="5"/>
  <c r="F535" i="5"/>
  <c r="G535" i="5"/>
  <c r="H535" i="5"/>
  <c r="I535" i="5"/>
  <c r="J535" i="5"/>
  <c r="K535" i="5"/>
  <c r="L535" i="5"/>
  <c r="M535" i="5"/>
  <c r="N535" i="5"/>
  <c r="O535" i="5"/>
  <c r="P535" i="5"/>
  <c r="Q535" i="5"/>
  <c r="R535" i="5"/>
  <c r="C536" i="5"/>
  <c r="D536" i="5"/>
  <c r="E536" i="5"/>
  <c r="F536" i="5"/>
  <c r="G536" i="5"/>
  <c r="H536" i="5"/>
  <c r="I536" i="5"/>
  <c r="J536" i="5"/>
  <c r="K536" i="5"/>
  <c r="L536" i="5"/>
  <c r="M536" i="5"/>
  <c r="N536" i="5"/>
  <c r="O536" i="5"/>
  <c r="P536" i="5"/>
  <c r="Q536" i="5"/>
  <c r="R536" i="5"/>
  <c r="C537" i="5"/>
  <c r="D537" i="5"/>
  <c r="E537" i="5"/>
  <c r="F537" i="5"/>
  <c r="G537" i="5"/>
  <c r="H537" i="5"/>
  <c r="I537" i="5"/>
  <c r="J537" i="5"/>
  <c r="K537" i="5"/>
  <c r="L537" i="5"/>
  <c r="M537" i="5"/>
  <c r="N537" i="5"/>
  <c r="O537" i="5"/>
  <c r="P537" i="5"/>
  <c r="Q537" i="5"/>
  <c r="R537" i="5"/>
  <c r="C538" i="5"/>
  <c r="D538" i="5"/>
  <c r="E538" i="5"/>
  <c r="F538" i="5"/>
  <c r="G538" i="5"/>
  <c r="H538" i="5"/>
  <c r="I538" i="5"/>
  <c r="J538" i="5"/>
  <c r="K538" i="5"/>
  <c r="L538" i="5"/>
  <c r="M538" i="5"/>
  <c r="N538" i="5"/>
  <c r="O538" i="5"/>
  <c r="P538" i="5"/>
  <c r="Q538" i="5"/>
  <c r="R538" i="5"/>
  <c r="C539" i="5"/>
  <c r="D539" i="5"/>
  <c r="E539" i="5"/>
  <c r="F539" i="5"/>
  <c r="G539" i="5"/>
  <c r="H539" i="5"/>
  <c r="I539" i="5"/>
  <c r="J539" i="5"/>
  <c r="K539" i="5"/>
  <c r="L539" i="5"/>
  <c r="M539" i="5"/>
  <c r="N539" i="5"/>
  <c r="O539" i="5"/>
  <c r="P539" i="5"/>
  <c r="Q539" i="5"/>
  <c r="R539" i="5"/>
  <c r="C540" i="5"/>
  <c r="D540" i="5"/>
  <c r="E540" i="5"/>
  <c r="F540" i="5"/>
  <c r="G540" i="5"/>
  <c r="H540" i="5"/>
  <c r="I540" i="5"/>
  <c r="J540" i="5"/>
  <c r="K540" i="5"/>
  <c r="L540" i="5"/>
  <c r="M540" i="5"/>
  <c r="N540" i="5"/>
  <c r="O540" i="5"/>
  <c r="P540" i="5"/>
  <c r="Q540" i="5"/>
  <c r="R540" i="5"/>
  <c r="C541" i="5"/>
  <c r="D541" i="5"/>
  <c r="E541" i="5"/>
  <c r="F541" i="5"/>
  <c r="G541" i="5"/>
  <c r="H541" i="5"/>
  <c r="I541" i="5"/>
  <c r="J541" i="5"/>
  <c r="K541" i="5"/>
  <c r="L541" i="5"/>
  <c r="M541" i="5"/>
  <c r="N541" i="5"/>
  <c r="O541" i="5"/>
  <c r="P541" i="5"/>
  <c r="Q541" i="5"/>
  <c r="R541" i="5"/>
  <c r="C542" i="5"/>
  <c r="D542" i="5"/>
  <c r="E542" i="5"/>
  <c r="F542" i="5"/>
  <c r="G542" i="5"/>
  <c r="H542" i="5"/>
  <c r="I542" i="5"/>
  <c r="J542" i="5"/>
  <c r="K542" i="5"/>
  <c r="L542" i="5"/>
  <c r="M542" i="5"/>
  <c r="N542" i="5"/>
  <c r="O542" i="5"/>
  <c r="P542" i="5"/>
  <c r="Q542" i="5"/>
  <c r="R542" i="5"/>
  <c r="C543" i="5"/>
  <c r="D543" i="5"/>
  <c r="E543" i="5"/>
  <c r="F543" i="5"/>
  <c r="G543" i="5"/>
  <c r="H543" i="5"/>
  <c r="I543" i="5"/>
  <c r="J543" i="5"/>
  <c r="K543" i="5"/>
  <c r="L543" i="5"/>
  <c r="M543" i="5"/>
  <c r="N543" i="5"/>
  <c r="O543" i="5"/>
  <c r="P543" i="5"/>
  <c r="Q543" i="5"/>
  <c r="R543" i="5"/>
  <c r="C544" i="5"/>
  <c r="D544" i="5"/>
  <c r="E544" i="5"/>
  <c r="F544" i="5"/>
  <c r="G544" i="5"/>
  <c r="H544" i="5"/>
  <c r="I544" i="5"/>
  <c r="J544" i="5"/>
  <c r="K544" i="5"/>
  <c r="L544" i="5"/>
  <c r="M544" i="5"/>
  <c r="N544" i="5"/>
  <c r="O544" i="5"/>
  <c r="P544" i="5"/>
  <c r="Q544" i="5"/>
  <c r="R544" i="5"/>
  <c r="C545" i="5"/>
  <c r="D545" i="5"/>
  <c r="E545" i="5"/>
  <c r="F545" i="5"/>
  <c r="G545" i="5"/>
  <c r="H545" i="5"/>
  <c r="I545" i="5"/>
  <c r="J545" i="5"/>
  <c r="K545" i="5"/>
  <c r="L545" i="5"/>
  <c r="M545" i="5"/>
  <c r="N545" i="5"/>
  <c r="O545" i="5"/>
  <c r="P545" i="5"/>
  <c r="Q545" i="5"/>
  <c r="R545" i="5"/>
  <c r="C546" i="5"/>
  <c r="D546" i="5"/>
  <c r="E546" i="5"/>
  <c r="F546" i="5"/>
  <c r="G546" i="5"/>
  <c r="H546" i="5"/>
  <c r="I546" i="5"/>
  <c r="J546" i="5"/>
  <c r="K546" i="5"/>
  <c r="L546" i="5"/>
  <c r="M546" i="5"/>
  <c r="N546" i="5"/>
  <c r="O546" i="5"/>
  <c r="P546" i="5"/>
  <c r="Q546" i="5"/>
  <c r="R546" i="5"/>
  <c r="C547" i="5"/>
  <c r="D547" i="5"/>
  <c r="E547" i="5"/>
  <c r="F547" i="5"/>
  <c r="G547" i="5"/>
  <c r="H547" i="5"/>
  <c r="I547" i="5"/>
  <c r="J547" i="5"/>
  <c r="K547" i="5"/>
  <c r="L547" i="5"/>
  <c r="M547" i="5"/>
  <c r="N547" i="5"/>
  <c r="O547" i="5"/>
  <c r="P547" i="5"/>
  <c r="Q547" i="5"/>
  <c r="R547" i="5"/>
  <c r="C548" i="5"/>
  <c r="D548" i="5"/>
  <c r="E548" i="5"/>
  <c r="F548" i="5"/>
  <c r="G548" i="5"/>
  <c r="H548" i="5"/>
  <c r="I548" i="5"/>
  <c r="J548" i="5"/>
  <c r="K548" i="5"/>
  <c r="L548" i="5"/>
  <c r="M548" i="5"/>
  <c r="N548" i="5"/>
  <c r="O548" i="5"/>
  <c r="P548" i="5"/>
  <c r="Q548" i="5"/>
  <c r="R548" i="5"/>
  <c r="C549" i="5"/>
  <c r="D549" i="5"/>
  <c r="E549" i="5"/>
  <c r="F549" i="5"/>
  <c r="G549" i="5"/>
  <c r="H549" i="5"/>
  <c r="I549" i="5"/>
  <c r="J549" i="5"/>
  <c r="K549" i="5"/>
  <c r="L549" i="5"/>
  <c r="M549" i="5"/>
  <c r="N549" i="5"/>
  <c r="O549" i="5"/>
  <c r="P549" i="5"/>
  <c r="Q549" i="5"/>
  <c r="R549" i="5"/>
  <c r="C550" i="5"/>
  <c r="D550" i="5"/>
  <c r="E550" i="5"/>
  <c r="F550" i="5"/>
  <c r="G550" i="5"/>
  <c r="H550" i="5"/>
  <c r="I550" i="5"/>
  <c r="J550" i="5"/>
  <c r="K550" i="5"/>
  <c r="L550" i="5"/>
  <c r="M550" i="5"/>
  <c r="N550" i="5"/>
  <c r="O550" i="5"/>
  <c r="P550" i="5"/>
  <c r="Q550" i="5"/>
  <c r="R550" i="5"/>
  <c r="C551" i="5"/>
  <c r="D551" i="5"/>
  <c r="E551" i="5"/>
  <c r="F551" i="5"/>
  <c r="G551" i="5"/>
  <c r="H551" i="5"/>
  <c r="I551" i="5"/>
  <c r="J551" i="5"/>
  <c r="K551" i="5"/>
  <c r="L551" i="5"/>
  <c r="M551" i="5"/>
  <c r="N551" i="5"/>
  <c r="O551" i="5"/>
  <c r="P551" i="5"/>
  <c r="Q551" i="5"/>
  <c r="R551" i="5"/>
  <c r="C552" i="5"/>
  <c r="D552" i="5"/>
  <c r="E552" i="5"/>
  <c r="F552" i="5"/>
  <c r="G552" i="5"/>
  <c r="H552" i="5"/>
  <c r="I552" i="5"/>
  <c r="J552" i="5"/>
  <c r="K552" i="5"/>
  <c r="L552" i="5"/>
  <c r="M552" i="5"/>
  <c r="N552" i="5"/>
  <c r="O552" i="5"/>
  <c r="P552" i="5"/>
  <c r="Q552" i="5"/>
  <c r="R552" i="5"/>
  <c r="C553" i="5"/>
  <c r="D553" i="5"/>
  <c r="E553" i="5"/>
  <c r="F553" i="5"/>
  <c r="G553" i="5"/>
  <c r="H553" i="5"/>
  <c r="I553" i="5"/>
  <c r="J553" i="5"/>
  <c r="K553" i="5"/>
  <c r="L553" i="5"/>
  <c r="M553" i="5"/>
  <c r="N553" i="5"/>
  <c r="O553" i="5"/>
  <c r="P553" i="5"/>
  <c r="Q553" i="5"/>
  <c r="R553" i="5"/>
  <c r="C554" i="5"/>
  <c r="D554" i="5"/>
  <c r="E554" i="5"/>
  <c r="F554" i="5"/>
  <c r="G554" i="5"/>
  <c r="H554" i="5"/>
  <c r="I554" i="5"/>
  <c r="J554" i="5"/>
  <c r="K554" i="5"/>
  <c r="L554" i="5"/>
  <c r="M554" i="5"/>
  <c r="N554" i="5"/>
  <c r="O554" i="5"/>
  <c r="P554" i="5"/>
  <c r="Q554" i="5"/>
  <c r="R554" i="5"/>
  <c r="C555" i="5"/>
  <c r="D555" i="5"/>
  <c r="E555" i="5"/>
  <c r="F555" i="5"/>
  <c r="G555" i="5"/>
  <c r="H555" i="5"/>
  <c r="I555" i="5"/>
  <c r="J555" i="5"/>
  <c r="K555" i="5"/>
  <c r="L555" i="5"/>
  <c r="M555" i="5"/>
  <c r="N555" i="5"/>
  <c r="O555" i="5"/>
  <c r="P555" i="5"/>
  <c r="Q555" i="5"/>
  <c r="R555" i="5"/>
  <c r="C556" i="5"/>
  <c r="D556" i="5"/>
  <c r="E556" i="5"/>
  <c r="F556" i="5"/>
  <c r="G556" i="5"/>
  <c r="H556" i="5"/>
  <c r="I556" i="5"/>
  <c r="J556" i="5"/>
  <c r="K556" i="5"/>
  <c r="L556" i="5"/>
  <c r="M556" i="5"/>
  <c r="N556" i="5"/>
  <c r="O556" i="5"/>
  <c r="P556" i="5"/>
  <c r="Q556" i="5"/>
  <c r="R556" i="5"/>
  <c r="C557" i="5"/>
  <c r="D557" i="5"/>
  <c r="E557" i="5"/>
  <c r="F557" i="5"/>
  <c r="G557" i="5"/>
  <c r="H557" i="5"/>
  <c r="I557" i="5"/>
  <c r="J557" i="5"/>
  <c r="K557" i="5"/>
  <c r="L557" i="5"/>
  <c r="M557" i="5"/>
  <c r="N557" i="5"/>
  <c r="O557" i="5"/>
  <c r="P557" i="5"/>
  <c r="Q557" i="5"/>
  <c r="R557" i="5"/>
  <c r="C558" i="5"/>
  <c r="D558" i="5"/>
  <c r="E558" i="5"/>
  <c r="F558" i="5"/>
  <c r="G558" i="5"/>
  <c r="H558" i="5"/>
  <c r="I558" i="5"/>
  <c r="J558" i="5"/>
  <c r="K558" i="5"/>
  <c r="L558" i="5"/>
  <c r="M558" i="5"/>
  <c r="N558" i="5"/>
  <c r="O558" i="5"/>
  <c r="P558" i="5"/>
  <c r="Q558" i="5"/>
  <c r="R558" i="5"/>
  <c r="C559" i="5"/>
  <c r="D559" i="5"/>
  <c r="E559" i="5"/>
  <c r="F559" i="5"/>
  <c r="G559" i="5"/>
  <c r="H559" i="5"/>
  <c r="I559" i="5"/>
  <c r="J559" i="5"/>
  <c r="K559" i="5"/>
  <c r="L559" i="5"/>
  <c r="M559" i="5"/>
  <c r="N559" i="5"/>
  <c r="O559" i="5"/>
  <c r="P559" i="5"/>
  <c r="Q559" i="5"/>
  <c r="R559" i="5"/>
  <c r="C560" i="5"/>
  <c r="D560" i="5"/>
  <c r="E560" i="5"/>
  <c r="F560" i="5"/>
  <c r="G560" i="5"/>
  <c r="H560" i="5"/>
  <c r="I560" i="5"/>
  <c r="J560" i="5"/>
  <c r="K560" i="5"/>
  <c r="L560" i="5"/>
  <c r="M560" i="5"/>
  <c r="N560" i="5"/>
  <c r="O560" i="5"/>
  <c r="P560" i="5"/>
  <c r="Q560" i="5"/>
  <c r="R560" i="5"/>
  <c r="C561" i="5"/>
  <c r="D561" i="5"/>
  <c r="E561" i="5"/>
  <c r="F561" i="5"/>
  <c r="G561" i="5"/>
  <c r="H561" i="5"/>
  <c r="I561" i="5"/>
  <c r="J561" i="5"/>
  <c r="K561" i="5"/>
  <c r="L561" i="5"/>
  <c r="M561" i="5"/>
  <c r="N561" i="5"/>
  <c r="O561" i="5"/>
  <c r="P561" i="5"/>
  <c r="Q561" i="5"/>
  <c r="R561" i="5"/>
  <c r="C562" i="5"/>
  <c r="D562" i="5"/>
  <c r="E562" i="5"/>
  <c r="F562" i="5"/>
  <c r="G562" i="5"/>
  <c r="H562" i="5"/>
  <c r="I562" i="5"/>
  <c r="J562" i="5"/>
  <c r="K562" i="5"/>
  <c r="L562" i="5"/>
  <c r="M562" i="5"/>
  <c r="N562" i="5"/>
  <c r="O562" i="5"/>
  <c r="P562" i="5"/>
  <c r="Q562" i="5"/>
  <c r="R562" i="5"/>
  <c r="C563" i="5"/>
  <c r="D563" i="5"/>
  <c r="E563" i="5"/>
  <c r="F563" i="5"/>
  <c r="G563" i="5"/>
  <c r="H563" i="5"/>
  <c r="I563" i="5"/>
  <c r="J563" i="5"/>
  <c r="K563" i="5"/>
  <c r="L563" i="5"/>
  <c r="M563" i="5"/>
  <c r="N563" i="5"/>
  <c r="O563" i="5"/>
  <c r="P563" i="5"/>
  <c r="Q563" i="5"/>
  <c r="R563" i="5"/>
  <c r="C564" i="5"/>
  <c r="D564" i="5"/>
  <c r="E564" i="5"/>
  <c r="F564" i="5"/>
  <c r="G564" i="5"/>
  <c r="H564" i="5"/>
  <c r="I564" i="5"/>
  <c r="J564" i="5"/>
  <c r="K564" i="5"/>
  <c r="L564" i="5"/>
  <c r="M564" i="5"/>
  <c r="N564" i="5"/>
  <c r="O564" i="5"/>
  <c r="P564" i="5"/>
  <c r="Q564" i="5"/>
  <c r="R564" i="5"/>
  <c r="C565" i="5"/>
  <c r="D565" i="5"/>
  <c r="E565" i="5"/>
  <c r="F565" i="5"/>
  <c r="G565" i="5"/>
  <c r="H565" i="5"/>
  <c r="I565" i="5"/>
  <c r="J565" i="5"/>
  <c r="K565" i="5"/>
  <c r="L565" i="5"/>
  <c r="M565" i="5"/>
  <c r="N565" i="5"/>
  <c r="O565" i="5"/>
  <c r="P565" i="5"/>
  <c r="Q565" i="5"/>
  <c r="R565" i="5"/>
  <c r="C566" i="5"/>
  <c r="D566" i="5"/>
  <c r="E566" i="5"/>
  <c r="F566" i="5"/>
  <c r="G566" i="5"/>
  <c r="H566" i="5"/>
  <c r="I566" i="5"/>
  <c r="J566" i="5"/>
  <c r="K566" i="5"/>
  <c r="L566" i="5"/>
  <c r="M566" i="5"/>
  <c r="N566" i="5"/>
  <c r="O566" i="5"/>
  <c r="P566" i="5"/>
  <c r="Q566" i="5"/>
  <c r="R566" i="5"/>
  <c r="C567" i="5"/>
  <c r="D567" i="5"/>
  <c r="E567" i="5"/>
  <c r="F567" i="5"/>
  <c r="G567" i="5"/>
  <c r="H567" i="5"/>
  <c r="I567" i="5"/>
  <c r="J567" i="5"/>
  <c r="K567" i="5"/>
  <c r="L567" i="5"/>
  <c r="M567" i="5"/>
  <c r="N567" i="5"/>
  <c r="O567" i="5"/>
  <c r="P567" i="5"/>
  <c r="Q567" i="5"/>
  <c r="R567" i="5"/>
  <c r="C568" i="5"/>
  <c r="D568" i="5"/>
  <c r="E568" i="5"/>
  <c r="F568" i="5"/>
  <c r="G568" i="5"/>
  <c r="H568" i="5"/>
  <c r="I568" i="5"/>
  <c r="J568" i="5"/>
  <c r="K568" i="5"/>
  <c r="L568" i="5"/>
  <c r="M568" i="5"/>
  <c r="N568" i="5"/>
  <c r="O568" i="5"/>
  <c r="P568" i="5"/>
  <c r="Q568" i="5"/>
  <c r="R568" i="5"/>
  <c r="C569" i="5"/>
  <c r="D569" i="5"/>
  <c r="E569" i="5"/>
  <c r="F569" i="5"/>
  <c r="G569" i="5"/>
  <c r="H569" i="5"/>
  <c r="I569" i="5"/>
  <c r="J569" i="5"/>
  <c r="K569" i="5"/>
  <c r="L569" i="5"/>
  <c r="M569" i="5"/>
  <c r="N569" i="5"/>
  <c r="O569" i="5"/>
  <c r="P569" i="5"/>
  <c r="Q569" i="5"/>
  <c r="R569" i="5"/>
  <c r="C570" i="5"/>
  <c r="D570" i="5"/>
  <c r="E570" i="5"/>
  <c r="F570" i="5"/>
  <c r="G570" i="5"/>
  <c r="H570" i="5"/>
  <c r="I570" i="5"/>
  <c r="J570" i="5"/>
  <c r="K570" i="5"/>
  <c r="L570" i="5"/>
  <c r="M570" i="5"/>
  <c r="N570" i="5"/>
  <c r="O570" i="5"/>
  <c r="P570" i="5"/>
  <c r="Q570" i="5"/>
  <c r="R570" i="5"/>
  <c r="C571" i="5"/>
  <c r="D571" i="5"/>
  <c r="E571" i="5"/>
  <c r="F571" i="5"/>
  <c r="G571" i="5"/>
  <c r="H571" i="5"/>
  <c r="I571" i="5"/>
  <c r="J571" i="5"/>
  <c r="K571" i="5"/>
  <c r="L571" i="5"/>
  <c r="M571" i="5"/>
  <c r="N571" i="5"/>
  <c r="O571" i="5"/>
  <c r="P571" i="5"/>
  <c r="Q571" i="5"/>
  <c r="R571" i="5"/>
  <c r="C572" i="5"/>
  <c r="D572" i="5"/>
  <c r="E572" i="5"/>
  <c r="F572" i="5"/>
  <c r="G572" i="5"/>
  <c r="H572" i="5"/>
  <c r="I572" i="5"/>
  <c r="J572" i="5"/>
  <c r="K572" i="5"/>
  <c r="L572" i="5"/>
  <c r="M572" i="5"/>
  <c r="N572" i="5"/>
  <c r="O572" i="5"/>
  <c r="P572" i="5"/>
  <c r="Q572" i="5"/>
  <c r="R572" i="5"/>
  <c r="C573" i="5"/>
  <c r="D573" i="5"/>
  <c r="E573" i="5"/>
  <c r="F573" i="5"/>
  <c r="G573" i="5"/>
  <c r="H573" i="5"/>
  <c r="I573" i="5"/>
  <c r="J573" i="5"/>
  <c r="K573" i="5"/>
  <c r="L573" i="5"/>
  <c r="M573" i="5"/>
  <c r="N573" i="5"/>
  <c r="O573" i="5"/>
  <c r="P573" i="5"/>
  <c r="Q573" i="5"/>
  <c r="R573" i="5"/>
  <c r="C574" i="5"/>
  <c r="D574" i="5"/>
  <c r="E574" i="5"/>
  <c r="F574" i="5"/>
  <c r="G574" i="5"/>
  <c r="H574" i="5"/>
  <c r="I574" i="5"/>
  <c r="J574" i="5"/>
  <c r="K574" i="5"/>
  <c r="L574" i="5"/>
  <c r="M574" i="5"/>
  <c r="N574" i="5"/>
  <c r="O574" i="5"/>
  <c r="P574" i="5"/>
  <c r="Q574" i="5"/>
  <c r="R574" i="5"/>
  <c r="C575" i="5"/>
  <c r="D575" i="5"/>
  <c r="E575" i="5"/>
  <c r="F575" i="5"/>
  <c r="G575" i="5"/>
  <c r="H575" i="5"/>
  <c r="I575" i="5"/>
  <c r="J575" i="5"/>
  <c r="K575" i="5"/>
  <c r="L575" i="5"/>
  <c r="M575" i="5"/>
  <c r="N575" i="5"/>
  <c r="O575" i="5"/>
  <c r="P575" i="5"/>
  <c r="Q575" i="5"/>
  <c r="R575" i="5"/>
  <c r="C576" i="5"/>
  <c r="D576" i="5"/>
  <c r="E576" i="5"/>
  <c r="F576" i="5"/>
  <c r="G576" i="5"/>
  <c r="H576" i="5"/>
  <c r="I576" i="5"/>
  <c r="J576" i="5"/>
  <c r="K576" i="5"/>
  <c r="L576" i="5"/>
  <c r="M576" i="5"/>
  <c r="N576" i="5"/>
  <c r="O576" i="5"/>
  <c r="P576" i="5"/>
  <c r="Q576" i="5"/>
  <c r="R576" i="5"/>
  <c r="C577" i="5"/>
  <c r="D577" i="5"/>
  <c r="E577" i="5"/>
  <c r="F577" i="5"/>
  <c r="G577" i="5"/>
  <c r="H577" i="5"/>
  <c r="I577" i="5"/>
  <c r="J577" i="5"/>
  <c r="K577" i="5"/>
  <c r="L577" i="5"/>
  <c r="M577" i="5"/>
  <c r="N577" i="5"/>
  <c r="O577" i="5"/>
  <c r="P577" i="5"/>
  <c r="Q577" i="5"/>
  <c r="R577" i="5"/>
  <c r="C578" i="5"/>
  <c r="D578" i="5"/>
  <c r="E578" i="5"/>
  <c r="F578" i="5"/>
  <c r="G578" i="5"/>
  <c r="H578" i="5"/>
  <c r="I578" i="5"/>
  <c r="J578" i="5"/>
  <c r="K578" i="5"/>
  <c r="L578" i="5"/>
  <c r="M578" i="5"/>
  <c r="N578" i="5"/>
  <c r="O578" i="5"/>
  <c r="P578" i="5"/>
  <c r="Q578" i="5"/>
  <c r="R578" i="5"/>
  <c r="C579" i="5"/>
  <c r="D579" i="5"/>
  <c r="E579" i="5"/>
  <c r="F579" i="5"/>
  <c r="G579" i="5"/>
  <c r="H579" i="5"/>
  <c r="I579" i="5"/>
  <c r="J579" i="5"/>
  <c r="K579" i="5"/>
  <c r="L579" i="5"/>
  <c r="M579" i="5"/>
  <c r="N579" i="5"/>
  <c r="O579" i="5"/>
  <c r="P579" i="5"/>
  <c r="Q579" i="5"/>
  <c r="R579" i="5"/>
  <c r="C580" i="5"/>
  <c r="D580" i="5"/>
  <c r="E580" i="5"/>
  <c r="F580" i="5"/>
  <c r="G580" i="5"/>
  <c r="H580" i="5"/>
  <c r="I580" i="5"/>
  <c r="J580" i="5"/>
  <c r="K580" i="5"/>
  <c r="L580" i="5"/>
  <c r="M580" i="5"/>
  <c r="N580" i="5"/>
  <c r="O580" i="5"/>
  <c r="P580" i="5"/>
  <c r="Q580" i="5"/>
  <c r="R580" i="5"/>
  <c r="C581" i="5"/>
  <c r="D581" i="5"/>
  <c r="E581" i="5"/>
  <c r="F581" i="5"/>
  <c r="G581" i="5"/>
  <c r="H581" i="5"/>
  <c r="I581" i="5"/>
  <c r="J581" i="5"/>
  <c r="K581" i="5"/>
  <c r="L581" i="5"/>
  <c r="M581" i="5"/>
  <c r="N581" i="5"/>
  <c r="O581" i="5"/>
  <c r="P581" i="5"/>
  <c r="Q581" i="5"/>
  <c r="R581" i="5"/>
  <c r="C582" i="5"/>
  <c r="D582" i="5"/>
  <c r="E582" i="5"/>
  <c r="F582" i="5"/>
  <c r="G582" i="5"/>
  <c r="H582" i="5"/>
  <c r="I582" i="5"/>
  <c r="J582" i="5"/>
  <c r="K582" i="5"/>
  <c r="L582" i="5"/>
  <c r="M582" i="5"/>
  <c r="N582" i="5"/>
  <c r="O582" i="5"/>
  <c r="P582" i="5"/>
  <c r="Q582" i="5"/>
  <c r="R582" i="5"/>
  <c r="C583" i="5"/>
  <c r="D583" i="5"/>
  <c r="E583" i="5"/>
  <c r="F583" i="5"/>
  <c r="G583" i="5"/>
  <c r="H583" i="5"/>
  <c r="I583" i="5"/>
  <c r="J583" i="5"/>
  <c r="K583" i="5"/>
  <c r="L583" i="5"/>
  <c r="M583" i="5"/>
  <c r="N583" i="5"/>
  <c r="O583" i="5"/>
  <c r="P583" i="5"/>
  <c r="Q583" i="5"/>
  <c r="R583" i="5"/>
  <c r="C584" i="5"/>
  <c r="D584" i="5"/>
  <c r="E584" i="5"/>
  <c r="F584" i="5"/>
  <c r="G584" i="5"/>
  <c r="H584" i="5"/>
  <c r="I584" i="5"/>
  <c r="J584" i="5"/>
  <c r="K584" i="5"/>
  <c r="L584" i="5"/>
  <c r="M584" i="5"/>
  <c r="N584" i="5"/>
  <c r="O584" i="5"/>
  <c r="P584" i="5"/>
  <c r="Q584" i="5"/>
  <c r="R584" i="5"/>
  <c r="C585" i="5"/>
  <c r="D585" i="5"/>
  <c r="E585" i="5"/>
  <c r="F585" i="5"/>
  <c r="G585" i="5"/>
  <c r="H585" i="5"/>
  <c r="I585" i="5"/>
  <c r="J585" i="5"/>
  <c r="K585" i="5"/>
  <c r="L585" i="5"/>
  <c r="M585" i="5"/>
  <c r="N585" i="5"/>
  <c r="O585" i="5"/>
  <c r="P585" i="5"/>
  <c r="Q585" i="5"/>
  <c r="R585" i="5"/>
  <c r="C586" i="5"/>
  <c r="D586" i="5"/>
  <c r="E586" i="5"/>
  <c r="F586" i="5"/>
  <c r="G586" i="5"/>
  <c r="H586" i="5"/>
  <c r="I586" i="5"/>
  <c r="J586" i="5"/>
  <c r="K586" i="5"/>
  <c r="L586" i="5"/>
  <c r="M586" i="5"/>
  <c r="N586" i="5"/>
  <c r="O586" i="5"/>
  <c r="P586" i="5"/>
  <c r="Q586" i="5"/>
  <c r="R586" i="5"/>
  <c r="C587" i="5"/>
  <c r="D587" i="5"/>
  <c r="E587" i="5"/>
  <c r="F587" i="5"/>
  <c r="G587" i="5"/>
  <c r="H587" i="5"/>
  <c r="I587" i="5"/>
  <c r="J587" i="5"/>
  <c r="K587" i="5"/>
  <c r="L587" i="5"/>
  <c r="M587" i="5"/>
  <c r="N587" i="5"/>
  <c r="O587" i="5"/>
  <c r="P587" i="5"/>
  <c r="Q587" i="5"/>
  <c r="R587" i="5"/>
  <c r="C588" i="5"/>
  <c r="D588" i="5"/>
  <c r="E588" i="5"/>
  <c r="F588" i="5"/>
  <c r="G588" i="5"/>
  <c r="H588" i="5"/>
  <c r="I588" i="5"/>
  <c r="J588" i="5"/>
  <c r="K588" i="5"/>
  <c r="L588" i="5"/>
  <c r="M588" i="5"/>
  <c r="N588" i="5"/>
  <c r="O588" i="5"/>
  <c r="P588" i="5"/>
  <c r="Q588" i="5"/>
  <c r="R588" i="5"/>
  <c r="C589" i="5"/>
  <c r="D589" i="5"/>
  <c r="E589" i="5"/>
  <c r="F589" i="5"/>
  <c r="G589" i="5"/>
  <c r="H589" i="5"/>
  <c r="I589" i="5"/>
  <c r="J589" i="5"/>
  <c r="K589" i="5"/>
  <c r="L589" i="5"/>
  <c r="M589" i="5"/>
  <c r="N589" i="5"/>
  <c r="O589" i="5"/>
  <c r="P589" i="5"/>
  <c r="Q589" i="5"/>
  <c r="R589" i="5"/>
  <c r="C590" i="5"/>
  <c r="D590" i="5"/>
  <c r="E590" i="5"/>
  <c r="F590" i="5"/>
  <c r="G590" i="5"/>
  <c r="H590" i="5"/>
  <c r="I590" i="5"/>
  <c r="J590" i="5"/>
  <c r="K590" i="5"/>
  <c r="L590" i="5"/>
  <c r="M590" i="5"/>
  <c r="N590" i="5"/>
  <c r="O590" i="5"/>
  <c r="P590" i="5"/>
  <c r="Q590" i="5"/>
  <c r="R590" i="5"/>
  <c r="C591" i="5"/>
  <c r="D591" i="5"/>
  <c r="E591" i="5"/>
  <c r="F591" i="5"/>
  <c r="G591" i="5"/>
  <c r="H591" i="5"/>
  <c r="I591" i="5"/>
  <c r="J591" i="5"/>
  <c r="K591" i="5"/>
  <c r="L591" i="5"/>
  <c r="M591" i="5"/>
  <c r="N591" i="5"/>
  <c r="O591" i="5"/>
  <c r="P591" i="5"/>
  <c r="Q591" i="5"/>
  <c r="R591" i="5"/>
  <c r="C592" i="5"/>
  <c r="D592" i="5"/>
  <c r="E592" i="5"/>
  <c r="F592" i="5"/>
  <c r="G592" i="5"/>
  <c r="H592" i="5"/>
  <c r="I592" i="5"/>
  <c r="J592" i="5"/>
  <c r="K592" i="5"/>
  <c r="L592" i="5"/>
  <c r="M592" i="5"/>
  <c r="N592" i="5"/>
  <c r="O592" i="5"/>
  <c r="P592" i="5"/>
  <c r="Q592" i="5"/>
  <c r="R592" i="5"/>
  <c r="C593" i="5"/>
  <c r="D593" i="5"/>
  <c r="E593" i="5"/>
  <c r="F593" i="5"/>
  <c r="G593" i="5"/>
  <c r="H593" i="5"/>
  <c r="I593" i="5"/>
  <c r="J593" i="5"/>
  <c r="K593" i="5"/>
  <c r="L593" i="5"/>
  <c r="M593" i="5"/>
  <c r="N593" i="5"/>
  <c r="O593" i="5"/>
  <c r="P593" i="5"/>
  <c r="Q593" i="5"/>
  <c r="R593" i="5"/>
  <c r="C594" i="5"/>
  <c r="D594" i="5"/>
  <c r="E594" i="5"/>
  <c r="F594" i="5"/>
  <c r="G594" i="5"/>
  <c r="H594" i="5"/>
  <c r="I594" i="5"/>
  <c r="J594" i="5"/>
  <c r="K594" i="5"/>
  <c r="L594" i="5"/>
  <c r="M594" i="5"/>
  <c r="N594" i="5"/>
  <c r="O594" i="5"/>
  <c r="P594" i="5"/>
  <c r="Q594" i="5"/>
  <c r="R594" i="5"/>
  <c r="C595" i="5"/>
  <c r="D595" i="5"/>
  <c r="E595" i="5"/>
  <c r="F595" i="5"/>
  <c r="G595" i="5"/>
  <c r="H595" i="5"/>
  <c r="I595" i="5"/>
  <c r="J595" i="5"/>
  <c r="K595" i="5"/>
  <c r="L595" i="5"/>
  <c r="M595" i="5"/>
  <c r="N595" i="5"/>
  <c r="O595" i="5"/>
  <c r="P595" i="5"/>
  <c r="Q595" i="5"/>
  <c r="R595" i="5"/>
  <c r="C596" i="5"/>
  <c r="D596" i="5"/>
  <c r="E596" i="5"/>
  <c r="F596" i="5"/>
  <c r="G596" i="5"/>
  <c r="H596" i="5"/>
  <c r="I596" i="5"/>
  <c r="J596" i="5"/>
  <c r="K596" i="5"/>
  <c r="L596" i="5"/>
  <c r="M596" i="5"/>
  <c r="N596" i="5"/>
  <c r="O596" i="5"/>
  <c r="P596" i="5"/>
  <c r="Q596" i="5"/>
  <c r="R596" i="5"/>
  <c r="C597" i="5"/>
  <c r="D597" i="5"/>
  <c r="E597" i="5"/>
  <c r="F597" i="5"/>
  <c r="G597" i="5"/>
  <c r="H597" i="5"/>
  <c r="I597" i="5"/>
  <c r="J597" i="5"/>
  <c r="K597" i="5"/>
  <c r="L597" i="5"/>
  <c r="M597" i="5"/>
  <c r="N597" i="5"/>
  <c r="O597" i="5"/>
  <c r="P597" i="5"/>
  <c r="Q597" i="5"/>
  <c r="R597" i="5"/>
  <c r="C598" i="5"/>
  <c r="D598" i="5"/>
  <c r="E598" i="5"/>
  <c r="F598" i="5"/>
  <c r="G598" i="5"/>
  <c r="H598" i="5"/>
  <c r="I598" i="5"/>
  <c r="J598" i="5"/>
  <c r="K598" i="5"/>
  <c r="L598" i="5"/>
  <c r="M598" i="5"/>
  <c r="N598" i="5"/>
  <c r="O598" i="5"/>
  <c r="P598" i="5"/>
  <c r="Q598" i="5"/>
  <c r="R598" i="5"/>
  <c r="C599" i="5"/>
  <c r="D599" i="5"/>
  <c r="E599" i="5"/>
  <c r="F599" i="5"/>
  <c r="G599" i="5"/>
  <c r="H599" i="5"/>
  <c r="I599" i="5"/>
  <c r="J599" i="5"/>
  <c r="K599" i="5"/>
  <c r="L599" i="5"/>
  <c r="M599" i="5"/>
  <c r="N599" i="5"/>
  <c r="O599" i="5"/>
  <c r="P599" i="5"/>
  <c r="Q599" i="5"/>
  <c r="R599" i="5"/>
  <c r="C600" i="5"/>
  <c r="D600" i="5"/>
  <c r="E600" i="5"/>
  <c r="F600" i="5"/>
  <c r="G600" i="5"/>
  <c r="H600" i="5"/>
  <c r="I600" i="5"/>
  <c r="J600" i="5"/>
  <c r="K600" i="5"/>
  <c r="L600" i="5"/>
  <c r="M600" i="5"/>
  <c r="N600" i="5"/>
  <c r="O600" i="5"/>
  <c r="P600" i="5"/>
  <c r="Q600" i="5"/>
  <c r="R600" i="5"/>
  <c r="C601" i="5"/>
  <c r="D601" i="5"/>
  <c r="E601" i="5"/>
  <c r="F601" i="5"/>
  <c r="G601" i="5"/>
  <c r="H601" i="5"/>
  <c r="I601" i="5"/>
  <c r="J601" i="5"/>
  <c r="K601" i="5"/>
  <c r="L601" i="5"/>
  <c r="M601" i="5"/>
  <c r="N601" i="5"/>
  <c r="O601" i="5"/>
  <c r="P601" i="5"/>
  <c r="Q601" i="5"/>
  <c r="R601" i="5"/>
  <c r="C602" i="5"/>
  <c r="D602" i="5"/>
  <c r="E602" i="5"/>
  <c r="F602" i="5"/>
  <c r="G602" i="5"/>
  <c r="H602" i="5"/>
  <c r="I602" i="5"/>
  <c r="J602" i="5"/>
  <c r="K602" i="5"/>
  <c r="L602" i="5"/>
  <c r="M602" i="5"/>
  <c r="N602" i="5"/>
  <c r="O602" i="5"/>
  <c r="P602" i="5"/>
  <c r="Q602" i="5"/>
  <c r="R602" i="5"/>
  <c r="C603" i="5"/>
  <c r="D603" i="5"/>
  <c r="E603" i="5"/>
  <c r="F603" i="5"/>
  <c r="G603" i="5"/>
  <c r="H603" i="5"/>
  <c r="I603" i="5"/>
  <c r="J603" i="5"/>
  <c r="K603" i="5"/>
  <c r="L603" i="5"/>
  <c r="M603" i="5"/>
  <c r="N603" i="5"/>
  <c r="O603" i="5"/>
  <c r="P603" i="5"/>
  <c r="Q603" i="5"/>
  <c r="R603" i="5"/>
  <c r="C604" i="5"/>
  <c r="D604" i="5"/>
  <c r="E604" i="5"/>
  <c r="F604" i="5"/>
  <c r="G604" i="5"/>
  <c r="H604" i="5"/>
  <c r="I604" i="5"/>
  <c r="J604" i="5"/>
  <c r="K604" i="5"/>
  <c r="L604" i="5"/>
  <c r="M604" i="5"/>
  <c r="N604" i="5"/>
  <c r="O604" i="5"/>
  <c r="P604" i="5"/>
  <c r="Q604" i="5"/>
  <c r="R604" i="5"/>
  <c r="C605" i="5"/>
  <c r="D605" i="5"/>
  <c r="E605" i="5"/>
  <c r="F605" i="5"/>
  <c r="G605" i="5"/>
  <c r="H605" i="5"/>
  <c r="I605" i="5"/>
  <c r="J605" i="5"/>
  <c r="K605" i="5"/>
  <c r="L605" i="5"/>
  <c r="M605" i="5"/>
  <c r="N605" i="5"/>
  <c r="O605" i="5"/>
  <c r="P605" i="5"/>
  <c r="Q605" i="5"/>
  <c r="R605" i="5"/>
  <c r="C606" i="5"/>
  <c r="D606" i="5"/>
  <c r="E606" i="5"/>
  <c r="F606" i="5"/>
  <c r="G606" i="5"/>
  <c r="H606" i="5"/>
  <c r="I606" i="5"/>
  <c r="J606" i="5"/>
  <c r="K606" i="5"/>
  <c r="L606" i="5"/>
  <c r="M606" i="5"/>
  <c r="N606" i="5"/>
  <c r="O606" i="5"/>
  <c r="P606" i="5"/>
  <c r="Q606" i="5"/>
  <c r="R606" i="5"/>
  <c r="C607" i="5"/>
  <c r="D607" i="5"/>
  <c r="E607" i="5"/>
  <c r="F607" i="5"/>
  <c r="G607" i="5"/>
  <c r="H607" i="5"/>
  <c r="I607" i="5"/>
  <c r="J607" i="5"/>
  <c r="K607" i="5"/>
  <c r="L607" i="5"/>
  <c r="M607" i="5"/>
  <c r="N607" i="5"/>
  <c r="O607" i="5"/>
  <c r="P607" i="5"/>
  <c r="Q607" i="5"/>
  <c r="R607" i="5"/>
  <c r="C608" i="5"/>
  <c r="D608" i="5"/>
  <c r="E608" i="5"/>
  <c r="F608" i="5"/>
  <c r="G608" i="5"/>
  <c r="H608" i="5"/>
  <c r="I608" i="5"/>
  <c r="J608" i="5"/>
  <c r="K608" i="5"/>
  <c r="L608" i="5"/>
  <c r="M608" i="5"/>
  <c r="N608" i="5"/>
  <c r="O608" i="5"/>
  <c r="P608" i="5"/>
  <c r="Q608" i="5"/>
  <c r="R608" i="5"/>
  <c r="C609" i="5"/>
  <c r="D609" i="5"/>
  <c r="E609" i="5"/>
  <c r="F609" i="5"/>
  <c r="G609" i="5"/>
  <c r="H609" i="5"/>
  <c r="I609" i="5"/>
  <c r="J609" i="5"/>
  <c r="K609" i="5"/>
  <c r="L609" i="5"/>
  <c r="M609" i="5"/>
  <c r="N609" i="5"/>
  <c r="O609" i="5"/>
  <c r="P609" i="5"/>
  <c r="Q609" i="5"/>
  <c r="R609" i="5"/>
  <c r="C610" i="5"/>
  <c r="D610" i="5"/>
  <c r="E610" i="5"/>
  <c r="F610" i="5"/>
  <c r="G610" i="5"/>
  <c r="H610" i="5"/>
  <c r="I610" i="5"/>
  <c r="J610" i="5"/>
  <c r="K610" i="5"/>
  <c r="L610" i="5"/>
  <c r="M610" i="5"/>
  <c r="N610" i="5"/>
  <c r="O610" i="5"/>
  <c r="P610" i="5"/>
  <c r="Q610" i="5"/>
  <c r="R610" i="5"/>
  <c r="C611" i="5"/>
  <c r="D611" i="5"/>
  <c r="E611" i="5"/>
  <c r="F611" i="5"/>
  <c r="G611" i="5"/>
  <c r="H611" i="5"/>
  <c r="I611" i="5"/>
  <c r="J611" i="5"/>
  <c r="K611" i="5"/>
  <c r="L611" i="5"/>
  <c r="M611" i="5"/>
  <c r="N611" i="5"/>
  <c r="O611" i="5"/>
  <c r="P611" i="5"/>
  <c r="Q611" i="5"/>
  <c r="R611" i="5"/>
  <c r="C612" i="5"/>
  <c r="D612" i="5"/>
  <c r="E612" i="5"/>
  <c r="F612" i="5"/>
  <c r="G612" i="5"/>
  <c r="H612" i="5"/>
  <c r="I612" i="5"/>
  <c r="J612" i="5"/>
  <c r="K612" i="5"/>
  <c r="L612" i="5"/>
  <c r="M612" i="5"/>
  <c r="N612" i="5"/>
  <c r="O612" i="5"/>
  <c r="P612" i="5"/>
  <c r="Q612" i="5"/>
  <c r="R612" i="5"/>
  <c r="C613" i="5"/>
  <c r="D613" i="5"/>
  <c r="E613" i="5"/>
  <c r="F613" i="5"/>
  <c r="G613" i="5"/>
  <c r="H613" i="5"/>
  <c r="I613" i="5"/>
  <c r="J613" i="5"/>
  <c r="K613" i="5"/>
  <c r="L613" i="5"/>
  <c r="M613" i="5"/>
  <c r="N613" i="5"/>
  <c r="O613" i="5"/>
  <c r="P613" i="5"/>
  <c r="Q613" i="5"/>
  <c r="R613" i="5"/>
  <c r="C614" i="5"/>
  <c r="D614" i="5"/>
  <c r="E614" i="5"/>
  <c r="F614" i="5"/>
  <c r="G614" i="5"/>
  <c r="H614" i="5"/>
  <c r="I614" i="5"/>
  <c r="J614" i="5"/>
  <c r="K614" i="5"/>
  <c r="L614" i="5"/>
  <c r="M614" i="5"/>
  <c r="N614" i="5"/>
  <c r="O614" i="5"/>
  <c r="P614" i="5"/>
  <c r="Q614" i="5"/>
  <c r="R614" i="5"/>
  <c r="C615" i="5"/>
  <c r="D615" i="5"/>
  <c r="E615" i="5"/>
  <c r="F615" i="5"/>
  <c r="G615" i="5"/>
  <c r="H615" i="5"/>
  <c r="I615" i="5"/>
  <c r="J615" i="5"/>
  <c r="K615" i="5"/>
  <c r="L615" i="5"/>
  <c r="M615" i="5"/>
  <c r="N615" i="5"/>
  <c r="O615" i="5"/>
  <c r="P615" i="5"/>
  <c r="Q615" i="5"/>
  <c r="R615" i="5"/>
  <c r="C616" i="5"/>
  <c r="D616" i="5"/>
  <c r="E616" i="5"/>
  <c r="F616" i="5"/>
  <c r="G616" i="5"/>
  <c r="H616" i="5"/>
  <c r="I616" i="5"/>
  <c r="J616" i="5"/>
  <c r="K616" i="5"/>
  <c r="L616" i="5"/>
  <c r="M616" i="5"/>
  <c r="N616" i="5"/>
  <c r="O616" i="5"/>
  <c r="P616" i="5"/>
  <c r="Q616" i="5"/>
  <c r="R616" i="5"/>
  <c r="C617" i="5"/>
  <c r="D617" i="5"/>
  <c r="E617" i="5"/>
  <c r="F617" i="5"/>
  <c r="G617" i="5"/>
  <c r="H617" i="5"/>
  <c r="I617" i="5"/>
  <c r="J617" i="5"/>
  <c r="K617" i="5"/>
  <c r="L617" i="5"/>
  <c r="M617" i="5"/>
  <c r="N617" i="5"/>
  <c r="O617" i="5"/>
  <c r="P617" i="5"/>
  <c r="Q617" i="5"/>
  <c r="R617" i="5"/>
  <c r="C618" i="5"/>
  <c r="D618" i="5"/>
  <c r="E618" i="5"/>
  <c r="F618" i="5"/>
  <c r="G618" i="5"/>
  <c r="H618" i="5"/>
  <c r="I618" i="5"/>
  <c r="J618" i="5"/>
  <c r="K618" i="5"/>
  <c r="L618" i="5"/>
  <c r="M618" i="5"/>
  <c r="N618" i="5"/>
  <c r="O618" i="5"/>
  <c r="P618" i="5"/>
  <c r="Q618" i="5"/>
  <c r="R618" i="5"/>
  <c r="C619" i="5"/>
  <c r="D619" i="5"/>
  <c r="E619" i="5"/>
  <c r="F619" i="5"/>
  <c r="G619" i="5"/>
  <c r="H619" i="5"/>
  <c r="I619" i="5"/>
  <c r="J619" i="5"/>
  <c r="K619" i="5"/>
  <c r="L619" i="5"/>
  <c r="M619" i="5"/>
  <c r="N619" i="5"/>
  <c r="O619" i="5"/>
  <c r="P619" i="5"/>
  <c r="Q619" i="5"/>
  <c r="R619" i="5"/>
  <c r="C620" i="5"/>
  <c r="D620" i="5"/>
  <c r="E620" i="5"/>
  <c r="F620" i="5"/>
  <c r="G620" i="5"/>
  <c r="H620" i="5"/>
  <c r="I620" i="5"/>
  <c r="J620" i="5"/>
  <c r="K620" i="5"/>
  <c r="L620" i="5"/>
  <c r="M620" i="5"/>
  <c r="N620" i="5"/>
  <c r="O620" i="5"/>
  <c r="P620" i="5"/>
  <c r="Q620" i="5"/>
  <c r="R620" i="5"/>
  <c r="C621" i="5"/>
  <c r="D621" i="5"/>
  <c r="E621" i="5"/>
  <c r="F621" i="5"/>
  <c r="G621" i="5"/>
  <c r="H621" i="5"/>
  <c r="I621" i="5"/>
  <c r="J621" i="5"/>
  <c r="K621" i="5"/>
  <c r="L621" i="5"/>
  <c r="M621" i="5"/>
  <c r="N621" i="5"/>
  <c r="O621" i="5"/>
  <c r="P621" i="5"/>
  <c r="Q621" i="5"/>
  <c r="R621" i="5"/>
  <c r="C622" i="5"/>
  <c r="D622" i="5"/>
  <c r="E622" i="5"/>
  <c r="F622" i="5"/>
  <c r="G622" i="5"/>
  <c r="H622" i="5"/>
  <c r="I622" i="5"/>
  <c r="J622" i="5"/>
  <c r="K622" i="5"/>
  <c r="L622" i="5"/>
  <c r="M622" i="5"/>
  <c r="N622" i="5"/>
  <c r="O622" i="5"/>
  <c r="P622" i="5"/>
  <c r="Q622" i="5"/>
  <c r="R622" i="5"/>
  <c r="C623" i="5"/>
  <c r="D623" i="5"/>
  <c r="E623" i="5"/>
  <c r="F623" i="5"/>
  <c r="G623" i="5"/>
  <c r="H623" i="5"/>
  <c r="I623" i="5"/>
  <c r="J623" i="5"/>
  <c r="K623" i="5"/>
  <c r="L623" i="5"/>
  <c r="M623" i="5"/>
  <c r="N623" i="5"/>
  <c r="O623" i="5"/>
  <c r="P623" i="5"/>
  <c r="Q623" i="5"/>
  <c r="R623" i="5"/>
  <c r="C624" i="5"/>
  <c r="D624" i="5"/>
  <c r="E624" i="5"/>
  <c r="F624" i="5"/>
  <c r="G624" i="5"/>
  <c r="H624" i="5"/>
  <c r="I624" i="5"/>
  <c r="J624" i="5"/>
  <c r="K624" i="5"/>
  <c r="L624" i="5"/>
  <c r="M624" i="5"/>
  <c r="N624" i="5"/>
  <c r="O624" i="5"/>
  <c r="P624" i="5"/>
  <c r="Q624" i="5"/>
  <c r="R624" i="5"/>
  <c r="C625" i="5"/>
  <c r="D625" i="5"/>
  <c r="E625" i="5"/>
  <c r="F625" i="5"/>
  <c r="G625" i="5"/>
  <c r="H625" i="5"/>
  <c r="I625" i="5"/>
  <c r="J625" i="5"/>
  <c r="K625" i="5"/>
  <c r="L625" i="5"/>
  <c r="M625" i="5"/>
  <c r="N625" i="5"/>
  <c r="O625" i="5"/>
  <c r="P625" i="5"/>
  <c r="Q625" i="5"/>
  <c r="R625" i="5"/>
  <c r="C626" i="5"/>
  <c r="D626" i="5"/>
  <c r="E626" i="5"/>
  <c r="F626" i="5"/>
  <c r="G626" i="5"/>
  <c r="H626" i="5"/>
  <c r="I626" i="5"/>
  <c r="J626" i="5"/>
  <c r="K626" i="5"/>
  <c r="L626" i="5"/>
  <c r="M626" i="5"/>
  <c r="N626" i="5"/>
  <c r="O626" i="5"/>
  <c r="P626" i="5"/>
  <c r="Q626" i="5"/>
  <c r="R626" i="5"/>
  <c r="C627" i="5"/>
  <c r="D627" i="5"/>
  <c r="E627" i="5"/>
  <c r="F627" i="5"/>
  <c r="G627" i="5"/>
  <c r="H627" i="5"/>
  <c r="I627" i="5"/>
  <c r="J627" i="5"/>
  <c r="K627" i="5"/>
  <c r="L627" i="5"/>
  <c r="M627" i="5"/>
  <c r="N627" i="5"/>
  <c r="O627" i="5"/>
  <c r="P627" i="5"/>
  <c r="Q627" i="5"/>
  <c r="R627" i="5"/>
  <c r="C628" i="5"/>
  <c r="D628" i="5"/>
  <c r="E628" i="5"/>
  <c r="F628" i="5"/>
  <c r="G628" i="5"/>
  <c r="H628" i="5"/>
  <c r="I628" i="5"/>
  <c r="J628" i="5"/>
  <c r="K628" i="5"/>
  <c r="L628" i="5"/>
  <c r="M628" i="5"/>
  <c r="N628" i="5"/>
  <c r="O628" i="5"/>
  <c r="P628" i="5"/>
  <c r="Q628" i="5"/>
  <c r="R628" i="5"/>
  <c r="C629" i="5"/>
  <c r="D629" i="5"/>
  <c r="E629" i="5"/>
  <c r="F629" i="5"/>
  <c r="G629" i="5"/>
  <c r="H629" i="5"/>
  <c r="I629" i="5"/>
  <c r="J629" i="5"/>
  <c r="K629" i="5"/>
  <c r="L629" i="5"/>
  <c r="M629" i="5"/>
  <c r="N629" i="5"/>
  <c r="O629" i="5"/>
  <c r="P629" i="5"/>
  <c r="Q629" i="5"/>
  <c r="R629" i="5"/>
  <c r="C630" i="5"/>
  <c r="D630" i="5"/>
  <c r="E630" i="5"/>
  <c r="F630" i="5"/>
  <c r="G630" i="5"/>
  <c r="H630" i="5"/>
  <c r="I630" i="5"/>
  <c r="J630" i="5"/>
  <c r="K630" i="5"/>
  <c r="L630" i="5"/>
  <c r="M630" i="5"/>
  <c r="N630" i="5"/>
  <c r="O630" i="5"/>
  <c r="P630" i="5"/>
  <c r="Q630" i="5"/>
  <c r="R630" i="5"/>
  <c r="C631" i="5"/>
  <c r="D631" i="5"/>
  <c r="E631" i="5"/>
  <c r="F631" i="5"/>
  <c r="G631" i="5"/>
  <c r="H631" i="5"/>
  <c r="I631" i="5"/>
  <c r="J631" i="5"/>
  <c r="K631" i="5"/>
  <c r="L631" i="5"/>
  <c r="M631" i="5"/>
  <c r="N631" i="5"/>
  <c r="O631" i="5"/>
  <c r="P631" i="5"/>
  <c r="Q631" i="5"/>
  <c r="R631" i="5"/>
  <c r="C632" i="5"/>
  <c r="D632" i="5"/>
  <c r="E632" i="5"/>
  <c r="F632" i="5"/>
  <c r="G632" i="5"/>
  <c r="H632" i="5"/>
  <c r="I632" i="5"/>
  <c r="J632" i="5"/>
  <c r="K632" i="5"/>
  <c r="L632" i="5"/>
  <c r="M632" i="5"/>
  <c r="N632" i="5"/>
  <c r="O632" i="5"/>
  <c r="P632" i="5"/>
  <c r="Q632" i="5"/>
  <c r="R632" i="5"/>
  <c r="C633" i="5"/>
  <c r="D633" i="5"/>
  <c r="E633" i="5"/>
  <c r="F633" i="5"/>
  <c r="G633" i="5"/>
  <c r="H633" i="5"/>
  <c r="I633" i="5"/>
  <c r="J633" i="5"/>
  <c r="K633" i="5"/>
  <c r="L633" i="5"/>
  <c r="M633" i="5"/>
  <c r="N633" i="5"/>
  <c r="O633" i="5"/>
  <c r="P633" i="5"/>
  <c r="Q633" i="5"/>
  <c r="R633" i="5"/>
  <c r="C634" i="5"/>
  <c r="D634" i="5"/>
  <c r="E634" i="5"/>
  <c r="F634" i="5"/>
  <c r="G634" i="5"/>
  <c r="H634" i="5"/>
  <c r="I634" i="5"/>
  <c r="J634" i="5"/>
  <c r="K634" i="5"/>
  <c r="L634" i="5"/>
  <c r="M634" i="5"/>
  <c r="N634" i="5"/>
  <c r="O634" i="5"/>
  <c r="P634" i="5"/>
  <c r="Q634" i="5"/>
  <c r="R634" i="5"/>
  <c r="C635" i="5"/>
  <c r="D635" i="5"/>
  <c r="E635" i="5"/>
  <c r="F635" i="5"/>
  <c r="G635" i="5"/>
  <c r="H635" i="5"/>
  <c r="I635" i="5"/>
  <c r="J635" i="5"/>
  <c r="K635" i="5"/>
  <c r="L635" i="5"/>
  <c r="M635" i="5"/>
  <c r="N635" i="5"/>
  <c r="O635" i="5"/>
  <c r="P635" i="5"/>
  <c r="Q635" i="5"/>
  <c r="R635" i="5"/>
  <c r="C636" i="5"/>
  <c r="D636" i="5"/>
  <c r="E636" i="5"/>
  <c r="F636" i="5"/>
  <c r="G636" i="5"/>
  <c r="H636" i="5"/>
  <c r="I636" i="5"/>
  <c r="J636" i="5"/>
  <c r="K636" i="5"/>
  <c r="L636" i="5"/>
  <c r="M636" i="5"/>
  <c r="N636" i="5"/>
  <c r="O636" i="5"/>
  <c r="P636" i="5"/>
  <c r="Q636" i="5"/>
  <c r="R636" i="5"/>
  <c r="C637" i="5"/>
  <c r="D637" i="5"/>
  <c r="E637" i="5"/>
  <c r="F637" i="5"/>
  <c r="G637" i="5"/>
  <c r="H637" i="5"/>
  <c r="I637" i="5"/>
  <c r="J637" i="5"/>
  <c r="K637" i="5"/>
  <c r="L637" i="5"/>
  <c r="M637" i="5"/>
  <c r="N637" i="5"/>
  <c r="O637" i="5"/>
  <c r="P637" i="5"/>
  <c r="Q637" i="5"/>
  <c r="R637" i="5"/>
  <c r="C638" i="5"/>
  <c r="D638" i="5"/>
  <c r="E638" i="5"/>
  <c r="F638" i="5"/>
  <c r="G638" i="5"/>
  <c r="H638" i="5"/>
  <c r="I638" i="5"/>
  <c r="J638" i="5"/>
  <c r="K638" i="5"/>
  <c r="L638" i="5"/>
  <c r="M638" i="5"/>
  <c r="N638" i="5"/>
  <c r="O638" i="5"/>
  <c r="P638" i="5"/>
  <c r="Q638" i="5"/>
  <c r="R638" i="5"/>
  <c r="C639" i="5"/>
  <c r="D639" i="5"/>
  <c r="E639" i="5"/>
  <c r="F639" i="5"/>
  <c r="G639" i="5"/>
  <c r="H639" i="5"/>
  <c r="I639" i="5"/>
  <c r="J639" i="5"/>
  <c r="K639" i="5"/>
  <c r="L639" i="5"/>
  <c r="M639" i="5"/>
  <c r="N639" i="5"/>
  <c r="O639" i="5"/>
  <c r="P639" i="5"/>
  <c r="Q639" i="5"/>
  <c r="R639" i="5"/>
  <c r="C640" i="5"/>
  <c r="D640" i="5"/>
  <c r="E640" i="5"/>
  <c r="F640" i="5"/>
  <c r="G640" i="5"/>
  <c r="H640" i="5"/>
  <c r="I640" i="5"/>
  <c r="J640" i="5"/>
  <c r="K640" i="5"/>
  <c r="L640" i="5"/>
  <c r="M640" i="5"/>
  <c r="N640" i="5"/>
  <c r="O640" i="5"/>
  <c r="P640" i="5"/>
  <c r="Q640" i="5"/>
  <c r="R640" i="5"/>
  <c r="C641" i="5"/>
  <c r="D641" i="5"/>
  <c r="E641" i="5"/>
  <c r="F641" i="5"/>
  <c r="G641" i="5"/>
  <c r="H641" i="5"/>
  <c r="I641" i="5"/>
  <c r="J641" i="5"/>
  <c r="K641" i="5"/>
  <c r="L641" i="5"/>
  <c r="M641" i="5"/>
  <c r="N641" i="5"/>
  <c r="O641" i="5"/>
  <c r="P641" i="5"/>
  <c r="Q641" i="5"/>
  <c r="R641" i="5"/>
  <c r="C642" i="5"/>
  <c r="D642" i="5"/>
  <c r="E642" i="5"/>
  <c r="F642" i="5"/>
  <c r="G642" i="5"/>
  <c r="H642" i="5"/>
  <c r="I642" i="5"/>
  <c r="J642" i="5"/>
  <c r="K642" i="5"/>
  <c r="L642" i="5"/>
  <c r="M642" i="5"/>
  <c r="N642" i="5"/>
  <c r="O642" i="5"/>
  <c r="P642" i="5"/>
  <c r="Q642" i="5"/>
  <c r="R642" i="5"/>
  <c r="C643" i="5"/>
  <c r="D643" i="5"/>
  <c r="E643" i="5"/>
  <c r="F643" i="5"/>
  <c r="G643" i="5"/>
  <c r="H643" i="5"/>
  <c r="I643" i="5"/>
  <c r="J643" i="5"/>
  <c r="K643" i="5"/>
  <c r="L643" i="5"/>
  <c r="M643" i="5"/>
  <c r="N643" i="5"/>
  <c r="O643" i="5"/>
  <c r="P643" i="5"/>
  <c r="Q643" i="5"/>
  <c r="R643" i="5"/>
  <c r="C644" i="5"/>
  <c r="D644" i="5"/>
  <c r="E644" i="5"/>
  <c r="F644" i="5"/>
  <c r="G644" i="5"/>
  <c r="H644" i="5"/>
  <c r="I644" i="5"/>
  <c r="J644" i="5"/>
  <c r="K644" i="5"/>
  <c r="L644" i="5"/>
  <c r="M644" i="5"/>
  <c r="N644" i="5"/>
  <c r="O644" i="5"/>
  <c r="P644" i="5"/>
  <c r="Q644" i="5"/>
  <c r="R644" i="5"/>
  <c r="C645" i="5"/>
  <c r="D645" i="5"/>
  <c r="E645" i="5"/>
  <c r="F645" i="5"/>
  <c r="G645" i="5"/>
  <c r="H645" i="5"/>
  <c r="I645" i="5"/>
  <c r="J645" i="5"/>
  <c r="K645" i="5"/>
  <c r="L645" i="5"/>
  <c r="M645" i="5"/>
  <c r="N645" i="5"/>
  <c r="O645" i="5"/>
  <c r="P645" i="5"/>
  <c r="Q645" i="5"/>
  <c r="R645" i="5"/>
  <c r="C646" i="5"/>
  <c r="D646" i="5"/>
  <c r="E646" i="5"/>
  <c r="F646" i="5"/>
  <c r="G646" i="5"/>
  <c r="H646" i="5"/>
  <c r="I646" i="5"/>
  <c r="J646" i="5"/>
  <c r="K646" i="5"/>
  <c r="L646" i="5"/>
  <c r="M646" i="5"/>
  <c r="N646" i="5"/>
  <c r="O646" i="5"/>
  <c r="P646" i="5"/>
  <c r="Q646" i="5"/>
  <c r="R646" i="5"/>
  <c r="C647" i="5"/>
  <c r="D647" i="5"/>
  <c r="E647" i="5"/>
  <c r="F647" i="5"/>
  <c r="G647" i="5"/>
  <c r="H647" i="5"/>
  <c r="I647" i="5"/>
  <c r="J647" i="5"/>
  <c r="K647" i="5"/>
  <c r="L647" i="5"/>
  <c r="M647" i="5"/>
  <c r="N647" i="5"/>
  <c r="O647" i="5"/>
  <c r="P647" i="5"/>
  <c r="Q647" i="5"/>
  <c r="R647" i="5"/>
  <c r="C648" i="5"/>
  <c r="D648" i="5"/>
  <c r="E648" i="5"/>
  <c r="F648" i="5"/>
  <c r="G648" i="5"/>
  <c r="H648" i="5"/>
  <c r="I648" i="5"/>
  <c r="J648" i="5"/>
  <c r="K648" i="5"/>
  <c r="L648" i="5"/>
  <c r="M648" i="5"/>
  <c r="N648" i="5"/>
  <c r="O648" i="5"/>
  <c r="P648" i="5"/>
  <c r="Q648" i="5"/>
  <c r="R648" i="5"/>
  <c r="C649" i="5"/>
  <c r="D649" i="5"/>
  <c r="E649" i="5"/>
  <c r="F649" i="5"/>
  <c r="G649" i="5"/>
  <c r="H649" i="5"/>
  <c r="I649" i="5"/>
  <c r="J649" i="5"/>
  <c r="K649" i="5"/>
  <c r="L649" i="5"/>
  <c r="M649" i="5"/>
  <c r="N649" i="5"/>
  <c r="O649" i="5"/>
  <c r="P649" i="5"/>
  <c r="Q649" i="5"/>
  <c r="R649" i="5"/>
  <c r="C650" i="5"/>
  <c r="D650" i="5"/>
  <c r="E650" i="5"/>
  <c r="F650" i="5"/>
  <c r="G650" i="5"/>
  <c r="H650" i="5"/>
  <c r="I650" i="5"/>
  <c r="J650" i="5"/>
  <c r="K650" i="5"/>
  <c r="L650" i="5"/>
  <c r="M650" i="5"/>
  <c r="N650" i="5"/>
  <c r="O650" i="5"/>
  <c r="P650" i="5"/>
  <c r="Q650" i="5"/>
  <c r="R650" i="5"/>
  <c r="C651" i="5"/>
  <c r="D651" i="5"/>
  <c r="E651" i="5"/>
  <c r="F651" i="5"/>
  <c r="G651" i="5"/>
  <c r="H651" i="5"/>
  <c r="I651" i="5"/>
  <c r="J651" i="5"/>
  <c r="K651" i="5"/>
  <c r="L651" i="5"/>
  <c r="M651" i="5"/>
  <c r="N651" i="5"/>
  <c r="O651" i="5"/>
  <c r="P651" i="5"/>
  <c r="Q651" i="5"/>
  <c r="R651" i="5"/>
  <c r="C652" i="5"/>
  <c r="D652" i="5"/>
  <c r="E652" i="5"/>
  <c r="F652" i="5"/>
  <c r="G652" i="5"/>
  <c r="H652" i="5"/>
  <c r="I652" i="5"/>
  <c r="J652" i="5"/>
  <c r="K652" i="5"/>
  <c r="L652" i="5"/>
  <c r="M652" i="5"/>
  <c r="N652" i="5"/>
  <c r="O652" i="5"/>
  <c r="P652" i="5"/>
  <c r="Q652" i="5"/>
  <c r="R652" i="5"/>
  <c r="C653" i="5"/>
  <c r="D653" i="5"/>
  <c r="E653" i="5"/>
  <c r="F653" i="5"/>
  <c r="G653" i="5"/>
  <c r="H653" i="5"/>
  <c r="I653" i="5"/>
  <c r="J653" i="5"/>
  <c r="K653" i="5"/>
  <c r="L653" i="5"/>
  <c r="M653" i="5"/>
  <c r="N653" i="5"/>
  <c r="O653" i="5"/>
  <c r="P653" i="5"/>
  <c r="Q653" i="5"/>
  <c r="R653" i="5"/>
  <c r="C654" i="5"/>
  <c r="D654" i="5"/>
  <c r="E654" i="5"/>
  <c r="F654" i="5"/>
  <c r="G654" i="5"/>
  <c r="H654" i="5"/>
  <c r="I654" i="5"/>
  <c r="J654" i="5"/>
  <c r="K654" i="5"/>
  <c r="L654" i="5"/>
  <c r="M654" i="5"/>
  <c r="N654" i="5"/>
  <c r="O654" i="5"/>
  <c r="P654" i="5"/>
  <c r="Q654" i="5"/>
  <c r="R654" i="5"/>
  <c r="C655" i="5"/>
  <c r="D655" i="5"/>
  <c r="E655" i="5"/>
  <c r="F655" i="5"/>
  <c r="G655" i="5"/>
  <c r="H655" i="5"/>
  <c r="I655" i="5"/>
  <c r="J655" i="5"/>
  <c r="K655" i="5"/>
  <c r="L655" i="5"/>
  <c r="M655" i="5"/>
  <c r="N655" i="5"/>
  <c r="O655" i="5"/>
  <c r="P655" i="5"/>
  <c r="Q655" i="5"/>
  <c r="R655" i="5"/>
  <c r="C656" i="5"/>
  <c r="D656" i="5"/>
  <c r="E656" i="5"/>
  <c r="F656" i="5"/>
  <c r="G656" i="5"/>
  <c r="H656" i="5"/>
  <c r="I656" i="5"/>
  <c r="J656" i="5"/>
  <c r="K656" i="5"/>
  <c r="L656" i="5"/>
  <c r="M656" i="5"/>
  <c r="N656" i="5"/>
  <c r="O656" i="5"/>
  <c r="P656" i="5"/>
  <c r="Q656" i="5"/>
  <c r="R656" i="5"/>
  <c r="C657" i="5"/>
  <c r="D657" i="5"/>
  <c r="E657" i="5"/>
  <c r="F657" i="5"/>
  <c r="G657" i="5"/>
  <c r="H657" i="5"/>
  <c r="I657" i="5"/>
  <c r="J657" i="5"/>
  <c r="K657" i="5"/>
  <c r="L657" i="5"/>
  <c r="M657" i="5"/>
  <c r="N657" i="5"/>
  <c r="O657" i="5"/>
  <c r="P657" i="5"/>
  <c r="Q657" i="5"/>
  <c r="R657" i="5"/>
  <c r="C658" i="5"/>
  <c r="D658" i="5"/>
  <c r="E658" i="5"/>
  <c r="F658" i="5"/>
  <c r="G658" i="5"/>
  <c r="H658" i="5"/>
  <c r="I658" i="5"/>
  <c r="J658" i="5"/>
  <c r="K658" i="5"/>
  <c r="L658" i="5"/>
  <c r="M658" i="5"/>
  <c r="N658" i="5"/>
  <c r="O658" i="5"/>
  <c r="P658" i="5"/>
  <c r="Q658" i="5"/>
  <c r="R658" i="5"/>
  <c r="C659" i="5"/>
  <c r="D659" i="5"/>
  <c r="E659" i="5"/>
  <c r="F659" i="5"/>
  <c r="G659" i="5"/>
  <c r="H659" i="5"/>
  <c r="I659" i="5"/>
  <c r="J659" i="5"/>
  <c r="K659" i="5"/>
  <c r="L659" i="5"/>
  <c r="M659" i="5"/>
  <c r="N659" i="5"/>
  <c r="O659" i="5"/>
  <c r="P659" i="5"/>
  <c r="Q659" i="5"/>
  <c r="R659" i="5"/>
  <c r="C660" i="5"/>
  <c r="D660" i="5"/>
  <c r="E660" i="5"/>
  <c r="F660" i="5"/>
  <c r="G660" i="5"/>
  <c r="H660" i="5"/>
  <c r="I660" i="5"/>
  <c r="J660" i="5"/>
  <c r="K660" i="5"/>
  <c r="L660" i="5"/>
  <c r="M660" i="5"/>
  <c r="N660" i="5"/>
  <c r="O660" i="5"/>
  <c r="P660" i="5"/>
  <c r="Q660" i="5"/>
  <c r="R660" i="5"/>
  <c r="C661" i="5"/>
  <c r="D661" i="5"/>
  <c r="E661" i="5"/>
  <c r="F661" i="5"/>
  <c r="G661" i="5"/>
  <c r="H661" i="5"/>
  <c r="I661" i="5"/>
  <c r="J661" i="5"/>
  <c r="K661" i="5"/>
  <c r="L661" i="5"/>
  <c r="M661" i="5"/>
  <c r="N661" i="5"/>
  <c r="O661" i="5"/>
  <c r="P661" i="5"/>
  <c r="Q661" i="5"/>
  <c r="R661" i="5"/>
  <c r="C662" i="5"/>
  <c r="D662" i="5"/>
  <c r="E662" i="5"/>
  <c r="F662" i="5"/>
  <c r="G662" i="5"/>
  <c r="H662" i="5"/>
  <c r="I662" i="5"/>
  <c r="J662" i="5"/>
  <c r="K662" i="5"/>
  <c r="L662" i="5"/>
  <c r="M662" i="5"/>
  <c r="N662" i="5"/>
  <c r="O662" i="5"/>
  <c r="P662" i="5"/>
  <c r="Q662" i="5"/>
  <c r="R662" i="5"/>
  <c r="C663" i="5"/>
  <c r="D663" i="5"/>
  <c r="E663" i="5"/>
  <c r="F663" i="5"/>
  <c r="G663" i="5"/>
  <c r="H663" i="5"/>
  <c r="I663" i="5"/>
  <c r="J663" i="5"/>
  <c r="K663" i="5"/>
  <c r="L663" i="5"/>
  <c r="M663" i="5"/>
  <c r="N663" i="5"/>
  <c r="O663" i="5"/>
  <c r="P663" i="5"/>
  <c r="Q663" i="5"/>
  <c r="R663" i="5"/>
  <c r="C664" i="5"/>
  <c r="D664" i="5"/>
  <c r="E664" i="5"/>
  <c r="F664" i="5"/>
  <c r="G664" i="5"/>
  <c r="H664" i="5"/>
  <c r="I664" i="5"/>
  <c r="J664" i="5"/>
  <c r="K664" i="5"/>
  <c r="L664" i="5"/>
  <c r="M664" i="5"/>
  <c r="N664" i="5"/>
  <c r="O664" i="5"/>
  <c r="P664" i="5"/>
  <c r="Q664" i="5"/>
  <c r="R664" i="5"/>
  <c r="C665" i="5"/>
  <c r="D665" i="5"/>
  <c r="E665" i="5"/>
  <c r="F665" i="5"/>
  <c r="G665" i="5"/>
  <c r="H665" i="5"/>
  <c r="I665" i="5"/>
  <c r="J665" i="5"/>
  <c r="K665" i="5"/>
  <c r="L665" i="5"/>
  <c r="M665" i="5"/>
  <c r="N665" i="5"/>
  <c r="O665" i="5"/>
  <c r="P665" i="5"/>
  <c r="Q665" i="5"/>
  <c r="R665" i="5"/>
  <c r="C666" i="5"/>
  <c r="D666" i="5"/>
  <c r="E666" i="5"/>
  <c r="F666" i="5"/>
  <c r="G666" i="5"/>
  <c r="H666" i="5"/>
  <c r="I666" i="5"/>
  <c r="J666" i="5"/>
  <c r="K666" i="5"/>
  <c r="L666" i="5"/>
  <c r="M666" i="5"/>
  <c r="N666" i="5"/>
  <c r="O666" i="5"/>
  <c r="P666" i="5"/>
  <c r="Q666" i="5"/>
  <c r="R666" i="5"/>
  <c r="C667" i="5"/>
  <c r="D667" i="5"/>
  <c r="E667" i="5"/>
  <c r="F667" i="5"/>
  <c r="G667" i="5"/>
  <c r="H667" i="5"/>
  <c r="I667" i="5"/>
  <c r="J667" i="5"/>
  <c r="K667" i="5"/>
  <c r="L667" i="5"/>
  <c r="M667" i="5"/>
  <c r="N667" i="5"/>
  <c r="O667" i="5"/>
  <c r="P667" i="5"/>
  <c r="Q667" i="5"/>
  <c r="R667" i="5"/>
  <c r="C668" i="5"/>
  <c r="D668" i="5"/>
  <c r="E668" i="5"/>
  <c r="F668" i="5"/>
  <c r="G668" i="5"/>
  <c r="H668" i="5"/>
  <c r="I668" i="5"/>
  <c r="J668" i="5"/>
  <c r="K668" i="5"/>
  <c r="L668" i="5"/>
  <c r="M668" i="5"/>
  <c r="N668" i="5"/>
  <c r="O668" i="5"/>
  <c r="P668" i="5"/>
  <c r="Q668" i="5"/>
  <c r="R668" i="5"/>
  <c r="C669" i="5"/>
  <c r="D669" i="5"/>
  <c r="E669" i="5"/>
  <c r="F669" i="5"/>
  <c r="G669" i="5"/>
  <c r="H669" i="5"/>
  <c r="I669" i="5"/>
  <c r="J669" i="5"/>
  <c r="K669" i="5"/>
  <c r="L669" i="5"/>
  <c r="M669" i="5"/>
  <c r="N669" i="5"/>
  <c r="O669" i="5"/>
  <c r="P669" i="5"/>
  <c r="Q669" i="5"/>
  <c r="R669" i="5"/>
  <c r="C670" i="5"/>
  <c r="D670" i="5"/>
  <c r="E670" i="5"/>
  <c r="F670" i="5"/>
  <c r="G670" i="5"/>
  <c r="H670" i="5"/>
  <c r="I670" i="5"/>
  <c r="J670" i="5"/>
  <c r="K670" i="5"/>
  <c r="L670" i="5"/>
  <c r="M670" i="5"/>
  <c r="N670" i="5"/>
  <c r="O670" i="5"/>
  <c r="P670" i="5"/>
  <c r="Q670" i="5"/>
  <c r="R670" i="5"/>
  <c r="C671" i="5"/>
  <c r="D671" i="5"/>
  <c r="E671" i="5"/>
  <c r="F671" i="5"/>
  <c r="G671" i="5"/>
  <c r="H671" i="5"/>
  <c r="I671" i="5"/>
  <c r="J671" i="5"/>
  <c r="K671" i="5"/>
  <c r="L671" i="5"/>
  <c r="M671" i="5"/>
  <c r="N671" i="5"/>
  <c r="O671" i="5"/>
  <c r="P671" i="5"/>
  <c r="Q671" i="5"/>
  <c r="R671" i="5"/>
  <c r="C672" i="5"/>
  <c r="D672" i="5"/>
  <c r="E672" i="5"/>
  <c r="F672" i="5"/>
  <c r="G672" i="5"/>
  <c r="H672" i="5"/>
  <c r="I672" i="5"/>
  <c r="J672" i="5"/>
  <c r="K672" i="5"/>
  <c r="L672" i="5"/>
  <c r="M672" i="5"/>
  <c r="N672" i="5"/>
  <c r="O672" i="5"/>
  <c r="P672" i="5"/>
  <c r="Q672" i="5"/>
  <c r="R672" i="5"/>
  <c r="C673" i="5"/>
  <c r="D673" i="5"/>
  <c r="E673" i="5"/>
  <c r="F673" i="5"/>
  <c r="G673" i="5"/>
  <c r="H673" i="5"/>
  <c r="I673" i="5"/>
  <c r="J673" i="5"/>
  <c r="K673" i="5"/>
  <c r="L673" i="5"/>
  <c r="M673" i="5"/>
  <c r="N673" i="5"/>
  <c r="O673" i="5"/>
  <c r="P673" i="5"/>
  <c r="Q673" i="5"/>
  <c r="R673" i="5"/>
  <c r="C674" i="5"/>
  <c r="D674" i="5"/>
  <c r="E674" i="5"/>
  <c r="F674" i="5"/>
  <c r="G674" i="5"/>
  <c r="H674" i="5"/>
  <c r="I674" i="5"/>
  <c r="J674" i="5"/>
  <c r="K674" i="5"/>
  <c r="L674" i="5"/>
  <c r="M674" i="5"/>
  <c r="N674" i="5"/>
  <c r="O674" i="5"/>
  <c r="P674" i="5"/>
  <c r="Q674" i="5"/>
  <c r="R674" i="5"/>
  <c r="C675" i="5"/>
  <c r="D675" i="5"/>
  <c r="E675" i="5"/>
  <c r="F675" i="5"/>
  <c r="G675" i="5"/>
  <c r="H675" i="5"/>
  <c r="I675" i="5"/>
  <c r="J675" i="5"/>
  <c r="K675" i="5"/>
  <c r="L675" i="5"/>
  <c r="M675" i="5"/>
  <c r="N675" i="5"/>
  <c r="O675" i="5"/>
  <c r="P675" i="5"/>
  <c r="Q675" i="5"/>
  <c r="R675" i="5"/>
  <c r="C676" i="5"/>
  <c r="D676" i="5"/>
  <c r="E676" i="5"/>
  <c r="F676" i="5"/>
  <c r="G676" i="5"/>
  <c r="H676" i="5"/>
  <c r="I676" i="5"/>
  <c r="J676" i="5"/>
  <c r="K676" i="5"/>
  <c r="L676" i="5"/>
  <c r="M676" i="5"/>
  <c r="N676" i="5"/>
  <c r="O676" i="5"/>
  <c r="P676" i="5"/>
  <c r="Q676" i="5"/>
  <c r="R676" i="5"/>
  <c r="C677" i="5"/>
  <c r="D677" i="5"/>
  <c r="E677" i="5"/>
  <c r="F677" i="5"/>
  <c r="G677" i="5"/>
  <c r="H677" i="5"/>
  <c r="I677" i="5"/>
  <c r="J677" i="5"/>
  <c r="K677" i="5"/>
  <c r="L677" i="5"/>
  <c r="M677" i="5"/>
  <c r="N677" i="5"/>
  <c r="O677" i="5"/>
  <c r="P677" i="5"/>
  <c r="Q677" i="5"/>
  <c r="R677" i="5"/>
  <c r="C678" i="5"/>
  <c r="D678" i="5"/>
  <c r="E678" i="5"/>
  <c r="F678" i="5"/>
  <c r="G678" i="5"/>
  <c r="H678" i="5"/>
  <c r="I678" i="5"/>
  <c r="J678" i="5"/>
  <c r="K678" i="5"/>
  <c r="L678" i="5"/>
  <c r="M678" i="5"/>
  <c r="N678" i="5"/>
  <c r="O678" i="5"/>
  <c r="P678" i="5"/>
  <c r="Q678" i="5"/>
  <c r="R678" i="5"/>
  <c r="C679" i="5"/>
  <c r="D679" i="5"/>
  <c r="E679" i="5"/>
  <c r="F679" i="5"/>
  <c r="G679" i="5"/>
  <c r="H679" i="5"/>
  <c r="I679" i="5"/>
  <c r="J679" i="5"/>
  <c r="K679" i="5"/>
  <c r="L679" i="5"/>
  <c r="M679" i="5"/>
  <c r="N679" i="5"/>
  <c r="O679" i="5"/>
  <c r="P679" i="5"/>
  <c r="Q679" i="5"/>
  <c r="R679" i="5"/>
  <c r="C680" i="5"/>
  <c r="D680" i="5"/>
  <c r="E680" i="5"/>
  <c r="F680" i="5"/>
  <c r="G680" i="5"/>
  <c r="H680" i="5"/>
  <c r="I680" i="5"/>
  <c r="J680" i="5"/>
  <c r="K680" i="5"/>
  <c r="L680" i="5"/>
  <c r="M680" i="5"/>
  <c r="N680" i="5"/>
  <c r="O680" i="5"/>
  <c r="P680" i="5"/>
  <c r="Q680" i="5"/>
  <c r="R680" i="5"/>
  <c r="C681" i="5"/>
  <c r="D681" i="5"/>
  <c r="E681" i="5"/>
  <c r="F681" i="5"/>
  <c r="G681" i="5"/>
  <c r="H681" i="5"/>
  <c r="I681" i="5"/>
  <c r="J681" i="5"/>
  <c r="K681" i="5"/>
  <c r="L681" i="5"/>
  <c r="M681" i="5"/>
  <c r="N681" i="5"/>
  <c r="O681" i="5"/>
  <c r="P681" i="5"/>
  <c r="Q681" i="5"/>
  <c r="R681" i="5"/>
  <c r="C682" i="5"/>
  <c r="D682" i="5"/>
  <c r="E682" i="5"/>
  <c r="F682" i="5"/>
  <c r="G682" i="5"/>
  <c r="H682" i="5"/>
  <c r="I682" i="5"/>
  <c r="J682" i="5"/>
  <c r="K682" i="5"/>
  <c r="L682" i="5"/>
  <c r="M682" i="5"/>
  <c r="N682" i="5"/>
  <c r="O682" i="5"/>
  <c r="P682" i="5"/>
  <c r="Q682" i="5"/>
  <c r="R682" i="5"/>
  <c r="C683" i="5"/>
  <c r="D683" i="5"/>
  <c r="E683" i="5"/>
  <c r="F683" i="5"/>
  <c r="G683" i="5"/>
  <c r="H683" i="5"/>
  <c r="I683" i="5"/>
  <c r="J683" i="5"/>
  <c r="K683" i="5"/>
  <c r="L683" i="5"/>
  <c r="M683" i="5"/>
  <c r="N683" i="5"/>
  <c r="O683" i="5"/>
  <c r="P683" i="5"/>
  <c r="Q683" i="5"/>
  <c r="R683" i="5"/>
  <c r="C684" i="5"/>
  <c r="D684" i="5"/>
  <c r="E684" i="5"/>
  <c r="F684" i="5"/>
  <c r="G684" i="5"/>
  <c r="H684" i="5"/>
  <c r="I684" i="5"/>
  <c r="J684" i="5"/>
  <c r="K684" i="5"/>
  <c r="L684" i="5"/>
  <c r="M684" i="5"/>
  <c r="N684" i="5"/>
  <c r="O684" i="5"/>
  <c r="P684" i="5"/>
  <c r="Q684" i="5"/>
  <c r="R684" i="5"/>
  <c r="C685" i="5"/>
  <c r="D685" i="5"/>
  <c r="E685" i="5"/>
  <c r="F685" i="5"/>
  <c r="G685" i="5"/>
  <c r="H685" i="5"/>
  <c r="I685" i="5"/>
  <c r="J685" i="5"/>
  <c r="K685" i="5"/>
  <c r="L685" i="5"/>
  <c r="M685" i="5"/>
  <c r="N685" i="5"/>
  <c r="O685" i="5"/>
  <c r="P685" i="5"/>
  <c r="Q685" i="5"/>
  <c r="R685" i="5"/>
  <c r="C686" i="5"/>
  <c r="D686" i="5"/>
  <c r="E686" i="5"/>
  <c r="F686" i="5"/>
  <c r="G686" i="5"/>
  <c r="H686" i="5"/>
  <c r="I686" i="5"/>
  <c r="J686" i="5"/>
  <c r="K686" i="5"/>
  <c r="L686" i="5"/>
  <c r="M686" i="5"/>
  <c r="N686" i="5"/>
  <c r="O686" i="5"/>
  <c r="P686" i="5"/>
  <c r="Q686" i="5"/>
  <c r="R686" i="5"/>
  <c r="C687" i="5"/>
  <c r="D687" i="5"/>
  <c r="E687" i="5"/>
  <c r="F687" i="5"/>
  <c r="G687" i="5"/>
  <c r="H687" i="5"/>
  <c r="I687" i="5"/>
  <c r="J687" i="5"/>
  <c r="K687" i="5"/>
  <c r="L687" i="5"/>
  <c r="M687" i="5"/>
  <c r="N687" i="5"/>
  <c r="O687" i="5"/>
  <c r="P687" i="5"/>
  <c r="Q687" i="5"/>
  <c r="R687" i="5"/>
  <c r="C688" i="5"/>
  <c r="D688" i="5"/>
  <c r="E688" i="5"/>
  <c r="F688" i="5"/>
  <c r="G688" i="5"/>
  <c r="H688" i="5"/>
  <c r="I688" i="5"/>
  <c r="J688" i="5"/>
  <c r="K688" i="5"/>
  <c r="L688" i="5"/>
  <c r="M688" i="5"/>
  <c r="N688" i="5"/>
  <c r="O688" i="5"/>
  <c r="P688" i="5"/>
  <c r="Q688" i="5"/>
  <c r="R688" i="5"/>
  <c r="C689" i="5"/>
  <c r="D689" i="5"/>
  <c r="E689" i="5"/>
  <c r="F689" i="5"/>
  <c r="G689" i="5"/>
  <c r="H689" i="5"/>
  <c r="I689" i="5"/>
  <c r="J689" i="5"/>
  <c r="K689" i="5"/>
  <c r="L689" i="5"/>
  <c r="M689" i="5"/>
  <c r="N689" i="5"/>
  <c r="O689" i="5"/>
  <c r="P689" i="5"/>
  <c r="Q689" i="5"/>
  <c r="R689" i="5"/>
  <c r="C690" i="5"/>
  <c r="D690" i="5"/>
  <c r="E690" i="5"/>
  <c r="F690" i="5"/>
  <c r="G690" i="5"/>
  <c r="H690" i="5"/>
  <c r="I690" i="5"/>
  <c r="J690" i="5"/>
  <c r="K690" i="5"/>
  <c r="L690" i="5"/>
  <c r="M690" i="5"/>
  <c r="N690" i="5"/>
  <c r="O690" i="5"/>
  <c r="P690" i="5"/>
  <c r="Q690" i="5"/>
  <c r="R690" i="5"/>
  <c r="C691" i="5"/>
  <c r="D691" i="5"/>
  <c r="E691" i="5"/>
  <c r="F691" i="5"/>
  <c r="G691" i="5"/>
  <c r="H691" i="5"/>
  <c r="I691" i="5"/>
  <c r="J691" i="5"/>
  <c r="K691" i="5"/>
  <c r="L691" i="5"/>
  <c r="M691" i="5"/>
  <c r="N691" i="5"/>
  <c r="O691" i="5"/>
  <c r="P691" i="5"/>
  <c r="Q691" i="5"/>
  <c r="R691" i="5"/>
  <c r="C692" i="5"/>
  <c r="D692" i="5"/>
  <c r="E692" i="5"/>
  <c r="F692" i="5"/>
  <c r="G692" i="5"/>
  <c r="H692" i="5"/>
  <c r="I692" i="5"/>
  <c r="J692" i="5"/>
  <c r="K692" i="5"/>
  <c r="L692" i="5"/>
  <c r="M692" i="5"/>
  <c r="N692" i="5"/>
  <c r="O692" i="5"/>
  <c r="P692" i="5"/>
  <c r="Q692" i="5"/>
  <c r="R692" i="5"/>
  <c r="C693" i="5"/>
  <c r="D693" i="5"/>
  <c r="E693" i="5"/>
  <c r="F693" i="5"/>
  <c r="G693" i="5"/>
  <c r="H693" i="5"/>
  <c r="I693" i="5"/>
  <c r="J693" i="5"/>
  <c r="K693" i="5"/>
  <c r="L693" i="5"/>
  <c r="M693" i="5"/>
  <c r="N693" i="5"/>
  <c r="O693" i="5"/>
  <c r="P693" i="5"/>
  <c r="Q693" i="5"/>
  <c r="R693" i="5"/>
  <c r="C694" i="5"/>
  <c r="D694" i="5"/>
  <c r="E694" i="5"/>
  <c r="F694" i="5"/>
  <c r="G694" i="5"/>
  <c r="H694" i="5"/>
  <c r="I694" i="5"/>
  <c r="J694" i="5"/>
  <c r="K694" i="5"/>
  <c r="L694" i="5"/>
  <c r="M694" i="5"/>
  <c r="N694" i="5"/>
  <c r="O694" i="5"/>
  <c r="P694" i="5"/>
  <c r="Q694" i="5"/>
  <c r="R694" i="5"/>
  <c r="C695" i="5"/>
  <c r="D695" i="5"/>
  <c r="E695" i="5"/>
  <c r="F695" i="5"/>
  <c r="G695" i="5"/>
  <c r="H695" i="5"/>
  <c r="I695" i="5"/>
  <c r="J695" i="5"/>
  <c r="K695" i="5"/>
  <c r="L695" i="5"/>
  <c r="M695" i="5"/>
  <c r="N695" i="5"/>
  <c r="O695" i="5"/>
  <c r="P695" i="5"/>
  <c r="Q695" i="5"/>
  <c r="R695" i="5"/>
  <c r="C696" i="5"/>
  <c r="D696" i="5"/>
  <c r="E696" i="5"/>
  <c r="F696" i="5"/>
  <c r="G696" i="5"/>
  <c r="H696" i="5"/>
  <c r="I696" i="5"/>
  <c r="J696" i="5"/>
  <c r="K696" i="5"/>
  <c r="L696" i="5"/>
  <c r="M696" i="5"/>
  <c r="N696" i="5"/>
  <c r="O696" i="5"/>
  <c r="P696" i="5"/>
  <c r="Q696" i="5"/>
  <c r="R696" i="5"/>
  <c r="C697" i="5"/>
  <c r="D697" i="5"/>
  <c r="E697" i="5"/>
  <c r="F697" i="5"/>
  <c r="G697" i="5"/>
  <c r="H697" i="5"/>
  <c r="I697" i="5"/>
  <c r="J697" i="5"/>
  <c r="K697" i="5"/>
  <c r="L697" i="5"/>
  <c r="M697" i="5"/>
  <c r="N697" i="5"/>
  <c r="O697" i="5"/>
  <c r="P697" i="5"/>
  <c r="Q697" i="5"/>
  <c r="R697" i="5"/>
  <c r="C698" i="5"/>
  <c r="D698" i="5"/>
  <c r="E698" i="5"/>
  <c r="F698" i="5"/>
  <c r="G698" i="5"/>
  <c r="H698" i="5"/>
  <c r="I698" i="5"/>
  <c r="J698" i="5"/>
  <c r="K698" i="5"/>
  <c r="L698" i="5"/>
  <c r="M698" i="5"/>
  <c r="N698" i="5"/>
  <c r="O698" i="5"/>
  <c r="P698" i="5"/>
  <c r="Q698" i="5"/>
  <c r="R698" i="5"/>
  <c r="C699" i="5"/>
  <c r="D699" i="5"/>
  <c r="E699" i="5"/>
  <c r="F699" i="5"/>
  <c r="G699" i="5"/>
  <c r="H699" i="5"/>
  <c r="I699" i="5"/>
  <c r="J699" i="5"/>
  <c r="K699" i="5"/>
  <c r="L699" i="5"/>
  <c r="M699" i="5"/>
  <c r="N699" i="5"/>
  <c r="O699" i="5"/>
  <c r="P699" i="5"/>
  <c r="Q699" i="5"/>
  <c r="R699" i="5"/>
  <c r="C700" i="5"/>
  <c r="D700" i="5"/>
  <c r="E700" i="5"/>
  <c r="F700" i="5"/>
  <c r="G700" i="5"/>
  <c r="H700" i="5"/>
  <c r="I700" i="5"/>
  <c r="J700" i="5"/>
  <c r="K700" i="5"/>
  <c r="L700" i="5"/>
  <c r="M700" i="5"/>
  <c r="N700" i="5"/>
  <c r="O700" i="5"/>
  <c r="P700" i="5"/>
  <c r="Q700" i="5"/>
  <c r="R700" i="5"/>
  <c r="C701" i="5"/>
  <c r="D701" i="5"/>
  <c r="E701" i="5"/>
  <c r="F701" i="5"/>
  <c r="G701" i="5"/>
  <c r="H701" i="5"/>
  <c r="I701" i="5"/>
  <c r="J701" i="5"/>
  <c r="K701" i="5"/>
  <c r="L701" i="5"/>
  <c r="M701" i="5"/>
  <c r="N701" i="5"/>
  <c r="O701" i="5"/>
  <c r="P701" i="5"/>
  <c r="Q701" i="5"/>
  <c r="R701" i="5"/>
  <c r="C702" i="5"/>
  <c r="D702" i="5"/>
  <c r="E702" i="5"/>
  <c r="F702" i="5"/>
  <c r="G702" i="5"/>
  <c r="H702" i="5"/>
  <c r="I702" i="5"/>
  <c r="J702" i="5"/>
  <c r="K702" i="5"/>
  <c r="L702" i="5"/>
  <c r="M702" i="5"/>
  <c r="N702" i="5"/>
  <c r="O702" i="5"/>
  <c r="P702" i="5"/>
  <c r="Q702" i="5"/>
  <c r="R702" i="5"/>
  <c r="C703" i="5"/>
  <c r="D703" i="5"/>
  <c r="E703" i="5"/>
  <c r="F703" i="5"/>
  <c r="G703" i="5"/>
  <c r="H703" i="5"/>
  <c r="I703" i="5"/>
  <c r="J703" i="5"/>
  <c r="K703" i="5"/>
  <c r="L703" i="5"/>
  <c r="M703" i="5"/>
  <c r="N703" i="5"/>
  <c r="O703" i="5"/>
  <c r="P703" i="5"/>
  <c r="Q703" i="5"/>
  <c r="R703" i="5"/>
  <c r="C704" i="5"/>
  <c r="D704" i="5"/>
  <c r="E704" i="5"/>
  <c r="F704" i="5"/>
  <c r="G704" i="5"/>
  <c r="H704" i="5"/>
  <c r="I704" i="5"/>
  <c r="J704" i="5"/>
  <c r="K704" i="5"/>
  <c r="L704" i="5"/>
  <c r="M704" i="5"/>
  <c r="N704" i="5"/>
  <c r="O704" i="5"/>
  <c r="P704" i="5"/>
  <c r="Q704" i="5"/>
  <c r="R704" i="5"/>
  <c r="C705" i="5"/>
  <c r="D705" i="5"/>
  <c r="E705" i="5"/>
  <c r="F705" i="5"/>
  <c r="G705" i="5"/>
  <c r="H705" i="5"/>
  <c r="I705" i="5"/>
  <c r="J705" i="5"/>
  <c r="K705" i="5"/>
  <c r="L705" i="5"/>
  <c r="M705" i="5"/>
  <c r="N705" i="5"/>
  <c r="O705" i="5"/>
  <c r="P705" i="5"/>
  <c r="Q705" i="5"/>
  <c r="R705" i="5"/>
  <c r="C706" i="5"/>
  <c r="D706" i="5"/>
  <c r="E706" i="5"/>
  <c r="F706" i="5"/>
  <c r="G706" i="5"/>
  <c r="H706" i="5"/>
  <c r="I706" i="5"/>
  <c r="J706" i="5"/>
  <c r="K706" i="5"/>
  <c r="L706" i="5"/>
  <c r="M706" i="5"/>
  <c r="N706" i="5"/>
  <c r="O706" i="5"/>
  <c r="P706" i="5"/>
  <c r="Q706" i="5"/>
  <c r="R706" i="5"/>
  <c r="C707" i="5"/>
  <c r="D707" i="5"/>
  <c r="E707" i="5"/>
  <c r="F707" i="5"/>
  <c r="G707" i="5"/>
  <c r="H707" i="5"/>
  <c r="I707" i="5"/>
  <c r="J707" i="5"/>
  <c r="K707" i="5"/>
  <c r="L707" i="5"/>
  <c r="M707" i="5"/>
  <c r="N707" i="5"/>
  <c r="O707" i="5"/>
  <c r="P707" i="5"/>
  <c r="Q707" i="5"/>
  <c r="R707" i="5"/>
  <c r="C708" i="5"/>
  <c r="D708" i="5"/>
  <c r="E708" i="5"/>
  <c r="F708" i="5"/>
  <c r="G708" i="5"/>
  <c r="H708" i="5"/>
  <c r="I708" i="5"/>
  <c r="J708" i="5"/>
  <c r="K708" i="5"/>
  <c r="L708" i="5"/>
  <c r="M708" i="5"/>
  <c r="N708" i="5"/>
  <c r="O708" i="5"/>
  <c r="P708" i="5"/>
  <c r="Q708" i="5"/>
  <c r="R708" i="5"/>
  <c r="C709" i="5"/>
  <c r="D709" i="5"/>
  <c r="E709" i="5"/>
  <c r="F709" i="5"/>
  <c r="G709" i="5"/>
  <c r="H709" i="5"/>
  <c r="I709" i="5"/>
  <c r="J709" i="5"/>
  <c r="K709" i="5"/>
  <c r="L709" i="5"/>
  <c r="M709" i="5"/>
  <c r="N709" i="5"/>
  <c r="O709" i="5"/>
  <c r="P709" i="5"/>
  <c r="Q709" i="5"/>
  <c r="R709" i="5"/>
  <c r="C710" i="5"/>
  <c r="D710" i="5"/>
  <c r="E710" i="5"/>
  <c r="F710" i="5"/>
  <c r="G710" i="5"/>
  <c r="H710" i="5"/>
  <c r="I710" i="5"/>
  <c r="J710" i="5"/>
  <c r="K710" i="5"/>
  <c r="L710" i="5"/>
  <c r="M710" i="5"/>
  <c r="N710" i="5"/>
  <c r="O710" i="5"/>
  <c r="P710" i="5"/>
  <c r="Q710" i="5"/>
  <c r="R710" i="5"/>
  <c r="C711" i="5"/>
  <c r="D711" i="5"/>
  <c r="E711" i="5"/>
  <c r="F711" i="5"/>
  <c r="G711" i="5"/>
  <c r="H711" i="5"/>
  <c r="I711" i="5"/>
  <c r="J711" i="5"/>
  <c r="K711" i="5"/>
  <c r="L711" i="5"/>
  <c r="M711" i="5"/>
  <c r="N711" i="5"/>
  <c r="O711" i="5"/>
  <c r="P711" i="5"/>
  <c r="Q711" i="5"/>
  <c r="R711" i="5"/>
  <c r="C712" i="5"/>
  <c r="D712" i="5"/>
  <c r="E712" i="5"/>
  <c r="F712" i="5"/>
  <c r="G712" i="5"/>
  <c r="H712" i="5"/>
  <c r="I712" i="5"/>
  <c r="J712" i="5"/>
  <c r="K712" i="5"/>
  <c r="L712" i="5"/>
  <c r="M712" i="5"/>
  <c r="N712" i="5"/>
  <c r="O712" i="5"/>
  <c r="P712" i="5"/>
  <c r="Q712" i="5"/>
  <c r="R712" i="5"/>
  <c r="C713" i="5"/>
  <c r="D713" i="5"/>
  <c r="E713" i="5"/>
  <c r="F713" i="5"/>
  <c r="G713" i="5"/>
  <c r="H713" i="5"/>
  <c r="I713" i="5"/>
  <c r="J713" i="5"/>
  <c r="K713" i="5"/>
  <c r="L713" i="5"/>
  <c r="M713" i="5"/>
  <c r="N713" i="5"/>
  <c r="O713" i="5"/>
  <c r="P713" i="5"/>
  <c r="Q713" i="5"/>
  <c r="R713" i="5"/>
  <c r="C714" i="5"/>
  <c r="D714" i="5"/>
  <c r="E714" i="5"/>
  <c r="F714" i="5"/>
  <c r="G714" i="5"/>
  <c r="H714" i="5"/>
  <c r="I714" i="5"/>
  <c r="J714" i="5"/>
  <c r="K714" i="5"/>
  <c r="L714" i="5"/>
  <c r="M714" i="5"/>
  <c r="N714" i="5"/>
  <c r="O714" i="5"/>
  <c r="P714" i="5"/>
  <c r="Q714" i="5"/>
  <c r="R714" i="5"/>
  <c r="C715" i="5"/>
  <c r="D715" i="5"/>
  <c r="E715" i="5"/>
  <c r="F715" i="5"/>
  <c r="G715" i="5"/>
  <c r="H715" i="5"/>
  <c r="I715" i="5"/>
  <c r="J715" i="5"/>
  <c r="K715" i="5"/>
  <c r="L715" i="5"/>
  <c r="M715" i="5"/>
  <c r="N715" i="5"/>
  <c r="O715" i="5"/>
  <c r="P715" i="5"/>
  <c r="Q715" i="5"/>
  <c r="R715" i="5"/>
  <c r="C716" i="5"/>
  <c r="D716" i="5"/>
  <c r="E716" i="5"/>
  <c r="F716" i="5"/>
  <c r="G716" i="5"/>
  <c r="H716" i="5"/>
  <c r="I716" i="5"/>
  <c r="J716" i="5"/>
  <c r="K716" i="5"/>
  <c r="L716" i="5"/>
  <c r="M716" i="5"/>
  <c r="N716" i="5"/>
  <c r="O716" i="5"/>
  <c r="P716" i="5"/>
  <c r="Q716" i="5"/>
  <c r="R716" i="5"/>
  <c r="C717" i="5"/>
  <c r="D717" i="5"/>
  <c r="E717" i="5"/>
  <c r="F717" i="5"/>
  <c r="G717" i="5"/>
  <c r="H717" i="5"/>
  <c r="I717" i="5"/>
  <c r="J717" i="5"/>
  <c r="K717" i="5"/>
  <c r="L717" i="5"/>
  <c r="M717" i="5"/>
  <c r="N717" i="5"/>
  <c r="O717" i="5"/>
  <c r="P717" i="5"/>
  <c r="Q717" i="5"/>
  <c r="R717" i="5"/>
  <c r="C718" i="5"/>
  <c r="D718" i="5"/>
  <c r="E718" i="5"/>
  <c r="F718" i="5"/>
  <c r="G718" i="5"/>
  <c r="H718" i="5"/>
  <c r="I718" i="5"/>
  <c r="J718" i="5"/>
  <c r="K718" i="5"/>
  <c r="L718" i="5"/>
  <c r="M718" i="5"/>
  <c r="N718" i="5"/>
  <c r="O718" i="5"/>
  <c r="P718" i="5"/>
  <c r="Q718" i="5"/>
  <c r="R718" i="5"/>
  <c r="C719" i="5"/>
  <c r="D719" i="5"/>
  <c r="E719" i="5"/>
  <c r="F719" i="5"/>
  <c r="G719" i="5"/>
  <c r="H719" i="5"/>
  <c r="I719" i="5"/>
  <c r="J719" i="5"/>
  <c r="K719" i="5"/>
  <c r="L719" i="5"/>
  <c r="M719" i="5"/>
  <c r="N719" i="5"/>
  <c r="O719" i="5"/>
  <c r="P719" i="5"/>
  <c r="Q719" i="5"/>
  <c r="R719" i="5"/>
  <c r="C720" i="5"/>
  <c r="D720" i="5"/>
  <c r="E720" i="5"/>
  <c r="F720" i="5"/>
  <c r="G720" i="5"/>
  <c r="H720" i="5"/>
  <c r="I720" i="5"/>
  <c r="J720" i="5"/>
  <c r="K720" i="5"/>
  <c r="L720" i="5"/>
  <c r="M720" i="5"/>
  <c r="N720" i="5"/>
  <c r="O720" i="5"/>
  <c r="P720" i="5"/>
  <c r="Q720" i="5"/>
  <c r="R720" i="5"/>
  <c r="C721" i="5"/>
  <c r="D721" i="5"/>
  <c r="E721" i="5"/>
  <c r="F721" i="5"/>
  <c r="G721" i="5"/>
  <c r="H721" i="5"/>
  <c r="I721" i="5"/>
  <c r="J721" i="5"/>
  <c r="K721" i="5"/>
  <c r="L721" i="5"/>
  <c r="M721" i="5"/>
  <c r="N721" i="5"/>
  <c r="O721" i="5"/>
  <c r="P721" i="5"/>
  <c r="Q721" i="5"/>
  <c r="R721" i="5"/>
  <c r="C722" i="5"/>
  <c r="D722" i="5"/>
  <c r="E722" i="5"/>
  <c r="F722" i="5"/>
  <c r="G722" i="5"/>
  <c r="H722" i="5"/>
  <c r="I722" i="5"/>
  <c r="J722" i="5"/>
  <c r="K722" i="5"/>
  <c r="L722" i="5"/>
  <c r="M722" i="5"/>
  <c r="N722" i="5"/>
  <c r="O722" i="5"/>
  <c r="P722" i="5"/>
  <c r="Q722" i="5"/>
  <c r="R722" i="5"/>
  <c r="C723" i="5"/>
  <c r="D723" i="5"/>
  <c r="E723" i="5"/>
  <c r="F723" i="5"/>
  <c r="G723" i="5"/>
  <c r="H723" i="5"/>
  <c r="I723" i="5"/>
  <c r="J723" i="5"/>
  <c r="K723" i="5"/>
  <c r="L723" i="5"/>
  <c r="M723" i="5"/>
  <c r="N723" i="5"/>
  <c r="O723" i="5"/>
  <c r="P723" i="5"/>
  <c r="Q723" i="5"/>
  <c r="R723" i="5"/>
  <c r="C724" i="5"/>
  <c r="D724" i="5"/>
  <c r="E724" i="5"/>
  <c r="F724" i="5"/>
  <c r="G724" i="5"/>
  <c r="H724" i="5"/>
  <c r="I724" i="5"/>
  <c r="J724" i="5"/>
  <c r="K724" i="5"/>
  <c r="L724" i="5"/>
  <c r="M724" i="5"/>
  <c r="N724" i="5"/>
  <c r="O724" i="5"/>
  <c r="P724" i="5"/>
  <c r="Q724" i="5"/>
  <c r="R724" i="5"/>
  <c r="C725" i="5"/>
  <c r="D725" i="5"/>
  <c r="E725" i="5"/>
  <c r="F725" i="5"/>
  <c r="G725" i="5"/>
  <c r="H725" i="5"/>
  <c r="I725" i="5"/>
  <c r="J725" i="5"/>
  <c r="K725" i="5"/>
  <c r="L725" i="5"/>
  <c r="M725" i="5"/>
  <c r="N725" i="5"/>
  <c r="O725" i="5"/>
  <c r="P725" i="5"/>
  <c r="Q725" i="5"/>
  <c r="R725" i="5"/>
  <c r="C726" i="5"/>
  <c r="D726" i="5"/>
  <c r="E726" i="5"/>
  <c r="F726" i="5"/>
  <c r="G726" i="5"/>
  <c r="H726" i="5"/>
  <c r="I726" i="5"/>
  <c r="J726" i="5"/>
  <c r="K726" i="5"/>
  <c r="L726" i="5"/>
  <c r="M726" i="5"/>
  <c r="N726" i="5"/>
  <c r="O726" i="5"/>
  <c r="P726" i="5"/>
  <c r="Q726" i="5"/>
  <c r="R726" i="5"/>
  <c r="C727" i="5"/>
  <c r="D727" i="5"/>
  <c r="E727" i="5"/>
  <c r="F727" i="5"/>
  <c r="G727" i="5"/>
  <c r="H727" i="5"/>
  <c r="I727" i="5"/>
  <c r="J727" i="5"/>
  <c r="K727" i="5"/>
  <c r="L727" i="5"/>
  <c r="M727" i="5"/>
  <c r="N727" i="5"/>
  <c r="O727" i="5"/>
  <c r="P727" i="5"/>
  <c r="Q727" i="5"/>
  <c r="R727" i="5"/>
  <c r="C728" i="5"/>
  <c r="D728" i="5"/>
  <c r="E728" i="5"/>
  <c r="F728" i="5"/>
  <c r="G728" i="5"/>
  <c r="H728" i="5"/>
  <c r="I728" i="5"/>
  <c r="J728" i="5"/>
  <c r="K728" i="5"/>
  <c r="L728" i="5"/>
  <c r="M728" i="5"/>
  <c r="N728" i="5"/>
  <c r="O728" i="5"/>
  <c r="P728" i="5"/>
  <c r="Q728" i="5"/>
  <c r="R728" i="5"/>
  <c r="C729" i="5"/>
  <c r="D729" i="5"/>
  <c r="E729" i="5"/>
  <c r="F729" i="5"/>
  <c r="G729" i="5"/>
  <c r="H729" i="5"/>
  <c r="I729" i="5"/>
  <c r="J729" i="5"/>
  <c r="K729" i="5"/>
  <c r="L729" i="5"/>
  <c r="M729" i="5"/>
  <c r="N729" i="5"/>
  <c r="O729" i="5"/>
  <c r="P729" i="5"/>
  <c r="Q729" i="5"/>
  <c r="R729" i="5"/>
  <c r="C730" i="5"/>
  <c r="D730" i="5"/>
  <c r="E730" i="5"/>
  <c r="F730" i="5"/>
  <c r="G730" i="5"/>
  <c r="H730" i="5"/>
  <c r="I730" i="5"/>
  <c r="J730" i="5"/>
  <c r="K730" i="5"/>
  <c r="L730" i="5"/>
  <c r="M730" i="5"/>
  <c r="N730" i="5"/>
  <c r="O730" i="5"/>
  <c r="P730" i="5"/>
  <c r="Q730" i="5"/>
  <c r="R730" i="5"/>
  <c r="C731" i="5"/>
  <c r="D731" i="5"/>
  <c r="E731" i="5"/>
  <c r="F731" i="5"/>
  <c r="G731" i="5"/>
  <c r="H731" i="5"/>
  <c r="I731" i="5"/>
  <c r="J731" i="5"/>
  <c r="K731" i="5"/>
  <c r="L731" i="5"/>
  <c r="M731" i="5"/>
  <c r="N731" i="5"/>
  <c r="O731" i="5"/>
  <c r="P731" i="5"/>
  <c r="Q731" i="5"/>
  <c r="R731" i="5"/>
  <c r="C732" i="5"/>
  <c r="D732" i="5"/>
  <c r="E732" i="5"/>
  <c r="F732" i="5"/>
  <c r="G732" i="5"/>
  <c r="H732" i="5"/>
  <c r="I732" i="5"/>
  <c r="J732" i="5"/>
  <c r="K732" i="5"/>
  <c r="L732" i="5"/>
  <c r="M732" i="5"/>
  <c r="N732" i="5"/>
  <c r="O732" i="5"/>
  <c r="P732" i="5"/>
  <c r="Q732" i="5"/>
  <c r="R732" i="5"/>
  <c r="C733" i="5"/>
  <c r="D733" i="5"/>
  <c r="E733" i="5"/>
  <c r="F733" i="5"/>
  <c r="G733" i="5"/>
  <c r="H733" i="5"/>
  <c r="I733" i="5"/>
  <c r="J733" i="5"/>
  <c r="K733" i="5"/>
  <c r="L733" i="5"/>
  <c r="M733" i="5"/>
  <c r="N733" i="5"/>
  <c r="O733" i="5"/>
  <c r="P733" i="5"/>
  <c r="Q733" i="5"/>
  <c r="R733" i="5"/>
  <c r="C734" i="5"/>
  <c r="D734" i="5"/>
  <c r="E734" i="5"/>
  <c r="F734" i="5"/>
  <c r="G734" i="5"/>
  <c r="H734" i="5"/>
  <c r="I734" i="5"/>
  <c r="J734" i="5"/>
  <c r="K734" i="5"/>
  <c r="L734" i="5"/>
  <c r="M734" i="5"/>
  <c r="N734" i="5"/>
  <c r="O734" i="5"/>
  <c r="P734" i="5"/>
  <c r="Q734" i="5"/>
  <c r="R734" i="5"/>
  <c r="C735" i="5"/>
  <c r="D735" i="5"/>
  <c r="E735" i="5"/>
  <c r="F735" i="5"/>
  <c r="G735" i="5"/>
  <c r="H735" i="5"/>
  <c r="I735" i="5"/>
  <c r="J735" i="5"/>
  <c r="K735" i="5"/>
  <c r="L735" i="5"/>
  <c r="M735" i="5"/>
  <c r="N735" i="5"/>
  <c r="O735" i="5"/>
  <c r="P735" i="5"/>
  <c r="Q735" i="5"/>
  <c r="R735" i="5"/>
  <c r="C736" i="5"/>
  <c r="D736" i="5"/>
  <c r="E736" i="5"/>
  <c r="F736" i="5"/>
  <c r="G736" i="5"/>
  <c r="H736" i="5"/>
  <c r="I736" i="5"/>
  <c r="J736" i="5"/>
  <c r="K736" i="5"/>
  <c r="L736" i="5"/>
  <c r="M736" i="5"/>
  <c r="N736" i="5"/>
  <c r="O736" i="5"/>
  <c r="P736" i="5"/>
  <c r="Q736" i="5"/>
  <c r="R736" i="5"/>
  <c r="C737" i="5"/>
  <c r="D737" i="5"/>
  <c r="E737" i="5"/>
  <c r="F737" i="5"/>
  <c r="G737" i="5"/>
  <c r="H737" i="5"/>
  <c r="I737" i="5"/>
  <c r="J737" i="5"/>
  <c r="K737" i="5"/>
  <c r="L737" i="5"/>
  <c r="M737" i="5"/>
  <c r="N737" i="5"/>
  <c r="O737" i="5"/>
  <c r="P737" i="5"/>
  <c r="Q737" i="5"/>
  <c r="R737" i="5"/>
  <c r="C738" i="5"/>
  <c r="D738" i="5"/>
  <c r="E738" i="5"/>
  <c r="F738" i="5"/>
  <c r="G738" i="5"/>
  <c r="H738" i="5"/>
  <c r="I738" i="5"/>
  <c r="J738" i="5"/>
  <c r="K738" i="5"/>
  <c r="L738" i="5"/>
  <c r="M738" i="5"/>
  <c r="N738" i="5"/>
  <c r="O738" i="5"/>
  <c r="P738" i="5"/>
  <c r="Q738" i="5"/>
  <c r="R738" i="5"/>
  <c r="C739" i="5"/>
  <c r="D739" i="5"/>
  <c r="E739" i="5"/>
  <c r="F739" i="5"/>
  <c r="G739" i="5"/>
  <c r="H739" i="5"/>
  <c r="I739" i="5"/>
  <c r="J739" i="5"/>
  <c r="K739" i="5"/>
  <c r="L739" i="5"/>
  <c r="M739" i="5"/>
  <c r="N739" i="5"/>
  <c r="O739" i="5"/>
  <c r="P739" i="5"/>
  <c r="Q739" i="5"/>
  <c r="R739" i="5"/>
  <c r="C740" i="5"/>
  <c r="D740" i="5"/>
  <c r="E740" i="5"/>
  <c r="F740" i="5"/>
  <c r="G740" i="5"/>
  <c r="H740" i="5"/>
  <c r="I740" i="5"/>
  <c r="J740" i="5"/>
  <c r="K740" i="5"/>
  <c r="L740" i="5"/>
  <c r="M740" i="5"/>
  <c r="N740" i="5"/>
  <c r="O740" i="5"/>
  <c r="P740" i="5"/>
  <c r="Q740" i="5"/>
  <c r="R740" i="5"/>
  <c r="C741" i="5"/>
  <c r="D741" i="5"/>
  <c r="E741" i="5"/>
  <c r="F741" i="5"/>
  <c r="G741" i="5"/>
  <c r="H741" i="5"/>
  <c r="I741" i="5"/>
  <c r="J741" i="5"/>
  <c r="K741" i="5"/>
  <c r="L741" i="5"/>
  <c r="M741" i="5"/>
  <c r="N741" i="5"/>
  <c r="O741" i="5"/>
  <c r="P741" i="5"/>
  <c r="Q741" i="5"/>
  <c r="R741" i="5"/>
  <c r="C742" i="5"/>
  <c r="D742" i="5"/>
  <c r="E742" i="5"/>
  <c r="F742" i="5"/>
  <c r="G742" i="5"/>
  <c r="H742" i="5"/>
  <c r="I742" i="5"/>
  <c r="J742" i="5"/>
  <c r="K742" i="5"/>
  <c r="L742" i="5"/>
  <c r="M742" i="5"/>
  <c r="N742" i="5"/>
  <c r="O742" i="5"/>
  <c r="P742" i="5"/>
  <c r="Q742" i="5"/>
  <c r="R742" i="5"/>
  <c r="C743" i="5"/>
  <c r="D743" i="5"/>
  <c r="E743" i="5"/>
  <c r="F743" i="5"/>
  <c r="G743" i="5"/>
  <c r="H743" i="5"/>
  <c r="I743" i="5"/>
  <c r="J743" i="5"/>
  <c r="K743" i="5"/>
  <c r="L743" i="5"/>
  <c r="M743" i="5"/>
  <c r="N743" i="5"/>
  <c r="O743" i="5"/>
  <c r="P743" i="5"/>
  <c r="Q743" i="5"/>
  <c r="R743" i="5"/>
  <c r="C744" i="5"/>
  <c r="D744" i="5"/>
  <c r="E744" i="5"/>
  <c r="F744" i="5"/>
  <c r="G744" i="5"/>
  <c r="H744" i="5"/>
  <c r="I744" i="5"/>
  <c r="J744" i="5"/>
  <c r="K744" i="5"/>
  <c r="L744" i="5"/>
  <c r="M744" i="5"/>
  <c r="N744" i="5"/>
  <c r="O744" i="5"/>
  <c r="P744" i="5"/>
  <c r="Q744" i="5"/>
  <c r="R744" i="5"/>
  <c r="C745" i="5"/>
  <c r="D745" i="5"/>
  <c r="E745" i="5"/>
  <c r="F745" i="5"/>
  <c r="G745" i="5"/>
  <c r="H745" i="5"/>
  <c r="I745" i="5"/>
  <c r="J745" i="5"/>
  <c r="K745" i="5"/>
  <c r="L745" i="5"/>
  <c r="M745" i="5"/>
  <c r="N745" i="5"/>
  <c r="O745" i="5"/>
  <c r="P745" i="5"/>
  <c r="Q745" i="5"/>
  <c r="R745" i="5"/>
  <c r="C746" i="5"/>
  <c r="D746" i="5"/>
  <c r="E746" i="5"/>
  <c r="F746" i="5"/>
  <c r="G746" i="5"/>
  <c r="H746" i="5"/>
  <c r="I746" i="5"/>
  <c r="J746" i="5"/>
  <c r="K746" i="5"/>
  <c r="L746" i="5"/>
  <c r="M746" i="5"/>
  <c r="N746" i="5"/>
  <c r="O746" i="5"/>
  <c r="P746" i="5"/>
  <c r="Q746" i="5"/>
  <c r="R746" i="5"/>
  <c r="C747" i="5"/>
  <c r="D747" i="5"/>
  <c r="E747" i="5"/>
  <c r="F747" i="5"/>
  <c r="G747" i="5"/>
  <c r="H747" i="5"/>
  <c r="I747" i="5"/>
  <c r="J747" i="5"/>
  <c r="K747" i="5"/>
  <c r="L747" i="5"/>
  <c r="M747" i="5"/>
  <c r="N747" i="5"/>
  <c r="O747" i="5"/>
  <c r="P747" i="5"/>
  <c r="Q747" i="5"/>
  <c r="R747" i="5"/>
  <c r="C748" i="5"/>
  <c r="D748" i="5"/>
  <c r="E748" i="5"/>
  <c r="F748" i="5"/>
  <c r="G748" i="5"/>
  <c r="H748" i="5"/>
  <c r="I748" i="5"/>
  <c r="J748" i="5"/>
  <c r="K748" i="5"/>
  <c r="L748" i="5"/>
  <c r="M748" i="5"/>
  <c r="N748" i="5"/>
  <c r="O748" i="5"/>
  <c r="P748" i="5"/>
  <c r="Q748" i="5"/>
  <c r="R748" i="5"/>
  <c r="C749" i="5"/>
  <c r="D749" i="5"/>
  <c r="E749" i="5"/>
  <c r="F749" i="5"/>
  <c r="G749" i="5"/>
  <c r="H749" i="5"/>
  <c r="I749" i="5"/>
  <c r="J749" i="5"/>
  <c r="K749" i="5"/>
  <c r="L749" i="5"/>
  <c r="M749" i="5"/>
  <c r="N749" i="5"/>
  <c r="O749" i="5"/>
  <c r="P749" i="5"/>
  <c r="Q749" i="5"/>
  <c r="R749" i="5"/>
  <c r="C750" i="5"/>
  <c r="D750" i="5"/>
  <c r="E750" i="5"/>
  <c r="F750" i="5"/>
  <c r="G750" i="5"/>
  <c r="H750" i="5"/>
  <c r="I750" i="5"/>
  <c r="J750" i="5"/>
  <c r="K750" i="5"/>
  <c r="L750" i="5"/>
  <c r="M750" i="5"/>
  <c r="N750" i="5"/>
  <c r="O750" i="5"/>
  <c r="P750" i="5"/>
  <c r="Q750" i="5"/>
  <c r="R750" i="5"/>
  <c r="C751" i="5"/>
  <c r="D751" i="5"/>
  <c r="E751" i="5"/>
  <c r="F751" i="5"/>
  <c r="G751" i="5"/>
  <c r="H751" i="5"/>
  <c r="I751" i="5"/>
  <c r="J751" i="5"/>
  <c r="K751" i="5"/>
  <c r="L751" i="5"/>
  <c r="M751" i="5"/>
  <c r="N751" i="5"/>
  <c r="O751" i="5"/>
  <c r="P751" i="5"/>
  <c r="Q751" i="5"/>
  <c r="R751" i="5"/>
  <c r="C752" i="5"/>
  <c r="D752" i="5"/>
  <c r="E752" i="5"/>
  <c r="F752" i="5"/>
  <c r="G752" i="5"/>
  <c r="H752" i="5"/>
  <c r="I752" i="5"/>
  <c r="J752" i="5"/>
  <c r="K752" i="5"/>
  <c r="L752" i="5"/>
  <c r="M752" i="5"/>
  <c r="N752" i="5"/>
  <c r="O752" i="5"/>
  <c r="P752" i="5"/>
  <c r="Q752" i="5"/>
  <c r="R752" i="5"/>
  <c r="C753" i="5"/>
  <c r="D753" i="5"/>
  <c r="E753" i="5"/>
  <c r="F753" i="5"/>
  <c r="G753" i="5"/>
  <c r="H753" i="5"/>
  <c r="I753" i="5"/>
  <c r="J753" i="5"/>
  <c r="K753" i="5"/>
  <c r="L753" i="5"/>
  <c r="M753" i="5"/>
  <c r="N753" i="5"/>
  <c r="O753" i="5"/>
  <c r="P753" i="5"/>
  <c r="Q753" i="5"/>
  <c r="R753" i="5"/>
  <c r="C754" i="5"/>
  <c r="D754" i="5"/>
  <c r="E754" i="5"/>
  <c r="F754" i="5"/>
  <c r="G754" i="5"/>
  <c r="H754" i="5"/>
  <c r="I754" i="5"/>
  <c r="J754" i="5"/>
  <c r="K754" i="5"/>
  <c r="L754" i="5"/>
  <c r="M754" i="5"/>
  <c r="N754" i="5"/>
  <c r="O754" i="5"/>
  <c r="P754" i="5"/>
  <c r="Q754" i="5"/>
  <c r="R754" i="5"/>
  <c r="C755" i="5"/>
  <c r="D755" i="5"/>
  <c r="E755" i="5"/>
  <c r="F755" i="5"/>
  <c r="G755" i="5"/>
  <c r="H755" i="5"/>
  <c r="I755" i="5"/>
  <c r="J755" i="5"/>
  <c r="K755" i="5"/>
  <c r="L755" i="5"/>
  <c r="M755" i="5"/>
  <c r="N755" i="5"/>
  <c r="O755" i="5"/>
  <c r="P755" i="5"/>
  <c r="Q755" i="5"/>
  <c r="R755" i="5"/>
  <c r="C756" i="5"/>
  <c r="D756" i="5"/>
  <c r="E756" i="5"/>
  <c r="F756" i="5"/>
  <c r="G756" i="5"/>
  <c r="H756" i="5"/>
  <c r="I756" i="5"/>
  <c r="J756" i="5"/>
  <c r="K756" i="5"/>
  <c r="L756" i="5"/>
  <c r="M756" i="5"/>
  <c r="N756" i="5"/>
  <c r="O756" i="5"/>
  <c r="P756" i="5"/>
  <c r="Q756" i="5"/>
  <c r="R756" i="5"/>
  <c r="C757" i="5"/>
  <c r="D757" i="5"/>
  <c r="E757" i="5"/>
  <c r="F757" i="5"/>
  <c r="G757" i="5"/>
  <c r="H757" i="5"/>
  <c r="I757" i="5"/>
  <c r="J757" i="5"/>
  <c r="K757" i="5"/>
  <c r="L757" i="5"/>
  <c r="M757" i="5"/>
  <c r="N757" i="5"/>
  <c r="O757" i="5"/>
  <c r="P757" i="5"/>
  <c r="Q757" i="5"/>
  <c r="R757" i="5"/>
  <c r="C758" i="5"/>
  <c r="D758" i="5"/>
  <c r="E758" i="5"/>
  <c r="F758" i="5"/>
  <c r="G758" i="5"/>
  <c r="H758" i="5"/>
  <c r="I758" i="5"/>
  <c r="J758" i="5"/>
  <c r="K758" i="5"/>
  <c r="L758" i="5"/>
  <c r="M758" i="5"/>
  <c r="N758" i="5"/>
  <c r="O758" i="5"/>
  <c r="P758" i="5"/>
  <c r="Q758" i="5"/>
  <c r="R758" i="5"/>
  <c r="C759" i="5"/>
  <c r="D759" i="5"/>
  <c r="E759" i="5"/>
  <c r="F759" i="5"/>
  <c r="G759" i="5"/>
  <c r="H759" i="5"/>
  <c r="I759" i="5"/>
  <c r="J759" i="5"/>
  <c r="K759" i="5"/>
  <c r="L759" i="5"/>
  <c r="M759" i="5"/>
  <c r="N759" i="5"/>
  <c r="O759" i="5"/>
  <c r="P759" i="5"/>
  <c r="Q759" i="5"/>
  <c r="R759" i="5"/>
  <c r="C760" i="5"/>
  <c r="D760" i="5"/>
  <c r="E760" i="5"/>
  <c r="F760" i="5"/>
  <c r="G760" i="5"/>
  <c r="H760" i="5"/>
  <c r="I760" i="5"/>
  <c r="J760" i="5"/>
  <c r="K760" i="5"/>
  <c r="L760" i="5"/>
  <c r="M760" i="5"/>
  <c r="N760" i="5"/>
  <c r="O760" i="5"/>
  <c r="P760" i="5"/>
  <c r="Q760" i="5"/>
  <c r="R760" i="5"/>
  <c r="C761" i="5"/>
  <c r="D761" i="5"/>
  <c r="E761" i="5"/>
  <c r="F761" i="5"/>
  <c r="G761" i="5"/>
  <c r="H761" i="5"/>
  <c r="I761" i="5"/>
  <c r="J761" i="5"/>
  <c r="K761" i="5"/>
  <c r="L761" i="5"/>
  <c r="M761" i="5"/>
  <c r="N761" i="5"/>
  <c r="O761" i="5"/>
  <c r="P761" i="5"/>
  <c r="Q761" i="5"/>
  <c r="R761" i="5"/>
  <c r="C762" i="5"/>
  <c r="D762" i="5"/>
  <c r="E762" i="5"/>
  <c r="F762" i="5"/>
  <c r="G762" i="5"/>
  <c r="H762" i="5"/>
  <c r="I762" i="5"/>
  <c r="J762" i="5"/>
  <c r="K762" i="5"/>
  <c r="L762" i="5"/>
  <c r="M762" i="5"/>
  <c r="N762" i="5"/>
  <c r="O762" i="5"/>
  <c r="P762" i="5"/>
  <c r="Q762" i="5"/>
  <c r="R762" i="5"/>
  <c r="C763" i="5"/>
  <c r="D763" i="5"/>
  <c r="E763" i="5"/>
  <c r="F763" i="5"/>
  <c r="G763" i="5"/>
  <c r="H763" i="5"/>
  <c r="I763" i="5"/>
  <c r="J763" i="5"/>
  <c r="K763" i="5"/>
  <c r="L763" i="5"/>
  <c r="M763" i="5"/>
  <c r="N763" i="5"/>
  <c r="O763" i="5"/>
  <c r="P763" i="5"/>
  <c r="Q763" i="5"/>
  <c r="R763" i="5"/>
  <c r="C764" i="5"/>
  <c r="D764" i="5"/>
  <c r="E764" i="5"/>
  <c r="F764" i="5"/>
  <c r="G764" i="5"/>
  <c r="H764" i="5"/>
  <c r="I764" i="5"/>
  <c r="J764" i="5"/>
  <c r="K764" i="5"/>
  <c r="L764" i="5"/>
  <c r="M764" i="5"/>
  <c r="N764" i="5"/>
  <c r="O764" i="5"/>
  <c r="P764" i="5"/>
  <c r="Q764" i="5"/>
  <c r="R764" i="5"/>
  <c r="C765" i="5"/>
  <c r="D765" i="5"/>
  <c r="E765" i="5"/>
  <c r="F765" i="5"/>
  <c r="G765" i="5"/>
  <c r="H765" i="5"/>
  <c r="I765" i="5"/>
  <c r="J765" i="5"/>
  <c r="K765" i="5"/>
  <c r="L765" i="5"/>
  <c r="M765" i="5"/>
  <c r="N765" i="5"/>
  <c r="O765" i="5"/>
  <c r="P765" i="5"/>
  <c r="Q765" i="5"/>
  <c r="R765" i="5"/>
  <c r="C766" i="5"/>
  <c r="D766" i="5"/>
  <c r="E766" i="5"/>
  <c r="F766" i="5"/>
  <c r="G766" i="5"/>
  <c r="H766" i="5"/>
  <c r="I766" i="5"/>
  <c r="J766" i="5"/>
  <c r="K766" i="5"/>
  <c r="L766" i="5"/>
  <c r="M766" i="5"/>
  <c r="N766" i="5"/>
  <c r="O766" i="5"/>
  <c r="P766" i="5"/>
  <c r="Q766" i="5"/>
  <c r="R766" i="5"/>
  <c r="C767" i="5"/>
  <c r="D767" i="5"/>
  <c r="E767" i="5"/>
  <c r="F767" i="5"/>
  <c r="G767" i="5"/>
  <c r="H767" i="5"/>
  <c r="I767" i="5"/>
  <c r="J767" i="5"/>
  <c r="K767" i="5"/>
  <c r="L767" i="5"/>
  <c r="M767" i="5"/>
  <c r="N767" i="5"/>
  <c r="O767" i="5"/>
  <c r="P767" i="5"/>
  <c r="Q767" i="5"/>
  <c r="R767" i="5"/>
  <c r="C768" i="5"/>
  <c r="D768" i="5"/>
  <c r="E768" i="5"/>
  <c r="F768" i="5"/>
  <c r="G768" i="5"/>
  <c r="H768" i="5"/>
  <c r="I768" i="5"/>
  <c r="J768" i="5"/>
  <c r="K768" i="5"/>
  <c r="L768" i="5"/>
  <c r="M768" i="5"/>
  <c r="N768" i="5"/>
  <c r="O768" i="5"/>
  <c r="P768" i="5"/>
  <c r="Q768" i="5"/>
  <c r="R768" i="5"/>
  <c r="C769" i="5"/>
  <c r="D769" i="5"/>
  <c r="E769" i="5"/>
  <c r="F769" i="5"/>
  <c r="G769" i="5"/>
  <c r="H769" i="5"/>
  <c r="I769" i="5"/>
  <c r="J769" i="5"/>
  <c r="K769" i="5"/>
  <c r="L769" i="5"/>
  <c r="M769" i="5"/>
  <c r="N769" i="5"/>
  <c r="O769" i="5"/>
  <c r="P769" i="5"/>
  <c r="Q769" i="5"/>
  <c r="R769" i="5"/>
  <c r="C770" i="5"/>
  <c r="D770" i="5"/>
  <c r="E770" i="5"/>
  <c r="F770" i="5"/>
  <c r="G770" i="5"/>
  <c r="H770" i="5"/>
  <c r="I770" i="5"/>
  <c r="J770" i="5"/>
  <c r="K770" i="5"/>
  <c r="L770" i="5"/>
  <c r="M770" i="5"/>
  <c r="N770" i="5"/>
  <c r="O770" i="5"/>
  <c r="P770" i="5"/>
  <c r="Q770" i="5"/>
  <c r="R770" i="5"/>
  <c r="C771" i="5"/>
  <c r="D771" i="5"/>
  <c r="E771" i="5"/>
  <c r="F771" i="5"/>
  <c r="G771" i="5"/>
  <c r="H771" i="5"/>
  <c r="I771" i="5"/>
  <c r="J771" i="5"/>
  <c r="K771" i="5"/>
  <c r="L771" i="5"/>
  <c r="M771" i="5"/>
  <c r="N771" i="5"/>
  <c r="O771" i="5"/>
  <c r="P771" i="5"/>
  <c r="Q771" i="5"/>
  <c r="R771" i="5"/>
  <c r="C772" i="5"/>
  <c r="D772" i="5"/>
  <c r="E772" i="5"/>
  <c r="F772" i="5"/>
  <c r="G772" i="5"/>
  <c r="H772" i="5"/>
  <c r="I772" i="5"/>
  <c r="J772" i="5"/>
  <c r="K772" i="5"/>
  <c r="L772" i="5"/>
  <c r="M772" i="5"/>
  <c r="N772" i="5"/>
  <c r="O772" i="5"/>
  <c r="P772" i="5"/>
  <c r="Q772" i="5"/>
  <c r="R772" i="5"/>
  <c r="C773" i="5"/>
  <c r="D773" i="5"/>
  <c r="E773" i="5"/>
  <c r="F773" i="5"/>
  <c r="G773" i="5"/>
  <c r="H773" i="5"/>
  <c r="I773" i="5"/>
  <c r="J773" i="5"/>
  <c r="K773" i="5"/>
  <c r="L773" i="5"/>
  <c r="M773" i="5"/>
  <c r="N773" i="5"/>
  <c r="O773" i="5"/>
  <c r="P773" i="5"/>
  <c r="Q773" i="5"/>
  <c r="R773" i="5"/>
  <c r="C774" i="5"/>
  <c r="D774" i="5"/>
  <c r="E774" i="5"/>
  <c r="F774" i="5"/>
  <c r="G774" i="5"/>
  <c r="H774" i="5"/>
  <c r="I774" i="5"/>
  <c r="J774" i="5"/>
  <c r="K774" i="5"/>
  <c r="L774" i="5"/>
  <c r="M774" i="5"/>
  <c r="N774" i="5"/>
  <c r="O774" i="5"/>
  <c r="P774" i="5"/>
  <c r="Q774" i="5"/>
  <c r="R774" i="5"/>
  <c r="C775" i="5"/>
  <c r="D775" i="5"/>
  <c r="E775" i="5"/>
  <c r="F775" i="5"/>
  <c r="G775" i="5"/>
  <c r="H775" i="5"/>
  <c r="I775" i="5"/>
  <c r="J775" i="5"/>
  <c r="K775" i="5"/>
  <c r="L775" i="5"/>
  <c r="M775" i="5"/>
  <c r="N775" i="5"/>
  <c r="O775" i="5"/>
  <c r="P775" i="5"/>
  <c r="Q775" i="5"/>
  <c r="R775" i="5"/>
  <c r="C776" i="5"/>
  <c r="D776" i="5"/>
  <c r="E776" i="5"/>
  <c r="F776" i="5"/>
  <c r="G776" i="5"/>
  <c r="H776" i="5"/>
  <c r="I776" i="5"/>
  <c r="J776" i="5"/>
  <c r="K776" i="5"/>
  <c r="L776" i="5"/>
  <c r="M776" i="5"/>
  <c r="N776" i="5"/>
  <c r="O776" i="5"/>
  <c r="P776" i="5"/>
  <c r="Q776" i="5"/>
  <c r="R776" i="5"/>
  <c r="C777" i="5"/>
  <c r="D777" i="5"/>
  <c r="E777" i="5"/>
  <c r="F777" i="5"/>
  <c r="G777" i="5"/>
  <c r="H777" i="5"/>
  <c r="I777" i="5"/>
  <c r="J777" i="5"/>
  <c r="K777" i="5"/>
  <c r="L777" i="5"/>
  <c r="M777" i="5"/>
  <c r="N777" i="5"/>
  <c r="O777" i="5"/>
  <c r="P777" i="5"/>
  <c r="Q777" i="5"/>
  <c r="R777" i="5"/>
  <c r="C778" i="5"/>
  <c r="D778" i="5"/>
  <c r="E778" i="5"/>
  <c r="F778" i="5"/>
  <c r="G778" i="5"/>
  <c r="H778" i="5"/>
  <c r="I778" i="5"/>
  <c r="J778" i="5"/>
  <c r="K778" i="5"/>
  <c r="L778" i="5"/>
  <c r="M778" i="5"/>
  <c r="N778" i="5"/>
  <c r="O778" i="5"/>
  <c r="P778" i="5"/>
  <c r="Q778" i="5"/>
  <c r="R778" i="5"/>
  <c r="C779" i="5"/>
  <c r="D779" i="5"/>
  <c r="E779" i="5"/>
  <c r="F779" i="5"/>
  <c r="G779" i="5"/>
  <c r="H779" i="5"/>
  <c r="I779" i="5"/>
  <c r="J779" i="5"/>
  <c r="K779" i="5"/>
  <c r="L779" i="5"/>
  <c r="M779" i="5"/>
  <c r="N779" i="5"/>
  <c r="O779" i="5"/>
  <c r="P779" i="5"/>
  <c r="Q779" i="5"/>
  <c r="R779" i="5"/>
  <c r="C780" i="5"/>
  <c r="D780" i="5"/>
  <c r="E780" i="5"/>
  <c r="F780" i="5"/>
  <c r="G780" i="5"/>
  <c r="H780" i="5"/>
  <c r="I780" i="5"/>
  <c r="J780" i="5"/>
  <c r="K780" i="5"/>
  <c r="L780" i="5"/>
  <c r="M780" i="5"/>
  <c r="N780" i="5"/>
  <c r="O780" i="5"/>
  <c r="P780" i="5"/>
  <c r="Q780" i="5"/>
  <c r="R780" i="5"/>
  <c r="C781" i="5"/>
  <c r="D781" i="5"/>
  <c r="E781" i="5"/>
  <c r="F781" i="5"/>
  <c r="G781" i="5"/>
  <c r="H781" i="5"/>
  <c r="I781" i="5"/>
  <c r="J781" i="5"/>
  <c r="K781" i="5"/>
  <c r="L781" i="5"/>
  <c r="M781" i="5"/>
  <c r="N781" i="5"/>
  <c r="O781" i="5"/>
  <c r="P781" i="5"/>
  <c r="Q781" i="5"/>
  <c r="R781" i="5"/>
  <c r="C782" i="5"/>
  <c r="D782" i="5"/>
  <c r="E782" i="5"/>
  <c r="F782" i="5"/>
  <c r="G782" i="5"/>
  <c r="H782" i="5"/>
  <c r="I782" i="5"/>
  <c r="J782" i="5"/>
  <c r="K782" i="5"/>
  <c r="L782" i="5"/>
  <c r="M782" i="5"/>
  <c r="N782" i="5"/>
  <c r="O782" i="5"/>
  <c r="P782" i="5"/>
  <c r="Q782" i="5"/>
  <c r="R782" i="5"/>
  <c r="C783" i="5"/>
  <c r="D783" i="5"/>
  <c r="E783" i="5"/>
  <c r="F783" i="5"/>
  <c r="G783" i="5"/>
  <c r="H783" i="5"/>
  <c r="I783" i="5"/>
  <c r="J783" i="5"/>
  <c r="K783" i="5"/>
  <c r="L783" i="5"/>
  <c r="M783" i="5"/>
  <c r="N783" i="5"/>
  <c r="O783" i="5"/>
  <c r="P783" i="5"/>
  <c r="Q783" i="5"/>
  <c r="R783" i="5"/>
  <c r="C784" i="5"/>
  <c r="D784" i="5"/>
  <c r="E784" i="5"/>
  <c r="F784" i="5"/>
  <c r="G784" i="5"/>
  <c r="H784" i="5"/>
  <c r="I784" i="5"/>
  <c r="J784" i="5"/>
  <c r="K784" i="5"/>
  <c r="L784" i="5"/>
  <c r="M784" i="5"/>
  <c r="N784" i="5"/>
  <c r="O784" i="5"/>
  <c r="P784" i="5"/>
  <c r="Q784" i="5"/>
  <c r="R784" i="5"/>
  <c r="C785" i="5"/>
  <c r="D785" i="5"/>
  <c r="E785" i="5"/>
  <c r="F785" i="5"/>
  <c r="G785" i="5"/>
  <c r="H785" i="5"/>
  <c r="I785" i="5"/>
  <c r="J785" i="5"/>
  <c r="K785" i="5"/>
  <c r="L785" i="5"/>
  <c r="M785" i="5"/>
  <c r="N785" i="5"/>
  <c r="O785" i="5"/>
  <c r="P785" i="5"/>
  <c r="Q785" i="5"/>
  <c r="R785" i="5"/>
  <c r="C786" i="5"/>
  <c r="D786" i="5"/>
  <c r="E786" i="5"/>
  <c r="F786" i="5"/>
  <c r="G786" i="5"/>
  <c r="H786" i="5"/>
  <c r="I786" i="5"/>
  <c r="J786" i="5"/>
  <c r="K786" i="5"/>
  <c r="L786" i="5"/>
  <c r="M786" i="5"/>
  <c r="N786" i="5"/>
  <c r="O786" i="5"/>
  <c r="P786" i="5"/>
  <c r="Q786" i="5"/>
  <c r="R786" i="5"/>
  <c r="C787" i="5"/>
  <c r="D787" i="5"/>
  <c r="E787" i="5"/>
  <c r="F787" i="5"/>
  <c r="G787" i="5"/>
  <c r="H787" i="5"/>
  <c r="I787" i="5"/>
  <c r="J787" i="5"/>
  <c r="K787" i="5"/>
  <c r="L787" i="5"/>
  <c r="M787" i="5"/>
  <c r="N787" i="5"/>
  <c r="O787" i="5"/>
  <c r="P787" i="5"/>
  <c r="Q787" i="5"/>
  <c r="R787" i="5"/>
  <c r="C788" i="5"/>
  <c r="D788" i="5"/>
  <c r="E788" i="5"/>
  <c r="F788" i="5"/>
  <c r="G788" i="5"/>
  <c r="H788" i="5"/>
  <c r="I788" i="5"/>
  <c r="J788" i="5"/>
  <c r="K788" i="5"/>
  <c r="L788" i="5"/>
  <c r="M788" i="5"/>
  <c r="N788" i="5"/>
  <c r="O788" i="5"/>
  <c r="P788" i="5"/>
  <c r="Q788" i="5"/>
  <c r="R788" i="5"/>
  <c r="C789" i="5"/>
  <c r="D789" i="5"/>
  <c r="E789" i="5"/>
  <c r="F789" i="5"/>
  <c r="G789" i="5"/>
  <c r="H789" i="5"/>
  <c r="I789" i="5"/>
  <c r="J789" i="5"/>
  <c r="K789" i="5"/>
  <c r="L789" i="5"/>
  <c r="M789" i="5"/>
  <c r="N789" i="5"/>
  <c r="O789" i="5"/>
  <c r="P789" i="5"/>
  <c r="Q789" i="5"/>
  <c r="R789" i="5"/>
  <c r="C790" i="5"/>
  <c r="D790" i="5"/>
  <c r="E790" i="5"/>
  <c r="F790" i="5"/>
  <c r="G790" i="5"/>
  <c r="H790" i="5"/>
  <c r="I790" i="5"/>
  <c r="J790" i="5"/>
  <c r="K790" i="5"/>
  <c r="L790" i="5"/>
  <c r="M790" i="5"/>
  <c r="N790" i="5"/>
  <c r="O790" i="5"/>
  <c r="P790" i="5"/>
  <c r="Q790" i="5"/>
  <c r="R790" i="5"/>
  <c r="C791" i="5"/>
  <c r="D791" i="5"/>
  <c r="E791" i="5"/>
  <c r="F791" i="5"/>
  <c r="G791" i="5"/>
  <c r="H791" i="5"/>
  <c r="I791" i="5"/>
  <c r="J791" i="5"/>
  <c r="K791" i="5"/>
  <c r="L791" i="5"/>
  <c r="M791" i="5"/>
  <c r="N791" i="5"/>
  <c r="O791" i="5"/>
  <c r="P791" i="5"/>
  <c r="Q791" i="5"/>
  <c r="R791" i="5"/>
  <c r="C792" i="5"/>
  <c r="D792" i="5"/>
  <c r="E792" i="5"/>
  <c r="F792" i="5"/>
  <c r="G792" i="5"/>
  <c r="H792" i="5"/>
  <c r="I792" i="5"/>
  <c r="J792" i="5"/>
  <c r="K792" i="5"/>
  <c r="L792" i="5"/>
  <c r="M792" i="5"/>
  <c r="N792" i="5"/>
  <c r="O792" i="5"/>
  <c r="P792" i="5"/>
  <c r="Q792" i="5"/>
  <c r="R792" i="5"/>
  <c r="C793" i="5"/>
  <c r="D793" i="5"/>
  <c r="E793" i="5"/>
  <c r="F793" i="5"/>
  <c r="G793" i="5"/>
  <c r="H793" i="5"/>
  <c r="I793" i="5"/>
  <c r="J793" i="5"/>
  <c r="K793" i="5"/>
  <c r="L793" i="5"/>
  <c r="M793" i="5"/>
  <c r="N793" i="5"/>
  <c r="O793" i="5"/>
  <c r="P793" i="5"/>
  <c r="Q793" i="5"/>
  <c r="R793" i="5"/>
  <c r="C794" i="5"/>
  <c r="D794" i="5"/>
  <c r="E794" i="5"/>
  <c r="F794" i="5"/>
  <c r="G794" i="5"/>
  <c r="H794" i="5"/>
  <c r="I794" i="5"/>
  <c r="J794" i="5"/>
  <c r="K794" i="5"/>
  <c r="L794" i="5"/>
  <c r="M794" i="5"/>
  <c r="N794" i="5"/>
  <c r="O794" i="5"/>
  <c r="P794" i="5"/>
  <c r="Q794" i="5"/>
  <c r="R794" i="5"/>
  <c r="C795" i="5"/>
  <c r="D795" i="5"/>
  <c r="E795" i="5"/>
  <c r="F795" i="5"/>
  <c r="G795" i="5"/>
  <c r="H795" i="5"/>
  <c r="I795" i="5"/>
  <c r="J795" i="5"/>
  <c r="K795" i="5"/>
  <c r="L795" i="5"/>
  <c r="M795" i="5"/>
  <c r="N795" i="5"/>
  <c r="O795" i="5"/>
  <c r="P795" i="5"/>
  <c r="Q795" i="5"/>
  <c r="R795" i="5"/>
  <c r="C796" i="5"/>
  <c r="D796" i="5"/>
  <c r="E796" i="5"/>
  <c r="F796" i="5"/>
  <c r="G796" i="5"/>
  <c r="H796" i="5"/>
  <c r="I796" i="5"/>
  <c r="J796" i="5"/>
  <c r="K796" i="5"/>
  <c r="L796" i="5"/>
  <c r="M796" i="5"/>
  <c r="N796" i="5"/>
  <c r="O796" i="5"/>
  <c r="P796" i="5"/>
  <c r="Q796" i="5"/>
  <c r="R796" i="5"/>
  <c r="C797" i="5"/>
  <c r="D797" i="5"/>
  <c r="E797" i="5"/>
  <c r="F797" i="5"/>
  <c r="G797" i="5"/>
  <c r="H797" i="5"/>
  <c r="I797" i="5"/>
  <c r="J797" i="5"/>
  <c r="K797" i="5"/>
  <c r="L797" i="5"/>
  <c r="M797" i="5"/>
  <c r="N797" i="5"/>
  <c r="O797" i="5"/>
  <c r="P797" i="5"/>
  <c r="Q797" i="5"/>
  <c r="R797" i="5"/>
  <c r="C798" i="5"/>
  <c r="D798" i="5"/>
  <c r="E798" i="5"/>
  <c r="F798" i="5"/>
  <c r="G798" i="5"/>
  <c r="H798" i="5"/>
  <c r="I798" i="5"/>
  <c r="J798" i="5"/>
  <c r="K798" i="5"/>
  <c r="L798" i="5"/>
  <c r="M798" i="5"/>
  <c r="N798" i="5"/>
  <c r="O798" i="5"/>
  <c r="P798" i="5"/>
  <c r="Q798" i="5"/>
  <c r="R798" i="5"/>
  <c r="C799" i="5"/>
  <c r="D799" i="5"/>
  <c r="E799" i="5"/>
  <c r="F799" i="5"/>
  <c r="G799" i="5"/>
  <c r="H799" i="5"/>
  <c r="I799" i="5"/>
  <c r="J799" i="5"/>
  <c r="K799" i="5"/>
  <c r="L799" i="5"/>
  <c r="M799" i="5"/>
  <c r="N799" i="5"/>
  <c r="O799" i="5"/>
  <c r="P799" i="5"/>
  <c r="Q799" i="5"/>
  <c r="R799" i="5"/>
  <c r="C800" i="5"/>
  <c r="D800" i="5"/>
  <c r="E800" i="5"/>
  <c r="F800" i="5"/>
  <c r="G800" i="5"/>
  <c r="H800" i="5"/>
  <c r="I800" i="5"/>
  <c r="J800" i="5"/>
  <c r="K800" i="5"/>
  <c r="L800" i="5"/>
  <c r="M800" i="5"/>
  <c r="N800" i="5"/>
  <c r="O800" i="5"/>
  <c r="P800" i="5"/>
  <c r="Q800" i="5"/>
  <c r="R800" i="5"/>
  <c r="C801" i="5"/>
  <c r="D801" i="5"/>
  <c r="E801" i="5"/>
  <c r="F801" i="5"/>
  <c r="G801" i="5"/>
  <c r="H801" i="5"/>
  <c r="I801" i="5"/>
  <c r="J801" i="5"/>
  <c r="K801" i="5"/>
  <c r="L801" i="5"/>
  <c r="M801" i="5"/>
  <c r="N801" i="5"/>
  <c r="O801" i="5"/>
  <c r="P801" i="5"/>
  <c r="Q801" i="5"/>
  <c r="R801" i="5"/>
  <c r="C802" i="5"/>
  <c r="D802" i="5"/>
  <c r="E802" i="5"/>
  <c r="F802" i="5"/>
  <c r="G802" i="5"/>
  <c r="H802" i="5"/>
  <c r="I802" i="5"/>
  <c r="J802" i="5"/>
  <c r="K802" i="5"/>
  <c r="L802" i="5"/>
  <c r="M802" i="5"/>
  <c r="N802" i="5"/>
  <c r="O802" i="5"/>
  <c r="P802" i="5"/>
  <c r="Q802" i="5"/>
  <c r="R802" i="5"/>
  <c r="C803" i="5"/>
  <c r="D803" i="5"/>
  <c r="E803" i="5"/>
  <c r="F803" i="5"/>
  <c r="G803" i="5"/>
  <c r="H803" i="5"/>
  <c r="I803" i="5"/>
  <c r="J803" i="5"/>
  <c r="K803" i="5"/>
  <c r="L803" i="5"/>
  <c r="M803" i="5"/>
  <c r="N803" i="5"/>
  <c r="O803" i="5"/>
  <c r="P803" i="5"/>
  <c r="Q803" i="5"/>
  <c r="R803" i="5"/>
  <c r="C804" i="5"/>
  <c r="D804" i="5"/>
  <c r="E804" i="5"/>
  <c r="F804" i="5"/>
  <c r="G804" i="5"/>
  <c r="H804" i="5"/>
  <c r="I804" i="5"/>
  <c r="J804" i="5"/>
  <c r="K804" i="5"/>
  <c r="L804" i="5"/>
  <c r="M804" i="5"/>
  <c r="N804" i="5"/>
  <c r="O804" i="5"/>
  <c r="P804" i="5"/>
  <c r="Q804" i="5"/>
  <c r="R804" i="5"/>
  <c r="C805" i="5"/>
  <c r="D805" i="5"/>
  <c r="E805" i="5"/>
  <c r="F805" i="5"/>
  <c r="G805" i="5"/>
  <c r="H805" i="5"/>
  <c r="I805" i="5"/>
  <c r="J805" i="5"/>
  <c r="K805" i="5"/>
  <c r="L805" i="5"/>
  <c r="M805" i="5"/>
  <c r="N805" i="5"/>
  <c r="O805" i="5"/>
  <c r="P805" i="5"/>
  <c r="Q805" i="5"/>
  <c r="R805" i="5"/>
  <c r="C806" i="5"/>
  <c r="D806" i="5"/>
  <c r="E806" i="5"/>
  <c r="F806" i="5"/>
  <c r="G806" i="5"/>
  <c r="H806" i="5"/>
  <c r="I806" i="5"/>
  <c r="J806" i="5"/>
  <c r="K806" i="5"/>
  <c r="L806" i="5"/>
  <c r="M806" i="5"/>
  <c r="N806" i="5"/>
  <c r="O806" i="5"/>
  <c r="P806" i="5"/>
  <c r="Q806" i="5"/>
  <c r="R806" i="5"/>
  <c r="C807" i="5"/>
  <c r="D807" i="5"/>
  <c r="E807" i="5"/>
  <c r="F807" i="5"/>
  <c r="G807" i="5"/>
  <c r="H807" i="5"/>
  <c r="I807" i="5"/>
  <c r="J807" i="5"/>
  <c r="K807" i="5"/>
  <c r="L807" i="5"/>
  <c r="M807" i="5"/>
  <c r="N807" i="5"/>
  <c r="O807" i="5"/>
  <c r="P807" i="5"/>
  <c r="Q807" i="5"/>
  <c r="R807" i="5"/>
  <c r="C808" i="5"/>
  <c r="D808" i="5"/>
  <c r="E808" i="5"/>
  <c r="F808" i="5"/>
  <c r="G808" i="5"/>
  <c r="H808" i="5"/>
  <c r="I808" i="5"/>
  <c r="J808" i="5"/>
  <c r="K808" i="5"/>
  <c r="L808" i="5"/>
  <c r="M808" i="5"/>
  <c r="N808" i="5"/>
  <c r="O808" i="5"/>
  <c r="P808" i="5"/>
  <c r="Q808" i="5"/>
  <c r="R808" i="5"/>
  <c r="C809" i="5"/>
  <c r="D809" i="5"/>
  <c r="E809" i="5"/>
  <c r="F809" i="5"/>
  <c r="G809" i="5"/>
  <c r="H809" i="5"/>
  <c r="I809" i="5"/>
  <c r="J809" i="5"/>
  <c r="K809" i="5"/>
  <c r="L809" i="5"/>
  <c r="M809" i="5"/>
  <c r="N809" i="5"/>
  <c r="O809" i="5"/>
  <c r="P809" i="5"/>
  <c r="Q809" i="5"/>
  <c r="R809" i="5"/>
  <c r="C810" i="5"/>
  <c r="D810" i="5"/>
  <c r="E810" i="5"/>
  <c r="F810" i="5"/>
  <c r="G810" i="5"/>
  <c r="H810" i="5"/>
  <c r="I810" i="5"/>
  <c r="J810" i="5"/>
  <c r="K810" i="5"/>
  <c r="L810" i="5"/>
  <c r="M810" i="5"/>
  <c r="N810" i="5"/>
  <c r="O810" i="5"/>
  <c r="P810" i="5"/>
  <c r="Q810" i="5"/>
  <c r="R810" i="5"/>
  <c r="C811" i="5"/>
  <c r="D811" i="5"/>
  <c r="E811" i="5"/>
  <c r="F811" i="5"/>
  <c r="G811" i="5"/>
  <c r="H811" i="5"/>
  <c r="I811" i="5"/>
  <c r="J811" i="5"/>
  <c r="K811" i="5"/>
  <c r="L811" i="5"/>
  <c r="M811" i="5"/>
  <c r="N811" i="5"/>
  <c r="O811" i="5"/>
  <c r="P811" i="5"/>
  <c r="Q811" i="5"/>
  <c r="R811" i="5"/>
  <c r="C812" i="5"/>
  <c r="D812" i="5"/>
  <c r="E812" i="5"/>
  <c r="F812" i="5"/>
  <c r="G812" i="5"/>
  <c r="H812" i="5"/>
  <c r="I812" i="5"/>
  <c r="J812" i="5"/>
  <c r="K812" i="5"/>
  <c r="L812" i="5"/>
  <c r="M812" i="5"/>
  <c r="N812" i="5"/>
  <c r="O812" i="5"/>
  <c r="P812" i="5"/>
  <c r="Q812" i="5"/>
  <c r="R812" i="5"/>
  <c r="C813" i="5"/>
  <c r="D813" i="5"/>
  <c r="E813" i="5"/>
  <c r="F813" i="5"/>
  <c r="G813" i="5"/>
  <c r="H813" i="5"/>
  <c r="I813" i="5"/>
  <c r="J813" i="5"/>
  <c r="K813" i="5"/>
  <c r="L813" i="5"/>
  <c r="M813" i="5"/>
  <c r="N813" i="5"/>
  <c r="O813" i="5"/>
  <c r="P813" i="5"/>
  <c r="Q813" i="5"/>
  <c r="R813" i="5"/>
  <c r="C814" i="5"/>
  <c r="D814" i="5"/>
  <c r="E814" i="5"/>
  <c r="F814" i="5"/>
  <c r="G814" i="5"/>
  <c r="H814" i="5"/>
  <c r="I814" i="5"/>
  <c r="J814" i="5"/>
  <c r="K814" i="5"/>
  <c r="L814" i="5"/>
  <c r="M814" i="5"/>
  <c r="N814" i="5"/>
  <c r="O814" i="5"/>
  <c r="P814" i="5"/>
  <c r="Q814" i="5"/>
  <c r="R814" i="5"/>
  <c r="C815" i="5"/>
  <c r="D815" i="5"/>
  <c r="E815" i="5"/>
  <c r="F815" i="5"/>
  <c r="G815" i="5"/>
  <c r="H815" i="5"/>
  <c r="I815" i="5"/>
  <c r="J815" i="5"/>
  <c r="K815" i="5"/>
  <c r="L815" i="5"/>
  <c r="M815" i="5"/>
  <c r="N815" i="5"/>
  <c r="O815" i="5"/>
  <c r="P815" i="5"/>
  <c r="Q815" i="5"/>
  <c r="R815" i="5"/>
  <c r="C816" i="5"/>
  <c r="D816" i="5"/>
  <c r="E816" i="5"/>
  <c r="F816" i="5"/>
  <c r="G816" i="5"/>
  <c r="H816" i="5"/>
  <c r="I816" i="5"/>
  <c r="J816" i="5"/>
  <c r="K816" i="5"/>
  <c r="L816" i="5"/>
  <c r="M816" i="5"/>
  <c r="N816" i="5"/>
  <c r="O816" i="5"/>
  <c r="P816" i="5"/>
  <c r="Q816" i="5"/>
  <c r="R816" i="5"/>
  <c r="C817" i="5"/>
  <c r="D817" i="5"/>
  <c r="E817" i="5"/>
  <c r="F817" i="5"/>
  <c r="G817" i="5"/>
  <c r="H817" i="5"/>
  <c r="I817" i="5"/>
  <c r="J817" i="5"/>
  <c r="K817" i="5"/>
  <c r="L817" i="5"/>
  <c r="M817" i="5"/>
  <c r="N817" i="5"/>
  <c r="O817" i="5"/>
  <c r="P817" i="5"/>
  <c r="Q817" i="5"/>
  <c r="R817" i="5"/>
  <c r="C818" i="5"/>
  <c r="D818" i="5"/>
  <c r="E818" i="5"/>
  <c r="F818" i="5"/>
  <c r="G818" i="5"/>
  <c r="H818" i="5"/>
  <c r="I818" i="5"/>
  <c r="J818" i="5"/>
  <c r="K818" i="5"/>
  <c r="L818" i="5"/>
  <c r="M818" i="5"/>
  <c r="N818" i="5"/>
  <c r="O818" i="5"/>
  <c r="P818" i="5"/>
  <c r="Q818" i="5"/>
  <c r="R818" i="5"/>
  <c r="C819" i="5"/>
  <c r="D819" i="5"/>
  <c r="E819" i="5"/>
  <c r="F819" i="5"/>
  <c r="G819" i="5"/>
  <c r="H819" i="5"/>
  <c r="I819" i="5"/>
  <c r="J819" i="5"/>
  <c r="K819" i="5"/>
  <c r="L819" i="5"/>
  <c r="M819" i="5"/>
  <c r="N819" i="5"/>
  <c r="O819" i="5"/>
  <c r="P819" i="5"/>
  <c r="Q819" i="5"/>
  <c r="R819" i="5"/>
  <c r="C820" i="5"/>
  <c r="D820" i="5"/>
  <c r="E820" i="5"/>
  <c r="F820" i="5"/>
  <c r="G820" i="5"/>
  <c r="H820" i="5"/>
  <c r="I820" i="5"/>
  <c r="J820" i="5"/>
  <c r="K820" i="5"/>
  <c r="L820" i="5"/>
  <c r="M820" i="5"/>
  <c r="N820" i="5"/>
  <c r="O820" i="5"/>
  <c r="P820" i="5"/>
  <c r="Q820" i="5"/>
  <c r="R820" i="5"/>
  <c r="C821" i="5"/>
  <c r="D821" i="5"/>
  <c r="E821" i="5"/>
  <c r="F821" i="5"/>
  <c r="G821" i="5"/>
  <c r="H821" i="5"/>
  <c r="I821" i="5"/>
  <c r="J821" i="5"/>
  <c r="K821" i="5"/>
  <c r="L821" i="5"/>
  <c r="M821" i="5"/>
  <c r="N821" i="5"/>
  <c r="O821" i="5"/>
  <c r="P821" i="5"/>
  <c r="Q821" i="5"/>
  <c r="R821" i="5"/>
  <c r="C822" i="5"/>
  <c r="D822" i="5"/>
  <c r="E822" i="5"/>
  <c r="F822" i="5"/>
  <c r="G822" i="5"/>
  <c r="H822" i="5"/>
  <c r="I822" i="5"/>
  <c r="J822" i="5"/>
  <c r="K822" i="5"/>
  <c r="L822" i="5"/>
  <c r="M822" i="5"/>
  <c r="N822" i="5"/>
  <c r="O822" i="5"/>
  <c r="P822" i="5"/>
  <c r="Q822" i="5"/>
  <c r="R822" i="5"/>
  <c r="C823" i="5"/>
  <c r="D823" i="5"/>
  <c r="E823" i="5"/>
  <c r="F823" i="5"/>
  <c r="G823" i="5"/>
  <c r="H823" i="5"/>
  <c r="I823" i="5"/>
  <c r="J823" i="5"/>
  <c r="K823" i="5"/>
  <c r="L823" i="5"/>
  <c r="M823" i="5"/>
  <c r="N823" i="5"/>
  <c r="O823" i="5"/>
  <c r="P823" i="5"/>
  <c r="Q823" i="5"/>
  <c r="R823" i="5"/>
  <c r="C824" i="5"/>
  <c r="D824" i="5"/>
  <c r="E824" i="5"/>
  <c r="F824" i="5"/>
  <c r="G824" i="5"/>
  <c r="H824" i="5"/>
  <c r="I824" i="5"/>
  <c r="J824" i="5"/>
  <c r="K824" i="5"/>
  <c r="L824" i="5"/>
  <c r="M824" i="5"/>
  <c r="N824" i="5"/>
  <c r="O824" i="5"/>
  <c r="P824" i="5"/>
  <c r="Q824" i="5"/>
  <c r="R824" i="5"/>
  <c r="C825" i="5"/>
  <c r="D825" i="5"/>
  <c r="E825" i="5"/>
  <c r="F825" i="5"/>
  <c r="G825" i="5"/>
  <c r="H825" i="5"/>
  <c r="I825" i="5"/>
  <c r="J825" i="5"/>
  <c r="K825" i="5"/>
  <c r="L825" i="5"/>
  <c r="M825" i="5"/>
  <c r="N825" i="5"/>
  <c r="O825" i="5"/>
  <c r="P825" i="5"/>
  <c r="Q825" i="5"/>
  <c r="R825" i="5"/>
  <c r="C826" i="5"/>
  <c r="D826" i="5"/>
  <c r="E826" i="5"/>
  <c r="F826" i="5"/>
  <c r="G826" i="5"/>
  <c r="H826" i="5"/>
  <c r="I826" i="5"/>
  <c r="J826" i="5"/>
  <c r="K826" i="5"/>
  <c r="L826" i="5"/>
  <c r="M826" i="5"/>
  <c r="N826" i="5"/>
  <c r="O826" i="5"/>
  <c r="P826" i="5"/>
  <c r="Q826" i="5"/>
  <c r="R826" i="5"/>
  <c r="C827" i="5"/>
  <c r="D827" i="5"/>
  <c r="E827" i="5"/>
  <c r="F827" i="5"/>
  <c r="G827" i="5"/>
  <c r="H827" i="5"/>
  <c r="I827" i="5"/>
  <c r="J827" i="5"/>
  <c r="K827" i="5"/>
  <c r="L827" i="5"/>
  <c r="M827" i="5"/>
  <c r="N827" i="5"/>
  <c r="O827" i="5"/>
  <c r="P827" i="5"/>
  <c r="Q827" i="5"/>
  <c r="R827" i="5"/>
  <c r="C828" i="5"/>
  <c r="D828" i="5"/>
  <c r="E828" i="5"/>
  <c r="F828" i="5"/>
  <c r="G828" i="5"/>
  <c r="H828" i="5"/>
  <c r="I828" i="5"/>
  <c r="J828" i="5"/>
  <c r="K828" i="5"/>
  <c r="L828" i="5"/>
  <c r="M828" i="5"/>
  <c r="N828" i="5"/>
  <c r="O828" i="5"/>
  <c r="P828" i="5"/>
  <c r="Q828" i="5"/>
  <c r="R828" i="5"/>
  <c r="C829" i="5"/>
  <c r="D829" i="5"/>
  <c r="E829" i="5"/>
  <c r="F829" i="5"/>
  <c r="G829" i="5"/>
  <c r="H829" i="5"/>
  <c r="I829" i="5"/>
  <c r="J829" i="5"/>
  <c r="K829" i="5"/>
  <c r="L829" i="5"/>
  <c r="M829" i="5"/>
  <c r="N829" i="5"/>
  <c r="O829" i="5"/>
  <c r="P829" i="5"/>
  <c r="Q829" i="5"/>
  <c r="R829" i="5"/>
  <c r="C830" i="5"/>
  <c r="D830" i="5"/>
  <c r="E830" i="5"/>
  <c r="F830" i="5"/>
  <c r="G830" i="5"/>
  <c r="H830" i="5"/>
  <c r="I830" i="5"/>
  <c r="J830" i="5"/>
  <c r="K830" i="5"/>
  <c r="L830" i="5"/>
  <c r="M830" i="5"/>
  <c r="N830" i="5"/>
  <c r="O830" i="5"/>
  <c r="P830" i="5"/>
  <c r="Q830" i="5"/>
  <c r="R830" i="5"/>
  <c r="C831" i="5"/>
  <c r="D831" i="5"/>
  <c r="E831" i="5"/>
  <c r="F831" i="5"/>
  <c r="G831" i="5"/>
  <c r="H831" i="5"/>
  <c r="I831" i="5"/>
  <c r="J831" i="5"/>
  <c r="K831" i="5"/>
  <c r="L831" i="5"/>
  <c r="M831" i="5"/>
  <c r="N831" i="5"/>
  <c r="O831" i="5"/>
  <c r="P831" i="5"/>
  <c r="Q831" i="5"/>
  <c r="R831" i="5"/>
  <c r="C832" i="5"/>
  <c r="D832" i="5"/>
  <c r="E832" i="5"/>
  <c r="F832" i="5"/>
  <c r="G832" i="5"/>
  <c r="H832" i="5"/>
  <c r="I832" i="5"/>
  <c r="J832" i="5"/>
  <c r="K832" i="5"/>
  <c r="L832" i="5"/>
  <c r="M832" i="5"/>
  <c r="N832" i="5"/>
  <c r="O832" i="5"/>
  <c r="P832" i="5"/>
  <c r="Q832" i="5"/>
  <c r="R832" i="5"/>
  <c r="C833" i="5"/>
  <c r="D833" i="5"/>
  <c r="E833" i="5"/>
  <c r="F833" i="5"/>
  <c r="G833" i="5"/>
  <c r="H833" i="5"/>
  <c r="I833" i="5"/>
  <c r="J833" i="5"/>
  <c r="K833" i="5"/>
  <c r="L833" i="5"/>
  <c r="M833" i="5"/>
  <c r="N833" i="5"/>
  <c r="O833" i="5"/>
  <c r="P833" i="5"/>
  <c r="Q833" i="5"/>
  <c r="R833" i="5"/>
  <c r="C834" i="5"/>
  <c r="D834" i="5"/>
  <c r="E834" i="5"/>
  <c r="F834" i="5"/>
  <c r="G834" i="5"/>
  <c r="H834" i="5"/>
  <c r="I834" i="5"/>
  <c r="J834" i="5"/>
  <c r="K834" i="5"/>
  <c r="L834" i="5"/>
  <c r="M834" i="5"/>
  <c r="N834" i="5"/>
  <c r="O834" i="5"/>
  <c r="P834" i="5"/>
  <c r="Q834" i="5"/>
  <c r="R834" i="5"/>
  <c r="C835" i="5"/>
  <c r="D835" i="5"/>
  <c r="E835" i="5"/>
  <c r="F835" i="5"/>
  <c r="G835" i="5"/>
  <c r="H835" i="5"/>
  <c r="I835" i="5"/>
  <c r="J835" i="5"/>
  <c r="K835" i="5"/>
  <c r="L835" i="5"/>
  <c r="M835" i="5"/>
  <c r="N835" i="5"/>
  <c r="O835" i="5"/>
  <c r="P835" i="5"/>
  <c r="Q835" i="5"/>
  <c r="R835" i="5"/>
  <c r="C836" i="5"/>
  <c r="D836" i="5"/>
  <c r="E836" i="5"/>
  <c r="F836" i="5"/>
  <c r="G836" i="5"/>
  <c r="H836" i="5"/>
  <c r="I836" i="5"/>
  <c r="J836" i="5"/>
  <c r="K836" i="5"/>
  <c r="L836" i="5"/>
  <c r="M836" i="5"/>
  <c r="N836" i="5"/>
  <c r="O836" i="5"/>
  <c r="P836" i="5"/>
  <c r="Q836" i="5"/>
  <c r="R836" i="5"/>
  <c r="C837" i="5"/>
  <c r="D837" i="5"/>
  <c r="E837" i="5"/>
  <c r="F837" i="5"/>
  <c r="G837" i="5"/>
  <c r="H837" i="5"/>
  <c r="I837" i="5"/>
  <c r="J837" i="5"/>
  <c r="K837" i="5"/>
  <c r="L837" i="5"/>
  <c r="M837" i="5"/>
  <c r="N837" i="5"/>
  <c r="O837" i="5"/>
  <c r="P837" i="5"/>
  <c r="Q837" i="5"/>
  <c r="R837" i="5"/>
  <c r="C838" i="5"/>
  <c r="D838" i="5"/>
  <c r="E838" i="5"/>
  <c r="F838" i="5"/>
  <c r="G838" i="5"/>
  <c r="H838" i="5"/>
  <c r="I838" i="5"/>
  <c r="J838" i="5"/>
  <c r="K838" i="5"/>
  <c r="L838" i="5"/>
  <c r="M838" i="5"/>
  <c r="N838" i="5"/>
  <c r="O838" i="5"/>
  <c r="P838" i="5"/>
  <c r="Q838" i="5"/>
  <c r="R838" i="5"/>
  <c r="C839" i="5"/>
  <c r="D839" i="5"/>
  <c r="E839" i="5"/>
  <c r="F839" i="5"/>
  <c r="G839" i="5"/>
  <c r="H839" i="5"/>
  <c r="I839" i="5"/>
  <c r="J839" i="5"/>
  <c r="K839" i="5"/>
  <c r="L839" i="5"/>
  <c r="M839" i="5"/>
  <c r="N839" i="5"/>
  <c r="O839" i="5"/>
  <c r="P839" i="5"/>
  <c r="Q839" i="5"/>
  <c r="R839" i="5"/>
  <c r="C840" i="5"/>
  <c r="D840" i="5"/>
  <c r="E840" i="5"/>
  <c r="F840" i="5"/>
  <c r="G840" i="5"/>
  <c r="H840" i="5"/>
  <c r="I840" i="5"/>
  <c r="J840" i="5"/>
  <c r="K840" i="5"/>
  <c r="L840" i="5"/>
  <c r="M840" i="5"/>
  <c r="N840" i="5"/>
  <c r="O840" i="5"/>
  <c r="P840" i="5"/>
  <c r="Q840" i="5"/>
  <c r="R840" i="5"/>
  <c r="C841" i="5"/>
  <c r="D841" i="5"/>
  <c r="E841" i="5"/>
  <c r="F841" i="5"/>
  <c r="G841" i="5"/>
  <c r="H841" i="5"/>
  <c r="I841" i="5"/>
  <c r="J841" i="5"/>
  <c r="K841" i="5"/>
  <c r="L841" i="5"/>
  <c r="M841" i="5"/>
  <c r="N841" i="5"/>
  <c r="O841" i="5"/>
  <c r="P841" i="5"/>
  <c r="Q841" i="5"/>
  <c r="R841" i="5"/>
  <c r="C842" i="5"/>
  <c r="D842" i="5"/>
  <c r="E842" i="5"/>
  <c r="F842" i="5"/>
  <c r="G842" i="5"/>
  <c r="H842" i="5"/>
  <c r="I842" i="5"/>
  <c r="J842" i="5"/>
  <c r="K842" i="5"/>
  <c r="L842" i="5"/>
  <c r="M842" i="5"/>
  <c r="N842" i="5"/>
  <c r="O842" i="5"/>
  <c r="P842" i="5"/>
  <c r="Q842" i="5"/>
  <c r="R842" i="5"/>
  <c r="C843" i="5"/>
  <c r="D843" i="5"/>
  <c r="E843" i="5"/>
  <c r="F843" i="5"/>
  <c r="G843" i="5"/>
  <c r="H843" i="5"/>
  <c r="I843" i="5"/>
  <c r="J843" i="5"/>
  <c r="K843" i="5"/>
  <c r="L843" i="5"/>
  <c r="M843" i="5"/>
  <c r="N843" i="5"/>
  <c r="O843" i="5"/>
  <c r="P843" i="5"/>
  <c r="Q843" i="5"/>
  <c r="R843" i="5"/>
  <c r="C844" i="5"/>
  <c r="D844" i="5"/>
  <c r="E844" i="5"/>
  <c r="F844" i="5"/>
  <c r="G844" i="5"/>
  <c r="H844" i="5"/>
  <c r="I844" i="5"/>
  <c r="J844" i="5"/>
  <c r="K844" i="5"/>
  <c r="L844" i="5"/>
  <c r="M844" i="5"/>
  <c r="N844" i="5"/>
  <c r="O844" i="5"/>
  <c r="P844" i="5"/>
  <c r="Q844" i="5"/>
  <c r="R844" i="5"/>
  <c r="C845" i="5"/>
  <c r="D845" i="5"/>
  <c r="E845" i="5"/>
  <c r="F845" i="5"/>
  <c r="G845" i="5"/>
  <c r="H845" i="5"/>
  <c r="I845" i="5"/>
  <c r="J845" i="5"/>
  <c r="K845" i="5"/>
  <c r="L845" i="5"/>
  <c r="M845" i="5"/>
  <c r="N845" i="5"/>
  <c r="O845" i="5"/>
  <c r="P845" i="5"/>
  <c r="Q845" i="5"/>
  <c r="R845" i="5"/>
  <c r="C846" i="5"/>
  <c r="D846" i="5"/>
  <c r="E846" i="5"/>
  <c r="F846" i="5"/>
  <c r="G846" i="5"/>
  <c r="H846" i="5"/>
  <c r="I846" i="5"/>
  <c r="J846" i="5"/>
  <c r="K846" i="5"/>
  <c r="L846" i="5"/>
  <c r="M846" i="5"/>
  <c r="N846" i="5"/>
  <c r="O846" i="5"/>
  <c r="P846" i="5"/>
  <c r="Q846" i="5"/>
  <c r="R846" i="5"/>
  <c r="C847" i="5"/>
  <c r="D847" i="5"/>
  <c r="E847" i="5"/>
  <c r="F847" i="5"/>
  <c r="G847" i="5"/>
  <c r="H847" i="5"/>
  <c r="I847" i="5"/>
  <c r="J847" i="5"/>
  <c r="K847" i="5"/>
  <c r="L847" i="5"/>
  <c r="M847" i="5"/>
  <c r="N847" i="5"/>
  <c r="O847" i="5"/>
  <c r="P847" i="5"/>
  <c r="Q847" i="5"/>
  <c r="R847" i="5"/>
  <c r="C848" i="5"/>
  <c r="D848" i="5"/>
  <c r="E848" i="5"/>
  <c r="F848" i="5"/>
  <c r="G848" i="5"/>
  <c r="H848" i="5"/>
  <c r="I848" i="5"/>
  <c r="J848" i="5"/>
  <c r="K848" i="5"/>
  <c r="L848" i="5"/>
  <c r="M848" i="5"/>
  <c r="N848" i="5"/>
  <c r="O848" i="5"/>
  <c r="P848" i="5"/>
  <c r="Q848" i="5"/>
  <c r="R848" i="5"/>
  <c r="C849" i="5"/>
  <c r="D849" i="5"/>
  <c r="E849" i="5"/>
  <c r="F849" i="5"/>
  <c r="G849" i="5"/>
  <c r="H849" i="5"/>
  <c r="I849" i="5"/>
  <c r="J849" i="5"/>
  <c r="K849" i="5"/>
  <c r="L849" i="5"/>
  <c r="M849" i="5"/>
  <c r="N849" i="5"/>
  <c r="O849" i="5"/>
  <c r="P849" i="5"/>
  <c r="Q849" i="5"/>
  <c r="R849" i="5"/>
  <c r="C850" i="5"/>
  <c r="D850" i="5"/>
  <c r="E850" i="5"/>
  <c r="F850" i="5"/>
  <c r="G850" i="5"/>
  <c r="H850" i="5"/>
  <c r="I850" i="5"/>
  <c r="J850" i="5"/>
  <c r="K850" i="5"/>
  <c r="L850" i="5"/>
  <c r="M850" i="5"/>
  <c r="N850" i="5"/>
  <c r="O850" i="5"/>
  <c r="P850" i="5"/>
  <c r="Q850" i="5"/>
  <c r="R850" i="5"/>
  <c r="C851" i="5"/>
  <c r="D851" i="5"/>
  <c r="E851" i="5"/>
  <c r="F851" i="5"/>
  <c r="G851" i="5"/>
  <c r="H851" i="5"/>
  <c r="I851" i="5"/>
  <c r="J851" i="5"/>
  <c r="K851" i="5"/>
  <c r="L851" i="5"/>
  <c r="M851" i="5"/>
  <c r="N851" i="5"/>
  <c r="O851" i="5"/>
  <c r="P851" i="5"/>
  <c r="Q851" i="5"/>
  <c r="R851" i="5"/>
  <c r="C852" i="5"/>
  <c r="D852" i="5"/>
  <c r="E852" i="5"/>
  <c r="F852" i="5"/>
  <c r="G852" i="5"/>
  <c r="H852" i="5"/>
  <c r="I852" i="5"/>
  <c r="J852" i="5"/>
  <c r="K852" i="5"/>
  <c r="L852" i="5"/>
  <c r="M852" i="5"/>
  <c r="N852" i="5"/>
  <c r="O852" i="5"/>
  <c r="P852" i="5"/>
  <c r="Q852" i="5"/>
  <c r="R852" i="5"/>
  <c r="C853" i="5"/>
  <c r="D853" i="5"/>
  <c r="E853" i="5"/>
  <c r="F853" i="5"/>
  <c r="G853" i="5"/>
  <c r="H853" i="5"/>
  <c r="I853" i="5"/>
  <c r="J853" i="5"/>
  <c r="K853" i="5"/>
  <c r="L853" i="5"/>
  <c r="M853" i="5"/>
  <c r="N853" i="5"/>
  <c r="O853" i="5"/>
  <c r="P853" i="5"/>
  <c r="Q853" i="5"/>
  <c r="R853" i="5"/>
  <c r="C854" i="5"/>
  <c r="D854" i="5"/>
  <c r="E854" i="5"/>
  <c r="F854" i="5"/>
  <c r="G854" i="5"/>
  <c r="H854" i="5"/>
  <c r="I854" i="5"/>
  <c r="J854" i="5"/>
  <c r="K854" i="5"/>
  <c r="L854" i="5"/>
  <c r="M854" i="5"/>
  <c r="N854" i="5"/>
  <c r="O854" i="5"/>
  <c r="P854" i="5"/>
  <c r="Q854" i="5"/>
  <c r="R854" i="5"/>
  <c r="C855" i="5"/>
  <c r="D855" i="5"/>
  <c r="E855" i="5"/>
  <c r="F855" i="5"/>
  <c r="G855" i="5"/>
  <c r="H855" i="5"/>
  <c r="I855" i="5"/>
  <c r="J855" i="5"/>
  <c r="K855" i="5"/>
  <c r="L855" i="5"/>
  <c r="M855" i="5"/>
  <c r="N855" i="5"/>
  <c r="O855" i="5"/>
  <c r="P855" i="5"/>
  <c r="Q855" i="5"/>
  <c r="R855" i="5"/>
  <c r="C856" i="5"/>
  <c r="D856" i="5"/>
  <c r="E856" i="5"/>
  <c r="F856" i="5"/>
  <c r="G856" i="5"/>
  <c r="H856" i="5"/>
  <c r="I856" i="5"/>
  <c r="J856" i="5"/>
  <c r="K856" i="5"/>
  <c r="L856" i="5"/>
  <c r="M856" i="5"/>
  <c r="N856" i="5"/>
  <c r="O856" i="5"/>
  <c r="P856" i="5"/>
  <c r="Q856" i="5"/>
  <c r="R856" i="5"/>
  <c r="C857" i="5"/>
  <c r="D857" i="5"/>
  <c r="E857" i="5"/>
  <c r="F857" i="5"/>
  <c r="G857" i="5"/>
  <c r="H857" i="5"/>
  <c r="I857" i="5"/>
  <c r="J857" i="5"/>
  <c r="K857" i="5"/>
  <c r="L857" i="5"/>
  <c r="M857" i="5"/>
  <c r="N857" i="5"/>
  <c r="O857" i="5"/>
  <c r="P857" i="5"/>
  <c r="Q857" i="5"/>
  <c r="R857" i="5"/>
  <c r="C858" i="5"/>
  <c r="D858" i="5"/>
  <c r="E858" i="5"/>
  <c r="F858" i="5"/>
  <c r="G858" i="5"/>
  <c r="H858" i="5"/>
  <c r="I858" i="5"/>
  <c r="J858" i="5"/>
  <c r="K858" i="5"/>
  <c r="L858" i="5"/>
  <c r="M858" i="5"/>
  <c r="N858" i="5"/>
  <c r="O858" i="5"/>
  <c r="P858" i="5"/>
  <c r="Q858" i="5"/>
  <c r="R858" i="5"/>
  <c r="C859" i="5"/>
  <c r="D859" i="5"/>
  <c r="E859" i="5"/>
  <c r="F859" i="5"/>
  <c r="G859" i="5"/>
  <c r="H859" i="5"/>
  <c r="I859" i="5"/>
  <c r="J859" i="5"/>
  <c r="K859" i="5"/>
  <c r="L859" i="5"/>
  <c r="M859" i="5"/>
  <c r="N859" i="5"/>
  <c r="O859" i="5"/>
  <c r="P859" i="5"/>
  <c r="Q859" i="5"/>
  <c r="R859" i="5"/>
  <c r="C860" i="5"/>
  <c r="D860" i="5"/>
  <c r="E860" i="5"/>
  <c r="F860" i="5"/>
  <c r="G860" i="5"/>
  <c r="H860" i="5"/>
  <c r="I860" i="5"/>
  <c r="J860" i="5"/>
  <c r="K860" i="5"/>
  <c r="L860" i="5"/>
  <c r="M860" i="5"/>
  <c r="N860" i="5"/>
  <c r="O860" i="5"/>
  <c r="P860" i="5"/>
  <c r="Q860" i="5"/>
  <c r="R860" i="5"/>
  <c r="C861" i="5"/>
  <c r="D861" i="5"/>
  <c r="E861" i="5"/>
  <c r="F861" i="5"/>
  <c r="G861" i="5"/>
  <c r="H861" i="5"/>
  <c r="I861" i="5"/>
  <c r="J861" i="5"/>
  <c r="K861" i="5"/>
  <c r="L861" i="5"/>
  <c r="M861" i="5"/>
  <c r="N861" i="5"/>
  <c r="O861" i="5"/>
  <c r="P861" i="5"/>
  <c r="Q861" i="5"/>
  <c r="R861" i="5"/>
  <c r="C862" i="5"/>
  <c r="D862" i="5"/>
  <c r="E862" i="5"/>
  <c r="F862" i="5"/>
  <c r="G862" i="5"/>
  <c r="H862" i="5"/>
  <c r="I862" i="5"/>
  <c r="J862" i="5"/>
  <c r="K862" i="5"/>
  <c r="L862" i="5"/>
  <c r="M862" i="5"/>
  <c r="N862" i="5"/>
  <c r="O862" i="5"/>
  <c r="P862" i="5"/>
  <c r="Q862" i="5"/>
  <c r="R862" i="5"/>
  <c r="C863" i="5"/>
  <c r="D863" i="5"/>
  <c r="E863" i="5"/>
  <c r="F863" i="5"/>
  <c r="G863" i="5"/>
  <c r="H863" i="5"/>
  <c r="I863" i="5"/>
  <c r="J863" i="5"/>
  <c r="K863" i="5"/>
  <c r="L863" i="5"/>
  <c r="M863" i="5"/>
  <c r="N863" i="5"/>
  <c r="O863" i="5"/>
  <c r="P863" i="5"/>
  <c r="Q863" i="5"/>
  <c r="R863" i="5"/>
  <c r="C864" i="5"/>
  <c r="D864" i="5"/>
  <c r="E864" i="5"/>
  <c r="F864" i="5"/>
  <c r="G864" i="5"/>
  <c r="H864" i="5"/>
  <c r="I864" i="5"/>
  <c r="J864" i="5"/>
  <c r="K864" i="5"/>
  <c r="L864" i="5"/>
  <c r="M864" i="5"/>
  <c r="N864" i="5"/>
  <c r="O864" i="5"/>
  <c r="P864" i="5"/>
  <c r="Q864" i="5"/>
  <c r="R864" i="5"/>
  <c r="C865" i="5"/>
  <c r="D865" i="5"/>
  <c r="E865" i="5"/>
  <c r="F865" i="5"/>
  <c r="G865" i="5"/>
  <c r="H865" i="5"/>
  <c r="I865" i="5"/>
  <c r="J865" i="5"/>
  <c r="K865" i="5"/>
  <c r="L865" i="5"/>
  <c r="M865" i="5"/>
  <c r="N865" i="5"/>
  <c r="O865" i="5"/>
  <c r="P865" i="5"/>
  <c r="Q865" i="5"/>
  <c r="R865" i="5"/>
  <c r="C866" i="5"/>
  <c r="D866" i="5"/>
  <c r="E866" i="5"/>
  <c r="F866" i="5"/>
  <c r="G866" i="5"/>
  <c r="H866" i="5"/>
  <c r="I866" i="5"/>
  <c r="J866" i="5"/>
  <c r="K866" i="5"/>
  <c r="L866" i="5"/>
  <c r="M866" i="5"/>
  <c r="N866" i="5"/>
  <c r="O866" i="5"/>
  <c r="P866" i="5"/>
  <c r="Q866" i="5"/>
  <c r="R866" i="5"/>
  <c r="C867" i="5"/>
  <c r="D867" i="5"/>
  <c r="E867" i="5"/>
  <c r="F867" i="5"/>
  <c r="G867" i="5"/>
  <c r="H867" i="5"/>
  <c r="I867" i="5"/>
  <c r="J867" i="5"/>
  <c r="K867" i="5"/>
  <c r="L867" i="5"/>
  <c r="M867" i="5"/>
  <c r="N867" i="5"/>
  <c r="O867" i="5"/>
  <c r="P867" i="5"/>
  <c r="Q867" i="5"/>
  <c r="R867" i="5"/>
  <c r="C868" i="5"/>
  <c r="D868" i="5"/>
  <c r="E868" i="5"/>
  <c r="F868" i="5"/>
  <c r="G868" i="5"/>
  <c r="H868" i="5"/>
  <c r="I868" i="5"/>
  <c r="J868" i="5"/>
  <c r="K868" i="5"/>
  <c r="L868" i="5"/>
  <c r="M868" i="5"/>
  <c r="N868" i="5"/>
  <c r="O868" i="5"/>
  <c r="P868" i="5"/>
  <c r="Q868" i="5"/>
  <c r="R868" i="5"/>
  <c r="C869" i="5"/>
  <c r="D869" i="5"/>
  <c r="E869" i="5"/>
  <c r="F869" i="5"/>
  <c r="G869" i="5"/>
  <c r="H869" i="5"/>
  <c r="I869" i="5"/>
  <c r="J869" i="5"/>
  <c r="K869" i="5"/>
  <c r="L869" i="5"/>
  <c r="M869" i="5"/>
  <c r="N869" i="5"/>
  <c r="O869" i="5"/>
  <c r="P869" i="5"/>
  <c r="Q869" i="5"/>
  <c r="R869" i="5"/>
  <c r="C870" i="5"/>
  <c r="D870" i="5"/>
  <c r="E870" i="5"/>
  <c r="F870" i="5"/>
  <c r="G870" i="5"/>
  <c r="H870" i="5"/>
  <c r="I870" i="5"/>
  <c r="J870" i="5"/>
  <c r="K870" i="5"/>
  <c r="L870" i="5"/>
  <c r="M870" i="5"/>
  <c r="N870" i="5"/>
  <c r="O870" i="5"/>
  <c r="P870" i="5"/>
  <c r="Q870" i="5"/>
  <c r="R870" i="5"/>
  <c r="C871" i="5"/>
  <c r="D871" i="5"/>
  <c r="E871" i="5"/>
  <c r="F871" i="5"/>
  <c r="G871" i="5"/>
  <c r="H871" i="5"/>
  <c r="I871" i="5"/>
  <c r="J871" i="5"/>
  <c r="K871" i="5"/>
  <c r="L871" i="5"/>
  <c r="M871" i="5"/>
  <c r="N871" i="5"/>
  <c r="O871" i="5"/>
  <c r="P871" i="5"/>
  <c r="Q871" i="5"/>
  <c r="R871" i="5"/>
  <c r="C872" i="5"/>
  <c r="D872" i="5"/>
  <c r="E872" i="5"/>
  <c r="F872" i="5"/>
  <c r="G872" i="5"/>
  <c r="H872" i="5"/>
  <c r="I872" i="5"/>
  <c r="J872" i="5"/>
  <c r="K872" i="5"/>
  <c r="L872" i="5"/>
  <c r="M872" i="5"/>
  <c r="N872" i="5"/>
  <c r="O872" i="5"/>
  <c r="P872" i="5"/>
  <c r="Q872" i="5"/>
  <c r="R872" i="5"/>
  <c r="C873" i="5"/>
  <c r="D873" i="5"/>
  <c r="E873" i="5"/>
  <c r="F873" i="5"/>
  <c r="G873" i="5"/>
  <c r="H873" i="5"/>
  <c r="I873" i="5"/>
  <c r="J873" i="5"/>
  <c r="K873" i="5"/>
  <c r="L873" i="5"/>
  <c r="M873" i="5"/>
  <c r="N873" i="5"/>
  <c r="O873" i="5"/>
  <c r="P873" i="5"/>
  <c r="Q873" i="5"/>
  <c r="R873" i="5"/>
  <c r="C874" i="5"/>
  <c r="D874" i="5"/>
  <c r="E874" i="5"/>
  <c r="F874" i="5"/>
  <c r="G874" i="5"/>
  <c r="H874" i="5"/>
  <c r="I874" i="5"/>
  <c r="J874" i="5"/>
  <c r="K874" i="5"/>
  <c r="L874" i="5"/>
  <c r="M874" i="5"/>
  <c r="N874" i="5"/>
  <c r="O874" i="5"/>
  <c r="P874" i="5"/>
  <c r="Q874" i="5"/>
  <c r="R874" i="5"/>
  <c r="C875" i="5"/>
  <c r="D875" i="5"/>
  <c r="E875" i="5"/>
  <c r="F875" i="5"/>
  <c r="G875" i="5"/>
  <c r="H875" i="5"/>
  <c r="I875" i="5"/>
  <c r="J875" i="5"/>
  <c r="K875" i="5"/>
  <c r="L875" i="5"/>
  <c r="M875" i="5"/>
  <c r="N875" i="5"/>
  <c r="O875" i="5"/>
  <c r="P875" i="5"/>
  <c r="Q875" i="5"/>
  <c r="R875" i="5"/>
  <c r="C876" i="5"/>
  <c r="D876" i="5"/>
  <c r="E876" i="5"/>
  <c r="F876" i="5"/>
  <c r="G876" i="5"/>
  <c r="H876" i="5"/>
  <c r="I876" i="5"/>
  <c r="J876" i="5"/>
  <c r="K876" i="5"/>
  <c r="L876" i="5"/>
  <c r="M876" i="5"/>
  <c r="N876" i="5"/>
  <c r="O876" i="5"/>
  <c r="P876" i="5"/>
  <c r="Q876" i="5"/>
  <c r="R876" i="5"/>
  <c r="C877" i="5"/>
  <c r="D877" i="5"/>
  <c r="E877" i="5"/>
  <c r="F877" i="5"/>
  <c r="G877" i="5"/>
  <c r="H877" i="5"/>
  <c r="I877" i="5"/>
  <c r="J877" i="5"/>
  <c r="K877" i="5"/>
  <c r="L877" i="5"/>
  <c r="M877" i="5"/>
  <c r="N877" i="5"/>
  <c r="O877" i="5"/>
  <c r="P877" i="5"/>
  <c r="Q877" i="5"/>
  <c r="R877" i="5"/>
  <c r="C878" i="5"/>
  <c r="D878" i="5"/>
  <c r="E878" i="5"/>
  <c r="F878" i="5"/>
  <c r="G878" i="5"/>
  <c r="H878" i="5"/>
  <c r="I878" i="5"/>
  <c r="J878" i="5"/>
  <c r="K878" i="5"/>
  <c r="L878" i="5"/>
  <c r="M878" i="5"/>
  <c r="N878" i="5"/>
  <c r="O878" i="5"/>
  <c r="P878" i="5"/>
  <c r="Q878" i="5"/>
  <c r="R878" i="5"/>
  <c r="C879" i="5"/>
  <c r="D879" i="5"/>
  <c r="E879" i="5"/>
  <c r="F879" i="5"/>
  <c r="G879" i="5"/>
  <c r="H879" i="5"/>
  <c r="I879" i="5"/>
  <c r="J879" i="5"/>
  <c r="K879" i="5"/>
  <c r="L879" i="5"/>
  <c r="M879" i="5"/>
  <c r="N879" i="5"/>
  <c r="O879" i="5"/>
  <c r="P879" i="5"/>
  <c r="Q879" i="5"/>
  <c r="R879" i="5"/>
  <c r="C880" i="5"/>
  <c r="D880" i="5"/>
  <c r="E880" i="5"/>
  <c r="F880" i="5"/>
  <c r="G880" i="5"/>
  <c r="H880" i="5"/>
  <c r="I880" i="5"/>
  <c r="J880" i="5"/>
  <c r="K880" i="5"/>
  <c r="L880" i="5"/>
  <c r="M880" i="5"/>
  <c r="N880" i="5"/>
  <c r="O880" i="5"/>
  <c r="P880" i="5"/>
  <c r="Q880" i="5"/>
  <c r="R880" i="5"/>
  <c r="C881" i="5"/>
  <c r="D881" i="5"/>
  <c r="E881" i="5"/>
  <c r="F881" i="5"/>
  <c r="G881" i="5"/>
  <c r="H881" i="5"/>
  <c r="I881" i="5"/>
  <c r="J881" i="5"/>
  <c r="K881" i="5"/>
  <c r="L881" i="5"/>
  <c r="M881" i="5"/>
  <c r="N881" i="5"/>
  <c r="O881" i="5"/>
  <c r="P881" i="5"/>
  <c r="Q881" i="5"/>
  <c r="R881" i="5"/>
  <c r="C882" i="5"/>
  <c r="D882" i="5"/>
  <c r="E882" i="5"/>
  <c r="F882" i="5"/>
  <c r="G882" i="5"/>
  <c r="H882" i="5"/>
  <c r="I882" i="5"/>
  <c r="J882" i="5"/>
  <c r="K882" i="5"/>
  <c r="L882" i="5"/>
  <c r="M882" i="5"/>
  <c r="N882" i="5"/>
  <c r="O882" i="5"/>
  <c r="P882" i="5"/>
  <c r="Q882" i="5"/>
  <c r="R882" i="5"/>
  <c r="C883" i="5"/>
  <c r="D883" i="5"/>
  <c r="E883" i="5"/>
  <c r="F883" i="5"/>
  <c r="G883" i="5"/>
  <c r="H883" i="5"/>
  <c r="I883" i="5"/>
  <c r="J883" i="5"/>
  <c r="K883" i="5"/>
  <c r="L883" i="5"/>
  <c r="M883" i="5"/>
  <c r="N883" i="5"/>
  <c r="O883" i="5"/>
  <c r="P883" i="5"/>
  <c r="Q883" i="5"/>
  <c r="R883" i="5"/>
  <c r="C884" i="5"/>
  <c r="D884" i="5"/>
  <c r="E884" i="5"/>
  <c r="F884" i="5"/>
  <c r="G884" i="5"/>
  <c r="H884" i="5"/>
  <c r="I884" i="5"/>
  <c r="J884" i="5"/>
  <c r="K884" i="5"/>
  <c r="L884" i="5"/>
  <c r="M884" i="5"/>
  <c r="N884" i="5"/>
  <c r="O884" i="5"/>
  <c r="P884" i="5"/>
  <c r="Q884" i="5"/>
  <c r="R884" i="5"/>
  <c r="C885" i="5"/>
  <c r="D885" i="5"/>
  <c r="E885" i="5"/>
  <c r="F885" i="5"/>
  <c r="G885" i="5"/>
  <c r="H885" i="5"/>
  <c r="I885" i="5"/>
  <c r="J885" i="5"/>
  <c r="K885" i="5"/>
  <c r="L885" i="5"/>
  <c r="M885" i="5"/>
  <c r="N885" i="5"/>
  <c r="O885" i="5"/>
  <c r="P885" i="5"/>
  <c r="Q885" i="5"/>
  <c r="R885" i="5"/>
  <c r="C886" i="5"/>
  <c r="D886" i="5"/>
  <c r="E886" i="5"/>
  <c r="F886" i="5"/>
  <c r="G886" i="5"/>
  <c r="H886" i="5"/>
  <c r="I886" i="5"/>
  <c r="J886" i="5"/>
  <c r="K886" i="5"/>
  <c r="L886" i="5"/>
  <c r="M886" i="5"/>
  <c r="N886" i="5"/>
  <c r="O886" i="5"/>
  <c r="P886" i="5"/>
  <c r="Q886" i="5"/>
  <c r="R886" i="5"/>
  <c r="C887" i="5"/>
  <c r="D887" i="5"/>
  <c r="E887" i="5"/>
  <c r="F887" i="5"/>
  <c r="G887" i="5"/>
  <c r="H887" i="5"/>
  <c r="I887" i="5"/>
  <c r="J887" i="5"/>
  <c r="K887" i="5"/>
  <c r="L887" i="5"/>
  <c r="M887" i="5"/>
  <c r="N887" i="5"/>
  <c r="O887" i="5"/>
  <c r="P887" i="5"/>
  <c r="Q887" i="5"/>
  <c r="R887" i="5"/>
  <c r="C888" i="5"/>
  <c r="D888" i="5"/>
  <c r="E888" i="5"/>
  <c r="F888" i="5"/>
  <c r="G888" i="5"/>
  <c r="H888" i="5"/>
  <c r="I888" i="5"/>
  <c r="J888" i="5"/>
  <c r="K888" i="5"/>
  <c r="L888" i="5"/>
  <c r="M888" i="5"/>
  <c r="N888" i="5"/>
  <c r="O888" i="5"/>
  <c r="P888" i="5"/>
  <c r="Q888" i="5"/>
  <c r="R888" i="5"/>
  <c r="C889" i="5"/>
  <c r="D889" i="5"/>
  <c r="E889" i="5"/>
  <c r="F889" i="5"/>
  <c r="G889" i="5"/>
  <c r="H889" i="5"/>
  <c r="I889" i="5"/>
  <c r="J889" i="5"/>
  <c r="K889" i="5"/>
  <c r="L889" i="5"/>
  <c r="M889" i="5"/>
  <c r="N889" i="5"/>
  <c r="O889" i="5"/>
  <c r="P889" i="5"/>
  <c r="Q889" i="5"/>
  <c r="R889" i="5"/>
  <c r="C890" i="5"/>
  <c r="D890" i="5"/>
  <c r="E890" i="5"/>
  <c r="F890" i="5"/>
  <c r="G890" i="5"/>
  <c r="H890" i="5"/>
  <c r="I890" i="5"/>
  <c r="J890" i="5"/>
  <c r="K890" i="5"/>
  <c r="L890" i="5"/>
  <c r="M890" i="5"/>
  <c r="N890" i="5"/>
  <c r="O890" i="5"/>
  <c r="P890" i="5"/>
  <c r="Q890" i="5"/>
  <c r="R890" i="5"/>
  <c r="C891" i="5"/>
  <c r="D891" i="5"/>
  <c r="E891" i="5"/>
  <c r="F891" i="5"/>
  <c r="G891" i="5"/>
  <c r="H891" i="5"/>
  <c r="I891" i="5"/>
  <c r="J891" i="5"/>
  <c r="K891" i="5"/>
  <c r="L891" i="5"/>
  <c r="M891" i="5"/>
  <c r="N891" i="5"/>
  <c r="O891" i="5"/>
  <c r="P891" i="5"/>
  <c r="Q891" i="5"/>
  <c r="R891" i="5"/>
  <c r="C892" i="5"/>
  <c r="D892" i="5"/>
  <c r="E892" i="5"/>
  <c r="F892" i="5"/>
  <c r="G892" i="5"/>
  <c r="H892" i="5"/>
  <c r="I892" i="5"/>
  <c r="J892" i="5"/>
  <c r="K892" i="5"/>
  <c r="L892" i="5"/>
  <c r="M892" i="5"/>
  <c r="N892" i="5"/>
  <c r="O892" i="5"/>
  <c r="P892" i="5"/>
  <c r="Q892" i="5"/>
  <c r="R892" i="5"/>
  <c r="C893" i="5"/>
  <c r="D893" i="5"/>
  <c r="E893" i="5"/>
  <c r="F893" i="5"/>
  <c r="G893" i="5"/>
  <c r="H893" i="5"/>
  <c r="I893" i="5"/>
  <c r="J893" i="5"/>
  <c r="K893" i="5"/>
  <c r="L893" i="5"/>
  <c r="M893" i="5"/>
  <c r="N893" i="5"/>
  <c r="O893" i="5"/>
  <c r="P893" i="5"/>
  <c r="Q893" i="5"/>
  <c r="R893" i="5"/>
  <c r="C894" i="5"/>
  <c r="D894" i="5"/>
  <c r="E894" i="5"/>
  <c r="F894" i="5"/>
  <c r="G894" i="5"/>
  <c r="H894" i="5"/>
  <c r="I894" i="5"/>
  <c r="J894" i="5"/>
  <c r="K894" i="5"/>
  <c r="L894" i="5"/>
  <c r="M894" i="5"/>
  <c r="N894" i="5"/>
  <c r="O894" i="5"/>
  <c r="P894" i="5"/>
  <c r="Q894" i="5"/>
  <c r="R894" i="5"/>
  <c r="C895" i="5"/>
  <c r="D895" i="5"/>
  <c r="E895" i="5"/>
  <c r="F895" i="5"/>
  <c r="G895" i="5"/>
  <c r="H895" i="5"/>
  <c r="I895" i="5"/>
  <c r="J895" i="5"/>
  <c r="K895" i="5"/>
  <c r="L895" i="5"/>
  <c r="M895" i="5"/>
  <c r="N895" i="5"/>
  <c r="O895" i="5"/>
  <c r="P895" i="5"/>
  <c r="Q895" i="5"/>
  <c r="R895" i="5"/>
  <c r="C896" i="5"/>
  <c r="D896" i="5"/>
  <c r="E896" i="5"/>
  <c r="F896" i="5"/>
  <c r="G896" i="5"/>
  <c r="H896" i="5"/>
  <c r="I896" i="5"/>
  <c r="J896" i="5"/>
  <c r="K896" i="5"/>
  <c r="L896" i="5"/>
  <c r="M896" i="5"/>
  <c r="N896" i="5"/>
  <c r="O896" i="5"/>
  <c r="P896" i="5"/>
  <c r="Q896" i="5"/>
  <c r="R896" i="5"/>
  <c r="C897" i="5"/>
  <c r="D897" i="5"/>
  <c r="E897" i="5"/>
  <c r="F897" i="5"/>
  <c r="G897" i="5"/>
  <c r="H897" i="5"/>
  <c r="I897" i="5"/>
  <c r="J897" i="5"/>
  <c r="K897" i="5"/>
  <c r="L897" i="5"/>
  <c r="M897" i="5"/>
  <c r="N897" i="5"/>
  <c r="O897" i="5"/>
  <c r="P897" i="5"/>
  <c r="Q897" i="5"/>
  <c r="R897" i="5"/>
  <c r="C898" i="5"/>
  <c r="D898" i="5"/>
  <c r="E898" i="5"/>
  <c r="F898" i="5"/>
  <c r="G898" i="5"/>
  <c r="H898" i="5"/>
  <c r="I898" i="5"/>
  <c r="J898" i="5"/>
  <c r="K898" i="5"/>
  <c r="L898" i="5"/>
  <c r="M898" i="5"/>
  <c r="N898" i="5"/>
  <c r="O898" i="5"/>
  <c r="P898" i="5"/>
  <c r="Q898" i="5"/>
  <c r="R898" i="5"/>
  <c r="C899" i="5"/>
  <c r="D899" i="5"/>
  <c r="E899" i="5"/>
  <c r="F899" i="5"/>
  <c r="G899" i="5"/>
  <c r="H899" i="5"/>
  <c r="I899" i="5"/>
  <c r="J899" i="5"/>
  <c r="K899" i="5"/>
  <c r="L899" i="5"/>
  <c r="M899" i="5"/>
  <c r="N899" i="5"/>
  <c r="O899" i="5"/>
  <c r="P899" i="5"/>
  <c r="Q899" i="5"/>
  <c r="R899" i="5"/>
  <c r="C900" i="5"/>
  <c r="D900" i="5"/>
  <c r="E900" i="5"/>
  <c r="F900" i="5"/>
  <c r="G900" i="5"/>
  <c r="H900" i="5"/>
  <c r="I900" i="5"/>
  <c r="J900" i="5"/>
  <c r="K900" i="5"/>
  <c r="L900" i="5"/>
  <c r="M900" i="5"/>
  <c r="N900" i="5"/>
  <c r="O900" i="5"/>
  <c r="P900" i="5"/>
  <c r="Q900" i="5"/>
  <c r="R900" i="5"/>
  <c r="C901" i="5"/>
  <c r="D901" i="5"/>
  <c r="E901" i="5"/>
  <c r="F901" i="5"/>
  <c r="G901" i="5"/>
  <c r="H901" i="5"/>
  <c r="I901" i="5"/>
  <c r="J901" i="5"/>
  <c r="K901" i="5"/>
  <c r="L901" i="5"/>
  <c r="M901" i="5"/>
  <c r="N901" i="5"/>
  <c r="O901" i="5"/>
  <c r="P901" i="5"/>
  <c r="Q901" i="5"/>
  <c r="R901" i="5"/>
  <c r="C902" i="5"/>
  <c r="D902" i="5"/>
  <c r="E902" i="5"/>
  <c r="F902" i="5"/>
  <c r="G902" i="5"/>
  <c r="H902" i="5"/>
  <c r="I902" i="5"/>
  <c r="J902" i="5"/>
  <c r="K902" i="5"/>
  <c r="L902" i="5"/>
  <c r="M902" i="5"/>
  <c r="N902" i="5"/>
  <c r="O902" i="5"/>
  <c r="P902" i="5"/>
  <c r="Q902" i="5"/>
  <c r="R902" i="5"/>
  <c r="C903" i="5"/>
  <c r="D903" i="5"/>
  <c r="E903" i="5"/>
  <c r="F903" i="5"/>
  <c r="G903" i="5"/>
  <c r="H903" i="5"/>
  <c r="I903" i="5"/>
  <c r="J903" i="5"/>
  <c r="K903" i="5"/>
  <c r="L903" i="5"/>
  <c r="M903" i="5"/>
  <c r="N903" i="5"/>
  <c r="O903" i="5"/>
  <c r="P903" i="5"/>
  <c r="Q903" i="5"/>
  <c r="R903" i="5"/>
  <c r="C904" i="5"/>
  <c r="D904" i="5"/>
  <c r="E904" i="5"/>
  <c r="F904" i="5"/>
  <c r="G904" i="5"/>
  <c r="H904" i="5"/>
  <c r="I904" i="5"/>
  <c r="J904" i="5"/>
  <c r="K904" i="5"/>
  <c r="L904" i="5"/>
  <c r="M904" i="5"/>
  <c r="N904" i="5"/>
  <c r="O904" i="5"/>
  <c r="P904" i="5"/>
  <c r="Q904" i="5"/>
  <c r="R904" i="5"/>
  <c r="C905" i="5"/>
  <c r="D905" i="5"/>
  <c r="E905" i="5"/>
  <c r="F905" i="5"/>
  <c r="G905" i="5"/>
  <c r="H905" i="5"/>
  <c r="I905" i="5"/>
  <c r="J905" i="5"/>
  <c r="K905" i="5"/>
  <c r="L905" i="5"/>
  <c r="M905" i="5"/>
  <c r="N905" i="5"/>
  <c r="O905" i="5"/>
  <c r="P905" i="5"/>
  <c r="Q905" i="5"/>
  <c r="R905" i="5"/>
  <c r="C906" i="5"/>
  <c r="D906" i="5"/>
  <c r="E906" i="5"/>
  <c r="F906" i="5"/>
  <c r="G906" i="5"/>
  <c r="H906" i="5"/>
  <c r="I906" i="5"/>
  <c r="J906" i="5"/>
  <c r="K906" i="5"/>
  <c r="L906" i="5"/>
  <c r="M906" i="5"/>
  <c r="N906" i="5"/>
  <c r="O906" i="5"/>
  <c r="P906" i="5"/>
  <c r="Q906" i="5"/>
  <c r="R906" i="5"/>
  <c r="C907" i="5"/>
  <c r="D907" i="5"/>
  <c r="E907" i="5"/>
  <c r="F907" i="5"/>
  <c r="G907" i="5"/>
  <c r="H907" i="5"/>
  <c r="I907" i="5"/>
  <c r="J907" i="5"/>
  <c r="K907" i="5"/>
  <c r="L907" i="5"/>
  <c r="M907" i="5"/>
  <c r="N907" i="5"/>
  <c r="O907" i="5"/>
  <c r="P907" i="5"/>
  <c r="Q907" i="5"/>
  <c r="R907" i="5"/>
  <c r="C908" i="5"/>
  <c r="D908" i="5"/>
  <c r="E908" i="5"/>
  <c r="F908" i="5"/>
  <c r="G908" i="5"/>
  <c r="H908" i="5"/>
  <c r="I908" i="5"/>
  <c r="J908" i="5"/>
  <c r="K908" i="5"/>
  <c r="L908" i="5"/>
  <c r="M908" i="5"/>
  <c r="N908" i="5"/>
  <c r="O908" i="5"/>
  <c r="P908" i="5"/>
  <c r="Q908" i="5"/>
  <c r="R908" i="5"/>
  <c r="C909" i="5"/>
  <c r="D909" i="5"/>
  <c r="E909" i="5"/>
  <c r="F909" i="5"/>
  <c r="G909" i="5"/>
  <c r="H909" i="5"/>
  <c r="I909" i="5"/>
  <c r="J909" i="5"/>
  <c r="K909" i="5"/>
  <c r="L909" i="5"/>
  <c r="M909" i="5"/>
  <c r="N909" i="5"/>
  <c r="O909" i="5"/>
  <c r="P909" i="5"/>
  <c r="Q909" i="5"/>
  <c r="R909" i="5"/>
  <c r="C910" i="5"/>
  <c r="D910" i="5"/>
  <c r="E910" i="5"/>
  <c r="F910" i="5"/>
  <c r="G910" i="5"/>
  <c r="H910" i="5"/>
  <c r="I910" i="5"/>
  <c r="J910" i="5"/>
  <c r="K910" i="5"/>
  <c r="L910" i="5"/>
  <c r="M910" i="5"/>
  <c r="N910" i="5"/>
  <c r="O910" i="5"/>
  <c r="P910" i="5"/>
  <c r="Q910" i="5"/>
  <c r="R910" i="5"/>
  <c r="C911" i="5"/>
  <c r="D911" i="5"/>
  <c r="E911" i="5"/>
  <c r="F911" i="5"/>
  <c r="G911" i="5"/>
  <c r="H911" i="5"/>
  <c r="I911" i="5"/>
  <c r="J911" i="5"/>
  <c r="K911" i="5"/>
  <c r="L911" i="5"/>
  <c r="M911" i="5"/>
  <c r="N911" i="5"/>
  <c r="O911" i="5"/>
  <c r="P911" i="5"/>
  <c r="Q911" i="5"/>
  <c r="R911" i="5"/>
  <c r="C912" i="5"/>
  <c r="D912" i="5"/>
  <c r="E912" i="5"/>
  <c r="F912" i="5"/>
  <c r="G912" i="5"/>
  <c r="H912" i="5"/>
  <c r="I912" i="5"/>
  <c r="J912" i="5"/>
  <c r="K912" i="5"/>
  <c r="L912" i="5"/>
  <c r="M912" i="5"/>
  <c r="N912" i="5"/>
  <c r="O912" i="5"/>
  <c r="P912" i="5"/>
  <c r="Q912" i="5"/>
  <c r="R912" i="5"/>
  <c r="C913" i="5"/>
  <c r="D913" i="5"/>
  <c r="E913" i="5"/>
  <c r="F913" i="5"/>
  <c r="G913" i="5"/>
  <c r="H913" i="5"/>
  <c r="I913" i="5"/>
  <c r="J913" i="5"/>
  <c r="K913" i="5"/>
  <c r="L913" i="5"/>
  <c r="M913" i="5"/>
  <c r="N913" i="5"/>
  <c r="O913" i="5"/>
  <c r="P913" i="5"/>
  <c r="Q913" i="5"/>
  <c r="R913" i="5"/>
  <c r="C914" i="5"/>
  <c r="D914" i="5"/>
  <c r="E914" i="5"/>
  <c r="F914" i="5"/>
  <c r="G914" i="5"/>
  <c r="H914" i="5"/>
  <c r="I914" i="5"/>
  <c r="J914" i="5"/>
  <c r="K914" i="5"/>
  <c r="L914" i="5"/>
  <c r="M914" i="5"/>
  <c r="N914" i="5"/>
  <c r="O914" i="5"/>
  <c r="P914" i="5"/>
  <c r="Q914" i="5"/>
  <c r="R914" i="5"/>
  <c r="C915" i="5"/>
  <c r="D915" i="5"/>
  <c r="E915" i="5"/>
  <c r="F915" i="5"/>
  <c r="G915" i="5"/>
  <c r="H915" i="5"/>
  <c r="I915" i="5"/>
  <c r="J915" i="5"/>
  <c r="K915" i="5"/>
  <c r="L915" i="5"/>
  <c r="M915" i="5"/>
  <c r="N915" i="5"/>
  <c r="O915" i="5"/>
  <c r="P915" i="5"/>
  <c r="Q915" i="5"/>
  <c r="R915" i="5"/>
  <c r="C916" i="5"/>
  <c r="D916" i="5"/>
  <c r="E916" i="5"/>
  <c r="F916" i="5"/>
  <c r="G916" i="5"/>
  <c r="H916" i="5"/>
  <c r="I916" i="5"/>
  <c r="J916" i="5"/>
  <c r="K916" i="5"/>
  <c r="L916" i="5"/>
  <c r="M916" i="5"/>
  <c r="N916" i="5"/>
  <c r="O916" i="5"/>
  <c r="P916" i="5"/>
  <c r="Q916" i="5"/>
  <c r="R916" i="5"/>
  <c r="C917" i="5"/>
  <c r="D917" i="5"/>
  <c r="E917" i="5"/>
  <c r="F917" i="5"/>
  <c r="G917" i="5"/>
  <c r="H917" i="5"/>
  <c r="I917" i="5"/>
  <c r="J917" i="5"/>
  <c r="K917" i="5"/>
  <c r="L917" i="5"/>
  <c r="M917" i="5"/>
  <c r="N917" i="5"/>
  <c r="O917" i="5"/>
  <c r="P917" i="5"/>
  <c r="Q917" i="5"/>
  <c r="R917" i="5"/>
  <c r="C918" i="5"/>
  <c r="D918" i="5"/>
  <c r="E918" i="5"/>
  <c r="F918" i="5"/>
  <c r="G918" i="5"/>
  <c r="H918" i="5"/>
  <c r="I918" i="5"/>
  <c r="J918" i="5"/>
  <c r="K918" i="5"/>
  <c r="L918" i="5"/>
  <c r="M918" i="5"/>
  <c r="N918" i="5"/>
  <c r="O918" i="5"/>
  <c r="P918" i="5"/>
  <c r="Q918" i="5"/>
  <c r="R918" i="5"/>
  <c r="C919" i="5"/>
  <c r="D919" i="5"/>
  <c r="E919" i="5"/>
  <c r="F919" i="5"/>
  <c r="G919" i="5"/>
  <c r="H919" i="5"/>
  <c r="I919" i="5"/>
  <c r="J919" i="5"/>
  <c r="K919" i="5"/>
  <c r="L919" i="5"/>
  <c r="M919" i="5"/>
  <c r="N919" i="5"/>
  <c r="O919" i="5"/>
  <c r="P919" i="5"/>
  <c r="Q919" i="5"/>
  <c r="R919" i="5"/>
  <c r="C920" i="5"/>
  <c r="D920" i="5"/>
  <c r="E920" i="5"/>
  <c r="F920" i="5"/>
  <c r="G920" i="5"/>
  <c r="H920" i="5"/>
  <c r="I920" i="5"/>
  <c r="J920" i="5"/>
  <c r="K920" i="5"/>
  <c r="L920" i="5"/>
  <c r="M920" i="5"/>
  <c r="N920" i="5"/>
  <c r="O920" i="5"/>
  <c r="P920" i="5"/>
  <c r="Q920" i="5"/>
  <c r="R920" i="5"/>
  <c r="C921" i="5"/>
  <c r="D921" i="5"/>
  <c r="E921" i="5"/>
  <c r="F921" i="5"/>
  <c r="G921" i="5"/>
  <c r="H921" i="5"/>
  <c r="I921" i="5"/>
  <c r="J921" i="5"/>
  <c r="K921" i="5"/>
  <c r="L921" i="5"/>
  <c r="M921" i="5"/>
  <c r="N921" i="5"/>
  <c r="O921" i="5"/>
  <c r="P921" i="5"/>
  <c r="Q921" i="5"/>
  <c r="R921" i="5"/>
  <c r="C922" i="5"/>
  <c r="D922" i="5"/>
  <c r="E922" i="5"/>
  <c r="F922" i="5"/>
  <c r="G922" i="5"/>
  <c r="H922" i="5"/>
  <c r="I922" i="5"/>
  <c r="J922" i="5"/>
  <c r="K922" i="5"/>
  <c r="L922" i="5"/>
  <c r="M922" i="5"/>
  <c r="N922" i="5"/>
  <c r="O922" i="5"/>
  <c r="P922" i="5"/>
  <c r="Q922" i="5"/>
  <c r="R922" i="5"/>
  <c r="C923" i="5"/>
  <c r="D923" i="5"/>
  <c r="E923" i="5"/>
  <c r="F923" i="5"/>
  <c r="G923" i="5"/>
  <c r="H923" i="5"/>
  <c r="I923" i="5"/>
  <c r="J923" i="5"/>
  <c r="K923" i="5"/>
  <c r="L923" i="5"/>
  <c r="M923" i="5"/>
  <c r="N923" i="5"/>
  <c r="O923" i="5"/>
  <c r="P923" i="5"/>
  <c r="Q923" i="5"/>
  <c r="R923" i="5"/>
  <c r="C924" i="5"/>
  <c r="D924" i="5"/>
  <c r="E924" i="5"/>
  <c r="F924" i="5"/>
  <c r="G924" i="5"/>
  <c r="H924" i="5"/>
  <c r="I924" i="5"/>
  <c r="J924" i="5"/>
  <c r="K924" i="5"/>
  <c r="L924" i="5"/>
  <c r="M924" i="5"/>
  <c r="N924" i="5"/>
  <c r="O924" i="5"/>
  <c r="P924" i="5"/>
  <c r="Q924" i="5"/>
  <c r="R924" i="5"/>
  <c r="C925" i="5"/>
  <c r="D925" i="5"/>
  <c r="E925" i="5"/>
  <c r="F925" i="5"/>
  <c r="G925" i="5"/>
  <c r="H925" i="5"/>
  <c r="I925" i="5"/>
  <c r="J925" i="5"/>
  <c r="K925" i="5"/>
  <c r="L925" i="5"/>
  <c r="M925" i="5"/>
  <c r="N925" i="5"/>
  <c r="O925" i="5"/>
  <c r="P925" i="5"/>
  <c r="Q925" i="5"/>
  <c r="R925" i="5"/>
  <c r="C926" i="5"/>
  <c r="D926" i="5"/>
  <c r="E926" i="5"/>
  <c r="F926" i="5"/>
  <c r="G926" i="5"/>
  <c r="H926" i="5"/>
  <c r="I926" i="5"/>
  <c r="J926" i="5"/>
  <c r="K926" i="5"/>
  <c r="L926" i="5"/>
  <c r="M926" i="5"/>
  <c r="N926" i="5"/>
  <c r="O926" i="5"/>
  <c r="P926" i="5"/>
  <c r="Q926" i="5"/>
  <c r="R926" i="5"/>
  <c r="C927" i="5"/>
  <c r="D927" i="5"/>
  <c r="E927" i="5"/>
  <c r="F927" i="5"/>
  <c r="G927" i="5"/>
  <c r="H927" i="5"/>
  <c r="I927" i="5"/>
  <c r="J927" i="5"/>
  <c r="K927" i="5"/>
  <c r="L927" i="5"/>
  <c r="M927" i="5"/>
  <c r="N927" i="5"/>
  <c r="O927" i="5"/>
  <c r="P927" i="5"/>
  <c r="Q927" i="5"/>
  <c r="R927" i="5"/>
  <c r="C928" i="5"/>
  <c r="D928" i="5"/>
  <c r="E928" i="5"/>
  <c r="F928" i="5"/>
  <c r="G928" i="5"/>
  <c r="H928" i="5"/>
  <c r="I928" i="5"/>
  <c r="J928" i="5"/>
  <c r="K928" i="5"/>
  <c r="L928" i="5"/>
  <c r="M928" i="5"/>
  <c r="N928" i="5"/>
  <c r="O928" i="5"/>
  <c r="P928" i="5"/>
  <c r="Q928" i="5"/>
  <c r="R928" i="5"/>
  <c r="C929" i="5"/>
  <c r="D929" i="5"/>
  <c r="E929" i="5"/>
  <c r="F929" i="5"/>
  <c r="G929" i="5"/>
  <c r="H929" i="5"/>
  <c r="I929" i="5"/>
  <c r="J929" i="5"/>
  <c r="K929" i="5"/>
  <c r="L929" i="5"/>
  <c r="M929" i="5"/>
  <c r="N929" i="5"/>
  <c r="O929" i="5"/>
  <c r="P929" i="5"/>
  <c r="Q929" i="5"/>
  <c r="R929" i="5"/>
  <c r="C930" i="5"/>
  <c r="D930" i="5"/>
  <c r="E930" i="5"/>
  <c r="F930" i="5"/>
  <c r="G930" i="5"/>
  <c r="H930" i="5"/>
  <c r="I930" i="5"/>
  <c r="J930" i="5"/>
  <c r="K930" i="5"/>
  <c r="L930" i="5"/>
  <c r="M930" i="5"/>
  <c r="N930" i="5"/>
  <c r="O930" i="5"/>
  <c r="P930" i="5"/>
  <c r="Q930" i="5"/>
  <c r="R930" i="5"/>
  <c r="C931" i="5"/>
  <c r="D931" i="5"/>
  <c r="E931" i="5"/>
  <c r="F931" i="5"/>
  <c r="G931" i="5"/>
  <c r="H931" i="5"/>
  <c r="I931" i="5"/>
  <c r="J931" i="5"/>
  <c r="K931" i="5"/>
  <c r="L931" i="5"/>
  <c r="M931" i="5"/>
  <c r="N931" i="5"/>
  <c r="O931" i="5"/>
  <c r="P931" i="5"/>
  <c r="Q931" i="5"/>
  <c r="R931" i="5"/>
  <c r="C932" i="5"/>
  <c r="D932" i="5"/>
  <c r="E932" i="5"/>
  <c r="F932" i="5"/>
  <c r="G932" i="5"/>
  <c r="H932" i="5"/>
  <c r="I932" i="5"/>
  <c r="J932" i="5"/>
  <c r="K932" i="5"/>
  <c r="L932" i="5"/>
  <c r="M932" i="5"/>
  <c r="N932" i="5"/>
  <c r="O932" i="5"/>
  <c r="P932" i="5"/>
  <c r="Q932" i="5"/>
  <c r="R932" i="5"/>
  <c r="C933" i="5"/>
  <c r="D933" i="5"/>
  <c r="E933" i="5"/>
  <c r="F933" i="5"/>
  <c r="G933" i="5"/>
  <c r="H933" i="5"/>
  <c r="I933" i="5"/>
  <c r="J933" i="5"/>
  <c r="K933" i="5"/>
  <c r="L933" i="5"/>
  <c r="M933" i="5"/>
  <c r="N933" i="5"/>
  <c r="O933" i="5"/>
  <c r="P933" i="5"/>
  <c r="Q933" i="5"/>
  <c r="R933" i="5"/>
  <c r="C934" i="5"/>
  <c r="D934" i="5"/>
  <c r="E934" i="5"/>
  <c r="F934" i="5"/>
  <c r="G934" i="5"/>
  <c r="H934" i="5"/>
  <c r="I934" i="5"/>
  <c r="J934" i="5"/>
  <c r="K934" i="5"/>
  <c r="L934" i="5"/>
  <c r="M934" i="5"/>
  <c r="N934" i="5"/>
  <c r="O934" i="5"/>
  <c r="P934" i="5"/>
  <c r="Q934" i="5"/>
  <c r="R934" i="5"/>
  <c r="C935" i="5"/>
  <c r="D935" i="5"/>
  <c r="E935" i="5"/>
  <c r="F935" i="5"/>
  <c r="G935" i="5"/>
  <c r="H935" i="5"/>
  <c r="I935" i="5"/>
  <c r="J935" i="5"/>
  <c r="K935" i="5"/>
  <c r="L935" i="5"/>
  <c r="M935" i="5"/>
  <c r="N935" i="5"/>
  <c r="O935" i="5"/>
  <c r="P935" i="5"/>
  <c r="Q935" i="5"/>
  <c r="R935" i="5"/>
  <c r="C936" i="5"/>
  <c r="D936" i="5"/>
  <c r="E936" i="5"/>
  <c r="F936" i="5"/>
  <c r="G936" i="5"/>
  <c r="H936" i="5"/>
  <c r="I936" i="5"/>
  <c r="J936" i="5"/>
  <c r="K936" i="5"/>
  <c r="L936" i="5"/>
  <c r="M936" i="5"/>
  <c r="N936" i="5"/>
  <c r="O936" i="5"/>
  <c r="P936" i="5"/>
  <c r="Q936" i="5"/>
  <c r="R936" i="5"/>
  <c r="C937" i="5"/>
  <c r="D937" i="5"/>
  <c r="E937" i="5"/>
  <c r="F937" i="5"/>
  <c r="G937" i="5"/>
  <c r="H937" i="5"/>
  <c r="I937" i="5"/>
  <c r="J937" i="5"/>
  <c r="K937" i="5"/>
  <c r="L937" i="5"/>
  <c r="M937" i="5"/>
  <c r="N937" i="5"/>
  <c r="O937" i="5"/>
  <c r="P937" i="5"/>
  <c r="Q937" i="5"/>
  <c r="R937" i="5"/>
  <c r="C938" i="5"/>
  <c r="D938" i="5"/>
  <c r="E938" i="5"/>
  <c r="F938" i="5"/>
  <c r="G938" i="5"/>
  <c r="H938" i="5"/>
  <c r="I938" i="5"/>
  <c r="J938" i="5"/>
  <c r="K938" i="5"/>
  <c r="L938" i="5"/>
  <c r="M938" i="5"/>
  <c r="N938" i="5"/>
  <c r="O938" i="5"/>
  <c r="P938" i="5"/>
  <c r="Q938" i="5"/>
  <c r="R938" i="5"/>
  <c r="C939" i="5"/>
  <c r="D939" i="5"/>
  <c r="E939" i="5"/>
  <c r="F939" i="5"/>
  <c r="G939" i="5"/>
  <c r="H939" i="5"/>
  <c r="I939" i="5"/>
  <c r="J939" i="5"/>
  <c r="K939" i="5"/>
  <c r="L939" i="5"/>
  <c r="M939" i="5"/>
  <c r="N939" i="5"/>
  <c r="O939" i="5"/>
  <c r="P939" i="5"/>
  <c r="Q939" i="5"/>
  <c r="R939" i="5"/>
  <c r="C940" i="5"/>
  <c r="D940" i="5"/>
  <c r="E940" i="5"/>
  <c r="F940" i="5"/>
  <c r="G940" i="5"/>
  <c r="H940" i="5"/>
  <c r="I940" i="5"/>
  <c r="J940" i="5"/>
  <c r="K940" i="5"/>
  <c r="L940" i="5"/>
  <c r="M940" i="5"/>
  <c r="N940" i="5"/>
  <c r="O940" i="5"/>
  <c r="P940" i="5"/>
  <c r="Q940" i="5"/>
  <c r="R940" i="5"/>
  <c r="C941" i="5"/>
  <c r="D941" i="5"/>
  <c r="E941" i="5"/>
  <c r="F941" i="5"/>
  <c r="G941" i="5"/>
  <c r="H941" i="5"/>
  <c r="I941" i="5"/>
  <c r="J941" i="5"/>
  <c r="K941" i="5"/>
  <c r="L941" i="5"/>
  <c r="M941" i="5"/>
  <c r="N941" i="5"/>
  <c r="O941" i="5"/>
  <c r="P941" i="5"/>
  <c r="Q941" i="5"/>
  <c r="R941" i="5"/>
  <c r="C942" i="5"/>
  <c r="D942" i="5"/>
  <c r="E942" i="5"/>
  <c r="F942" i="5"/>
  <c r="G942" i="5"/>
  <c r="H942" i="5"/>
  <c r="I942" i="5"/>
  <c r="J942" i="5"/>
  <c r="K942" i="5"/>
  <c r="L942" i="5"/>
  <c r="M942" i="5"/>
  <c r="N942" i="5"/>
  <c r="O942" i="5"/>
  <c r="P942" i="5"/>
  <c r="Q942" i="5"/>
  <c r="R942" i="5"/>
  <c r="C943" i="5"/>
  <c r="D943" i="5"/>
  <c r="E943" i="5"/>
  <c r="F943" i="5"/>
  <c r="G943" i="5"/>
  <c r="H943" i="5"/>
  <c r="I943" i="5"/>
  <c r="J943" i="5"/>
  <c r="K943" i="5"/>
  <c r="L943" i="5"/>
  <c r="M943" i="5"/>
  <c r="N943" i="5"/>
  <c r="O943" i="5"/>
  <c r="P943" i="5"/>
  <c r="Q943" i="5"/>
  <c r="R943" i="5"/>
  <c r="C944" i="5"/>
  <c r="D944" i="5"/>
  <c r="E944" i="5"/>
  <c r="F944" i="5"/>
  <c r="G944" i="5"/>
  <c r="H944" i="5"/>
  <c r="I944" i="5"/>
  <c r="J944" i="5"/>
  <c r="K944" i="5"/>
  <c r="L944" i="5"/>
  <c r="M944" i="5"/>
  <c r="N944" i="5"/>
  <c r="O944" i="5"/>
  <c r="P944" i="5"/>
  <c r="Q944" i="5"/>
  <c r="R944" i="5"/>
  <c r="C945" i="5"/>
  <c r="D945" i="5"/>
  <c r="E945" i="5"/>
  <c r="F945" i="5"/>
  <c r="G945" i="5"/>
  <c r="H945" i="5"/>
  <c r="I945" i="5"/>
  <c r="J945" i="5"/>
  <c r="K945" i="5"/>
  <c r="L945" i="5"/>
  <c r="M945" i="5"/>
  <c r="N945" i="5"/>
  <c r="O945" i="5"/>
  <c r="P945" i="5"/>
  <c r="Q945" i="5"/>
  <c r="R945" i="5"/>
  <c r="C946" i="5"/>
  <c r="D946" i="5"/>
  <c r="E946" i="5"/>
  <c r="F946" i="5"/>
  <c r="G946" i="5"/>
  <c r="H946" i="5"/>
  <c r="I946" i="5"/>
  <c r="J946" i="5"/>
  <c r="K946" i="5"/>
  <c r="L946" i="5"/>
  <c r="M946" i="5"/>
  <c r="N946" i="5"/>
  <c r="O946" i="5"/>
  <c r="P946" i="5"/>
  <c r="Q946" i="5"/>
  <c r="R946" i="5"/>
  <c r="C947" i="5"/>
  <c r="D947" i="5"/>
  <c r="E947" i="5"/>
  <c r="F947" i="5"/>
  <c r="G947" i="5"/>
  <c r="H947" i="5"/>
  <c r="I947" i="5"/>
  <c r="J947" i="5"/>
  <c r="K947" i="5"/>
  <c r="L947" i="5"/>
  <c r="M947" i="5"/>
  <c r="N947" i="5"/>
  <c r="O947" i="5"/>
  <c r="P947" i="5"/>
  <c r="Q947" i="5"/>
  <c r="R947" i="5"/>
  <c r="C948" i="5"/>
  <c r="D948" i="5"/>
  <c r="E948" i="5"/>
  <c r="F948" i="5"/>
  <c r="G948" i="5"/>
  <c r="H948" i="5"/>
  <c r="I948" i="5"/>
  <c r="J948" i="5"/>
  <c r="K948" i="5"/>
  <c r="L948" i="5"/>
  <c r="M948" i="5"/>
  <c r="N948" i="5"/>
  <c r="O948" i="5"/>
  <c r="P948" i="5"/>
  <c r="Q948" i="5"/>
  <c r="R948" i="5"/>
  <c r="C949" i="5"/>
  <c r="D949" i="5"/>
  <c r="E949" i="5"/>
  <c r="F949" i="5"/>
  <c r="G949" i="5"/>
  <c r="H949" i="5"/>
  <c r="I949" i="5"/>
  <c r="J949" i="5"/>
  <c r="K949" i="5"/>
  <c r="L949" i="5"/>
  <c r="M949" i="5"/>
  <c r="N949" i="5"/>
  <c r="O949" i="5"/>
  <c r="P949" i="5"/>
  <c r="Q949" i="5"/>
  <c r="R949" i="5"/>
  <c r="C950" i="5"/>
  <c r="D950" i="5"/>
  <c r="E950" i="5"/>
  <c r="F950" i="5"/>
  <c r="G950" i="5"/>
  <c r="H950" i="5"/>
  <c r="I950" i="5"/>
  <c r="J950" i="5"/>
  <c r="K950" i="5"/>
  <c r="L950" i="5"/>
  <c r="M950" i="5"/>
  <c r="N950" i="5"/>
  <c r="O950" i="5"/>
  <c r="P950" i="5"/>
  <c r="Q950" i="5"/>
  <c r="R950" i="5"/>
  <c r="C951" i="5"/>
  <c r="D951" i="5"/>
  <c r="E951" i="5"/>
  <c r="F951" i="5"/>
  <c r="G951" i="5"/>
  <c r="H951" i="5"/>
  <c r="I951" i="5"/>
  <c r="J951" i="5"/>
  <c r="K951" i="5"/>
  <c r="L951" i="5"/>
  <c r="M951" i="5"/>
  <c r="N951" i="5"/>
  <c r="O951" i="5"/>
  <c r="P951" i="5"/>
  <c r="Q951" i="5"/>
  <c r="R951" i="5"/>
  <c r="C952" i="5"/>
  <c r="D952" i="5"/>
  <c r="E952" i="5"/>
  <c r="F952" i="5"/>
  <c r="G952" i="5"/>
  <c r="H952" i="5"/>
  <c r="I952" i="5"/>
  <c r="J952" i="5"/>
  <c r="K952" i="5"/>
  <c r="L952" i="5"/>
  <c r="M952" i="5"/>
  <c r="N952" i="5"/>
  <c r="O952" i="5"/>
  <c r="P952" i="5"/>
  <c r="Q952" i="5"/>
  <c r="R952" i="5"/>
  <c r="C953" i="5"/>
  <c r="D953" i="5"/>
  <c r="E953" i="5"/>
  <c r="F953" i="5"/>
  <c r="G953" i="5"/>
  <c r="H953" i="5"/>
  <c r="I953" i="5"/>
  <c r="J953" i="5"/>
  <c r="K953" i="5"/>
  <c r="L953" i="5"/>
  <c r="M953" i="5"/>
  <c r="N953" i="5"/>
  <c r="O953" i="5"/>
  <c r="P953" i="5"/>
  <c r="Q953" i="5"/>
  <c r="R953" i="5"/>
  <c r="C954" i="5"/>
  <c r="D954" i="5"/>
  <c r="E954" i="5"/>
  <c r="F954" i="5"/>
  <c r="G954" i="5"/>
  <c r="H954" i="5"/>
  <c r="I954" i="5"/>
  <c r="J954" i="5"/>
  <c r="K954" i="5"/>
  <c r="L954" i="5"/>
  <c r="M954" i="5"/>
  <c r="N954" i="5"/>
  <c r="O954" i="5"/>
  <c r="P954" i="5"/>
  <c r="Q954" i="5"/>
  <c r="R954" i="5"/>
  <c r="C955" i="5"/>
  <c r="D955" i="5"/>
  <c r="E955" i="5"/>
  <c r="F955" i="5"/>
  <c r="G955" i="5"/>
  <c r="H955" i="5"/>
  <c r="I955" i="5"/>
  <c r="J955" i="5"/>
  <c r="K955" i="5"/>
  <c r="L955" i="5"/>
  <c r="M955" i="5"/>
  <c r="N955" i="5"/>
  <c r="O955" i="5"/>
  <c r="P955" i="5"/>
  <c r="Q955" i="5"/>
  <c r="R955" i="5"/>
  <c r="C956" i="5"/>
  <c r="D956" i="5"/>
  <c r="E956" i="5"/>
  <c r="F956" i="5"/>
  <c r="G956" i="5"/>
  <c r="H956" i="5"/>
  <c r="I956" i="5"/>
  <c r="J956" i="5"/>
  <c r="K956" i="5"/>
  <c r="L956" i="5"/>
  <c r="M956" i="5"/>
  <c r="N956" i="5"/>
  <c r="O956" i="5"/>
  <c r="P956" i="5"/>
  <c r="Q956" i="5"/>
  <c r="R956" i="5"/>
  <c r="C957" i="5"/>
  <c r="D957" i="5"/>
  <c r="E957" i="5"/>
  <c r="F957" i="5"/>
  <c r="G957" i="5"/>
  <c r="H957" i="5"/>
  <c r="I957" i="5"/>
  <c r="J957" i="5"/>
  <c r="K957" i="5"/>
  <c r="L957" i="5"/>
  <c r="M957" i="5"/>
  <c r="N957" i="5"/>
  <c r="O957" i="5"/>
  <c r="P957" i="5"/>
  <c r="Q957" i="5"/>
  <c r="R957" i="5"/>
  <c r="C958" i="5"/>
  <c r="D958" i="5"/>
  <c r="E958" i="5"/>
  <c r="F958" i="5"/>
  <c r="G958" i="5"/>
  <c r="H958" i="5"/>
  <c r="I958" i="5"/>
  <c r="J958" i="5"/>
  <c r="K958" i="5"/>
  <c r="L958" i="5"/>
  <c r="M958" i="5"/>
  <c r="N958" i="5"/>
  <c r="O958" i="5"/>
  <c r="P958" i="5"/>
  <c r="Q958" i="5"/>
  <c r="R958" i="5"/>
  <c r="C959" i="5"/>
  <c r="D959" i="5"/>
  <c r="E959" i="5"/>
  <c r="F959" i="5"/>
  <c r="G959" i="5"/>
  <c r="H959" i="5"/>
  <c r="I959" i="5"/>
  <c r="J959" i="5"/>
  <c r="K959" i="5"/>
  <c r="L959" i="5"/>
  <c r="M959" i="5"/>
  <c r="N959" i="5"/>
  <c r="O959" i="5"/>
  <c r="P959" i="5"/>
  <c r="Q959" i="5"/>
  <c r="R959" i="5"/>
  <c r="C960" i="5"/>
  <c r="D960" i="5"/>
  <c r="E960" i="5"/>
  <c r="F960" i="5"/>
  <c r="G960" i="5"/>
  <c r="H960" i="5"/>
  <c r="I960" i="5"/>
  <c r="J960" i="5"/>
  <c r="K960" i="5"/>
  <c r="L960" i="5"/>
  <c r="M960" i="5"/>
  <c r="N960" i="5"/>
  <c r="O960" i="5"/>
  <c r="P960" i="5"/>
  <c r="Q960" i="5"/>
  <c r="R960" i="5"/>
  <c r="C961" i="5"/>
  <c r="D961" i="5"/>
  <c r="E961" i="5"/>
  <c r="F961" i="5"/>
  <c r="G961" i="5"/>
  <c r="H961" i="5"/>
  <c r="I961" i="5"/>
  <c r="J961" i="5"/>
  <c r="K961" i="5"/>
  <c r="L961" i="5"/>
  <c r="M961" i="5"/>
  <c r="N961" i="5"/>
  <c r="O961" i="5"/>
  <c r="P961" i="5"/>
  <c r="Q961" i="5"/>
  <c r="R961" i="5"/>
  <c r="C962" i="5"/>
  <c r="D962" i="5"/>
  <c r="E962" i="5"/>
  <c r="F962" i="5"/>
  <c r="G962" i="5"/>
  <c r="H962" i="5"/>
  <c r="I962" i="5"/>
  <c r="J962" i="5"/>
  <c r="K962" i="5"/>
  <c r="L962" i="5"/>
  <c r="M962" i="5"/>
  <c r="N962" i="5"/>
  <c r="O962" i="5"/>
  <c r="P962" i="5"/>
  <c r="Q962" i="5"/>
  <c r="R962" i="5"/>
  <c r="C963" i="5"/>
  <c r="D963" i="5"/>
  <c r="E963" i="5"/>
  <c r="F963" i="5"/>
  <c r="G963" i="5"/>
  <c r="H963" i="5"/>
  <c r="I963" i="5"/>
  <c r="J963" i="5"/>
  <c r="K963" i="5"/>
  <c r="L963" i="5"/>
  <c r="M963" i="5"/>
  <c r="N963" i="5"/>
  <c r="O963" i="5"/>
  <c r="P963" i="5"/>
  <c r="Q963" i="5"/>
  <c r="R963" i="5"/>
  <c r="C964" i="5"/>
  <c r="D964" i="5"/>
  <c r="E964" i="5"/>
  <c r="F964" i="5"/>
  <c r="G964" i="5"/>
  <c r="H964" i="5"/>
  <c r="I964" i="5"/>
  <c r="J964" i="5"/>
  <c r="K964" i="5"/>
  <c r="L964" i="5"/>
  <c r="M964" i="5"/>
  <c r="N964" i="5"/>
  <c r="O964" i="5"/>
  <c r="P964" i="5"/>
  <c r="Q964" i="5"/>
  <c r="R964" i="5"/>
  <c r="C965" i="5"/>
  <c r="D965" i="5"/>
  <c r="E965" i="5"/>
  <c r="F965" i="5"/>
  <c r="G965" i="5"/>
  <c r="H965" i="5"/>
  <c r="I965" i="5"/>
  <c r="J965" i="5"/>
  <c r="K965" i="5"/>
  <c r="L965" i="5"/>
  <c r="M965" i="5"/>
  <c r="N965" i="5"/>
  <c r="O965" i="5"/>
  <c r="P965" i="5"/>
  <c r="Q965" i="5"/>
  <c r="R965" i="5"/>
  <c r="C966" i="5"/>
  <c r="D966" i="5"/>
  <c r="E966" i="5"/>
  <c r="F966" i="5"/>
  <c r="G966" i="5"/>
  <c r="H966" i="5"/>
  <c r="I966" i="5"/>
  <c r="J966" i="5"/>
  <c r="K966" i="5"/>
  <c r="L966" i="5"/>
  <c r="M966" i="5"/>
  <c r="N966" i="5"/>
  <c r="O966" i="5"/>
  <c r="P966" i="5"/>
  <c r="Q966" i="5"/>
  <c r="R966" i="5"/>
  <c r="C967" i="5"/>
  <c r="D967" i="5"/>
  <c r="E967" i="5"/>
  <c r="F967" i="5"/>
  <c r="G967" i="5"/>
  <c r="H967" i="5"/>
  <c r="I967" i="5"/>
  <c r="J967" i="5"/>
  <c r="K967" i="5"/>
  <c r="L967" i="5"/>
  <c r="M967" i="5"/>
  <c r="N967" i="5"/>
  <c r="O967" i="5"/>
  <c r="P967" i="5"/>
  <c r="Q967" i="5"/>
  <c r="R967" i="5"/>
  <c r="C968" i="5"/>
  <c r="D968" i="5"/>
  <c r="E968" i="5"/>
  <c r="F968" i="5"/>
  <c r="G968" i="5"/>
  <c r="H968" i="5"/>
  <c r="I968" i="5"/>
  <c r="J968" i="5"/>
  <c r="K968" i="5"/>
  <c r="L968" i="5"/>
  <c r="M968" i="5"/>
  <c r="N968" i="5"/>
  <c r="O968" i="5"/>
  <c r="P968" i="5"/>
  <c r="Q968" i="5"/>
  <c r="R968" i="5"/>
  <c r="C969" i="5"/>
  <c r="D969" i="5"/>
  <c r="E969" i="5"/>
  <c r="F969" i="5"/>
  <c r="G969" i="5"/>
  <c r="H969" i="5"/>
  <c r="I969" i="5"/>
  <c r="J969" i="5"/>
  <c r="K969" i="5"/>
  <c r="L969" i="5"/>
  <c r="M969" i="5"/>
  <c r="N969" i="5"/>
  <c r="O969" i="5"/>
  <c r="P969" i="5"/>
  <c r="Q969" i="5"/>
  <c r="R969" i="5"/>
  <c r="C970" i="5"/>
  <c r="D970" i="5"/>
  <c r="E970" i="5"/>
  <c r="F970" i="5"/>
  <c r="G970" i="5"/>
  <c r="H970" i="5"/>
  <c r="I970" i="5"/>
  <c r="J970" i="5"/>
  <c r="K970" i="5"/>
  <c r="L970" i="5"/>
  <c r="M970" i="5"/>
  <c r="N970" i="5"/>
  <c r="O970" i="5"/>
  <c r="P970" i="5"/>
  <c r="Q970" i="5"/>
  <c r="R970" i="5"/>
  <c r="C971" i="5"/>
  <c r="D971" i="5"/>
  <c r="E971" i="5"/>
  <c r="F971" i="5"/>
  <c r="G971" i="5"/>
  <c r="H971" i="5"/>
  <c r="I971" i="5"/>
  <c r="J971" i="5"/>
  <c r="K971" i="5"/>
  <c r="L971" i="5"/>
  <c r="M971" i="5"/>
  <c r="N971" i="5"/>
  <c r="O971" i="5"/>
  <c r="P971" i="5"/>
  <c r="Q971" i="5"/>
  <c r="R971" i="5"/>
  <c r="C972" i="5"/>
  <c r="D972" i="5"/>
  <c r="E972" i="5"/>
  <c r="F972" i="5"/>
  <c r="G972" i="5"/>
  <c r="H972" i="5"/>
  <c r="I972" i="5"/>
  <c r="J972" i="5"/>
  <c r="K972" i="5"/>
  <c r="L972" i="5"/>
  <c r="M972" i="5"/>
  <c r="N972" i="5"/>
  <c r="O972" i="5"/>
  <c r="P972" i="5"/>
  <c r="Q972" i="5"/>
  <c r="R972" i="5"/>
  <c r="C973" i="5"/>
  <c r="D973" i="5"/>
  <c r="E973" i="5"/>
  <c r="F973" i="5"/>
  <c r="G973" i="5"/>
  <c r="H973" i="5"/>
  <c r="I973" i="5"/>
  <c r="J973" i="5"/>
  <c r="K973" i="5"/>
  <c r="L973" i="5"/>
  <c r="M973" i="5"/>
  <c r="N973" i="5"/>
  <c r="O973" i="5"/>
  <c r="P973" i="5"/>
  <c r="Q973" i="5"/>
  <c r="R973" i="5"/>
  <c r="C974" i="5"/>
  <c r="D974" i="5"/>
  <c r="E974" i="5"/>
  <c r="F974" i="5"/>
  <c r="G974" i="5"/>
  <c r="H974" i="5"/>
  <c r="I974" i="5"/>
  <c r="J974" i="5"/>
  <c r="K974" i="5"/>
  <c r="L974" i="5"/>
  <c r="M974" i="5"/>
  <c r="N974" i="5"/>
  <c r="O974" i="5"/>
  <c r="P974" i="5"/>
  <c r="Q974" i="5"/>
  <c r="R974" i="5"/>
  <c r="C975" i="5"/>
  <c r="D975" i="5"/>
  <c r="E975" i="5"/>
  <c r="F975" i="5"/>
  <c r="G975" i="5"/>
  <c r="H975" i="5"/>
  <c r="I975" i="5"/>
  <c r="J975" i="5"/>
  <c r="K975" i="5"/>
  <c r="L975" i="5"/>
  <c r="M975" i="5"/>
  <c r="N975" i="5"/>
  <c r="O975" i="5"/>
  <c r="P975" i="5"/>
  <c r="Q975" i="5"/>
  <c r="R975" i="5"/>
  <c r="C976" i="5"/>
  <c r="D976" i="5"/>
  <c r="E976" i="5"/>
  <c r="F976" i="5"/>
  <c r="G976" i="5"/>
  <c r="H976" i="5"/>
  <c r="I976" i="5"/>
  <c r="J976" i="5"/>
  <c r="K976" i="5"/>
  <c r="L976" i="5"/>
  <c r="M976" i="5"/>
  <c r="N976" i="5"/>
  <c r="O976" i="5"/>
  <c r="P976" i="5"/>
  <c r="Q976" i="5"/>
  <c r="R976" i="5"/>
  <c r="C977" i="5"/>
  <c r="D977" i="5"/>
  <c r="E977" i="5"/>
  <c r="F977" i="5"/>
  <c r="G977" i="5"/>
  <c r="H977" i="5"/>
  <c r="I977" i="5"/>
  <c r="J977" i="5"/>
  <c r="K977" i="5"/>
  <c r="L977" i="5"/>
  <c r="M977" i="5"/>
  <c r="N977" i="5"/>
  <c r="O977" i="5"/>
  <c r="P977" i="5"/>
  <c r="Q977" i="5"/>
  <c r="R977" i="5"/>
  <c r="C978" i="5"/>
  <c r="D978" i="5"/>
  <c r="E978" i="5"/>
  <c r="F978" i="5"/>
  <c r="G978" i="5"/>
  <c r="H978" i="5"/>
  <c r="I978" i="5"/>
  <c r="J978" i="5"/>
  <c r="K978" i="5"/>
  <c r="L978" i="5"/>
  <c r="M978" i="5"/>
  <c r="N978" i="5"/>
  <c r="O978" i="5"/>
  <c r="P978" i="5"/>
  <c r="Q978" i="5"/>
  <c r="R978" i="5"/>
  <c r="C979" i="5"/>
  <c r="D979" i="5"/>
  <c r="E979" i="5"/>
  <c r="F979" i="5"/>
  <c r="G979" i="5"/>
  <c r="H979" i="5"/>
  <c r="I979" i="5"/>
  <c r="J979" i="5"/>
  <c r="K979" i="5"/>
  <c r="L979" i="5"/>
  <c r="M979" i="5"/>
  <c r="N979" i="5"/>
  <c r="O979" i="5"/>
  <c r="P979" i="5"/>
  <c r="Q979" i="5"/>
  <c r="R979" i="5"/>
  <c r="C980" i="5"/>
  <c r="D980" i="5"/>
  <c r="E980" i="5"/>
  <c r="F980" i="5"/>
  <c r="G980" i="5"/>
  <c r="H980" i="5"/>
  <c r="I980" i="5"/>
  <c r="J980" i="5"/>
  <c r="K980" i="5"/>
  <c r="L980" i="5"/>
  <c r="M980" i="5"/>
  <c r="N980" i="5"/>
  <c r="O980" i="5"/>
  <c r="P980" i="5"/>
  <c r="Q980" i="5"/>
  <c r="R980" i="5"/>
  <c r="C981" i="5"/>
  <c r="D981" i="5"/>
  <c r="E981" i="5"/>
  <c r="F981" i="5"/>
  <c r="G981" i="5"/>
  <c r="H981" i="5"/>
  <c r="I981" i="5"/>
  <c r="J981" i="5"/>
  <c r="K981" i="5"/>
  <c r="L981" i="5"/>
  <c r="M981" i="5"/>
  <c r="N981" i="5"/>
  <c r="O981" i="5"/>
  <c r="P981" i="5"/>
  <c r="Q981" i="5"/>
  <c r="R981" i="5"/>
  <c r="C982" i="5"/>
  <c r="D982" i="5"/>
  <c r="E982" i="5"/>
  <c r="F982" i="5"/>
  <c r="G982" i="5"/>
  <c r="H982" i="5"/>
  <c r="I982" i="5"/>
  <c r="J982" i="5"/>
  <c r="K982" i="5"/>
  <c r="L982" i="5"/>
  <c r="M982" i="5"/>
  <c r="N982" i="5"/>
  <c r="O982" i="5"/>
  <c r="P982" i="5"/>
  <c r="Q982" i="5"/>
  <c r="R982" i="5"/>
  <c r="C983" i="5"/>
  <c r="D983" i="5"/>
  <c r="E983" i="5"/>
  <c r="F983" i="5"/>
  <c r="G983" i="5"/>
  <c r="H983" i="5"/>
  <c r="I983" i="5"/>
  <c r="J983" i="5"/>
  <c r="K983" i="5"/>
  <c r="L983" i="5"/>
  <c r="M983" i="5"/>
  <c r="N983" i="5"/>
  <c r="O983" i="5"/>
  <c r="P983" i="5"/>
  <c r="Q983" i="5"/>
  <c r="R983" i="5"/>
  <c r="C984" i="5"/>
  <c r="D984" i="5"/>
  <c r="E984" i="5"/>
  <c r="F984" i="5"/>
  <c r="G984" i="5"/>
  <c r="H984" i="5"/>
  <c r="I984" i="5"/>
  <c r="J984" i="5"/>
  <c r="K984" i="5"/>
  <c r="L984" i="5"/>
  <c r="M984" i="5"/>
  <c r="N984" i="5"/>
  <c r="O984" i="5"/>
  <c r="P984" i="5"/>
  <c r="Q984" i="5"/>
  <c r="R984" i="5"/>
  <c r="C985" i="5"/>
  <c r="D985" i="5"/>
  <c r="E985" i="5"/>
  <c r="F985" i="5"/>
  <c r="G985" i="5"/>
  <c r="H985" i="5"/>
  <c r="I985" i="5"/>
  <c r="J985" i="5"/>
  <c r="K985" i="5"/>
  <c r="L985" i="5"/>
  <c r="M985" i="5"/>
  <c r="N985" i="5"/>
  <c r="O985" i="5"/>
  <c r="P985" i="5"/>
  <c r="Q985" i="5"/>
  <c r="R985" i="5"/>
  <c r="C986" i="5"/>
  <c r="D986" i="5"/>
  <c r="E986" i="5"/>
  <c r="F986" i="5"/>
  <c r="G986" i="5"/>
  <c r="H986" i="5"/>
  <c r="I986" i="5"/>
  <c r="J986" i="5"/>
  <c r="K986" i="5"/>
  <c r="L986" i="5"/>
  <c r="M986" i="5"/>
  <c r="N986" i="5"/>
  <c r="O986" i="5"/>
  <c r="P986" i="5"/>
  <c r="Q986" i="5"/>
  <c r="R986" i="5"/>
  <c r="C987" i="5"/>
  <c r="D987" i="5"/>
  <c r="E987" i="5"/>
  <c r="F987" i="5"/>
  <c r="G987" i="5"/>
  <c r="H987" i="5"/>
  <c r="I987" i="5"/>
  <c r="J987" i="5"/>
  <c r="K987" i="5"/>
  <c r="L987" i="5"/>
  <c r="M987" i="5"/>
  <c r="N987" i="5"/>
  <c r="O987" i="5"/>
  <c r="P987" i="5"/>
  <c r="Q987" i="5"/>
  <c r="R987" i="5"/>
  <c r="C988" i="5"/>
  <c r="D988" i="5"/>
  <c r="E988" i="5"/>
  <c r="F988" i="5"/>
  <c r="G988" i="5"/>
  <c r="H988" i="5"/>
  <c r="I988" i="5"/>
  <c r="J988" i="5"/>
  <c r="K988" i="5"/>
  <c r="L988" i="5"/>
  <c r="M988" i="5"/>
  <c r="N988" i="5"/>
  <c r="O988" i="5"/>
  <c r="P988" i="5"/>
  <c r="Q988" i="5"/>
  <c r="R988" i="5"/>
  <c r="C989" i="5"/>
  <c r="D989" i="5"/>
  <c r="E989" i="5"/>
  <c r="F989" i="5"/>
  <c r="G989" i="5"/>
  <c r="H989" i="5"/>
  <c r="I989" i="5"/>
  <c r="J989" i="5"/>
  <c r="K989" i="5"/>
  <c r="L989" i="5"/>
  <c r="M989" i="5"/>
  <c r="N989" i="5"/>
  <c r="O989" i="5"/>
  <c r="P989" i="5"/>
  <c r="Q989" i="5"/>
  <c r="R989" i="5"/>
  <c r="C990" i="5"/>
  <c r="D990" i="5"/>
  <c r="E990" i="5"/>
  <c r="F990" i="5"/>
  <c r="G990" i="5"/>
  <c r="H990" i="5"/>
  <c r="I990" i="5"/>
  <c r="J990" i="5"/>
  <c r="K990" i="5"/>
  <c r="L990" i="5"/>
  <c r="M990" i="5"/>
  <c r="N990" i="5"/>
  <c r="O990" i="5"/>
  <c r="P990" i="5"/>
  <c r="Q990" i="5"/>
  <c r="R990" i="5"/>
  <c r="C991" i="5"/>
  <c r="D991" i="5"/>
  <c r="E991" i="5"/>
  <c r="F991" i="5"/>
  <c r="G991" i="5"/>
  <c r="H991" i="5"/>
  <c r="I991" i="5"/>
  <c r="J991" i="5"/>
  <c r="K991" i="5"/>
  <c r="L991" i="5"/>
  <c r="M991" i="5"/>
  <c r="N991" i="5"/>
  <c r="O991" i="5"/>
  <c r="P991" i="5"/>
  <c r="Q991" i="5"/>
  <c r="R991" i="5"/>
  <c r="C992" i="5"/>
  <c r="D992" i="5"/>
  <c r="E992" i="5"/>
  <c r="F992" i="5"/>
  <c r="G992" i="5"/>
  <c r="H992" i="5"/>
  <c r="I992" i="5"/>
  <c r="J992" i="5"/>
  <c r="K992" i="5"/>
  <c r="L992" i="5"/>
  <c r="M992" i="5"/>
  <c r="N992" i="5"/>
  <c r="O992" i="5"/>
  <c r="P992" i="5"/>
  <c r="Q992" i="5"/>
  <c r="R992" i="5"/>
  <c r="C993" i="5"/>
  <c r="D993" i="5"/>
  <c r="E993" i="5"/>
  <c r="F993" i="5"/>
  <c r="G993" i="5"/>
  <c r="H993" i="5"/>
  <c r="I993" i="5"/>
  <c r="J993" i="5"/>
  <c r="K993" i="5"/>
  <c r="L993" i="5"/>
  <c r="M993" i="5"/>
  <c r="N993" i="5"/>
  <c r="O993" i="5"/>
  <c r="P993" i="5"/>
  <c r="Q993" i="5"/>
  <c r="R993" i="5"/>
  <c r="C994" i="5"/>
  <c r="D994" i="5"/>
  <c r="E994" i="5"/>
  <c r="F994" i="5"/>
  <c r="G994" i="5"/>
  <c r="H994" i="5"/>
  <c r="I994" i="5"/>
  <c r="J994" i="5"/>
  <c r="K994" i="5"/>
  <c r="L994" i="5"/>
  <c r="M994" i="5"/>
  <c r="N994" i="5"/>
  <c r="O994" i="5"/>
  <c r="P994" i="5"/>
  <c r="Q994" i="5"/>
  <c r="R994" i="5"/>
  <c r="C995" i="5"/>
  <c r="D995" i="5"/>
  <c r="E995" i="5"/>
  <c r="F995" i="5"/>
  <c r="G995" i="5"/>
  <c r="H995" i="5"/>
  <c r="I995" i="5"/>
  <c r="J995" i="5"/>
  <c r="K995" i="5"/>
  <c r="L995" i="5"/>
  <c r="M995" i="5"/>
  <c r="N995" i="5"/>
  <c r="O995" i="5"/>
  <c r="P995" i="5"/>
  <c r="Q995" i="5"/>
  <c r="R995" i="5"/>
  <c r="C996" i="5"/>
  <c r="D996" i="5"/>
  <c r="E996" i="5"/>
  <c r="F996" i="5"/>
  <c r="G996" i="5"/>
  <c r="H996" i="5"/>
  <c r="I996" i="5"/>
  <c r="J996" i="5"/>
  <c r="K996" i="5"/>
  <c r="L996" i="5"/>
  <c r="M996" i="5"/>
  <c r="N996" i="5"/>
  <c r="O996" i="5"/>
  <c r="P996" i="5"/>
  <c r="Q996" i="5"/>
  <c r="R996" i="5"/>
  <c r="C997" i="5"/>
  <c r="D997" i="5"/>
  <c r="E997" i="5"/>
  <c r="F997" i="5"/>
  <c r="G997" i="5"/>
  <c r="H997" i="5"/>
  <c r="I997" i="5"/>
  <c r="J997" i="5"/>
  <c r="K997" i="5"/>
  <c r="L997" i="5"/>
  <c r="M997" i="5"/>
  <c r="N997" i="5"/>
  <c r="O997" i="5"/>
  <c r="P997" i="5"/>
  <c r="Q997" i="5"/>
  <c r="R997" i="5"/>
  <c r="C998" i="5"/>
  <c r="D998" i="5"/>
  <c r="E998" i="5"/>
  <c r="F998" i="5"/>
  <c r="G998" i="5"/>
  <c r="H998" i="5"/>
  <c r="I998" i="5"/>
  <c r="J998" i="5"/>
  <c r="K998" i="5"/>
  <c r="L998" i="5"/>
  <c r="M998" i="5"/>
  <c r="N998" i="5"/>
  <c r="O998" i="5"/>
  <c r="P998" i="5"/>
  <c r="Q998" i="5"/>
  <c r="R998" i="5"/>
  <c r="C999" i="5"/>
  <c r="D999" i="5"/>
  <c r="E999" i="5"/>
  <c r="F999" i="5"/>
  <c r="G999" i="5"/>
  <c r="H999" i="5"/>
  <c r="I999" i="5"/>
  <c r="J999" i="5"/>
  <c r="K999" i="5"/>
  <c r="L999" i="5"/>
  <c r="M999" i="5"/>
  <c r="N999" i="5"/>
  <c r="O999" i="5"/>
  <c r="P999" i="5"/>
  <c r="Q999" i="5"/>
  <c r="R999" i="5"/>
  <c r="C1000" i="5"/>
  <c r="D1000" i="5"/>
  <c r="E1000" i="5"/>
  <c r="F1000" i="5"/>
  <c r="G1000" i="5"/>
  <c r="H1000" i="5"/>
  <c r="I1000" i="5"/>
  <c r="J1000" i="5"/>
  <c r="K1000" i="5"/>
  <c r="L1000" i="5"/>
  <c r="M1000" i="5"/>
  <c r="N1000" i="5"/>
  <c r="O1000" i="5"/>
  <c r="P1000" i="5"/>
  <c r="Q1000" i="5"/>
  <c r="R1000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3" i="5"/>
  <c r="S74" i="4"/>
  <c r="R74" i="4"/>
  <c r="S73" i="4"/>
  <c r="R73" i="4"/>
  <c r="S72" i="4"/>
  <c r="R72" i="4"/>
  <c r="S71" i="4"/>
  <c r="R71" i="4"/>
  <c r="S70" i="4"/>
  <c r="R70" i="4"/>
  <c r="S69" i="4"/>
  <c r="R69" i="4"/>
  <c r="S68" i="4"/>
  <c r="R68" i="4"/>
  <c r="S67" i="4"/>
  <c r="R67" i="4"/>
  <c r="S66" i="4"/>
  <c r="R66" i="4"/>
  <c r="S65" i="4"/>
  <c r="R65" i="4"/>
  <c r="S64" i="4"/>
  <c r="R64" i="4"/>
  <c r="S63" i="4"/>
  <c r="R63" i="4"/>
  <c r="S62" i="4"/>
  <c r="R62" i="4"/>
  <c r="S61" i="4"/>
  <c r="R61" i="4"/>
  <c r="S60" i="4"/>
  <c r="R60" i="4"/>
  <c r="S59" i="4"/>
  <c r="R59" i="4"/>
  <c r="S58" i="4"/>
  <c r="R58" i="4"/>
  <c r="E119" i="3" s="1"/>
  <c r="F119" i="3" s="1"/>
  <c r="S57" i="4"/>
  <c r="R57" i="4"/>
  <c r="S56" i="4"/>
  <c r="R56" i="4"/>
  <c r="E80" i="3" s="1"/>
  <c r="F80" i="3" s="1"/>
  <c r="S55" i="4"/>
  <c r="R55" i="4"/>
  <c r="E41" i="3" s="1"/>
  <c r="F41" i="3" s="1"/>
  <c r="S54" i="4"/>
  <c r="R54" i="4"/>
  <c r="E2" i="3" s="1"/>
  <c r="F2" i="3" s="1"/>
  <c r="A212" i="5" l="1"/>
  <c r="A988" i="5"/>
  <c r="A972" i="5"/>
  <c r="A956" i="5"/>
  <c r="A940" i="5"/>
  <c r="A924" i="5"/>
  <c r="A908" i="5"/>
  <c r="A892" i="5"/>
  <c r="A876" i="5"/>
  <c r="A860" i="5"/>
  <c r="A844" i="5"/>
  <c r="A828" i="5"/>
  <c r="A812" i="5"/>
  <c r="A796" i="5"/>
  <c r="A780" i="5"/>
  <c r="A764" i="5"/>
  <c r="A744" i="5"/>
  <c r="A723" i="5"/>
  <c r="A702" i="5"/>
  <c r="A680" i="5"/>
  <c r="A632" i="5"/>
  <c r="A568" i="5"/>
  <c r="A504" i="5"/>
  <c r="A431" i="5"/>
  <c r="A293" i="5"/>
  <c r="A1000" i="5"/>
  <c r="A984" i="5"/>
  <c r="A968" i="5"/>
  <c r="A952" i="5"/>
  <c r="A936" i="5"/>
  <c r="A920" i="5"/>
  <c r="A904" i="5"/>
  <c r="A888" i="5"/>
  <c r="A872" i="5"/>
  <c r="A856" i="5"/>
  <c r="A840" i="5"/>
  <c r="A824" i="5"/>
  <c r="A808" i="5"/>
  <c r="A792" i="5"/>
  <c r="A776" i="5"/>
  <c r="A760" i="5"/>
  <c r="A739" i="5"/>
  <c r="A718" i="5"/>
  <c r="A696" i="5"/>
  <c r="A675" i="5"/>
  <c r="A616" i="5"/>
  <c r="A552" i="5"/>
  <c r="A488" i="5"/>
  <c r="A410" i="5"/>
  <c r="A229" i="5"/>
  <c r="A996" i="5"/>
  <c r="A980" i="5"/>
  <c r="A964" i="5"/>
  <c r="A948" i="5"/>
  <c r="A932" i="5"/>
  <c r="A916" i="5"/>
  <c r="A900" i="5"/>
  <c r="A884" i="5"/>
  <c r="A868" i="5"/>
  <c r="A852" i="5"/>
  <c r="A836" i="5"/>
  <c r="A820" i="5"/>
  <c r="A804" i="5"/>
  <c r="A788" i="5"/>
  <c r="A772" i="5"/>
  <c r="A755" i="5"/>
  <c r="A734" i="5"/>
  <c r="A712" i="5"/>
  <c r="A691" i="5"/>
  <c r="A664" i="5"/>
  <c r="A600" i="5"/>
  <c r="A536" i="5"/>
  <c r="A472" i="5"/>
  <c r="A389" i="5"/>
  <c r="A24" i="5"/>
  <c r="A992" i="5"/>
  <c r="A976" i="5"/>
  <c r="A960" i="5"/>
  <c r="A944" i="5"/>
  <c r="A928" i="5"/>
  <c r="A912" i="5"/>
  <c r="A896" i="5"/>
  <c r="A880" i="5"/>
  <c r="A864" i="5"/>
  <c r="A848" i="5"/>
  <c r="A832" i="5"/>
  <c r="A816" i="5"/>
  <c r="A800" i="5"/>
  <c r="A784" i="5"/>
  <c r="A768" i="5"/>
  <c r="A750" i="5"/>
  <c r="A728" i="5"/>
  <c r="A707" i="5"/>
  <c r="A686" i="5"/>
  <c r="A648" i="5"/>
  <c r="A584" i="5"/>
  <c r="A520" i="5"/>
  <c r="A453" i="5"/>
  <c r="A357" i="5"/>
  <c r="A999" i="5"/>
  <c r="A995" i="5"/>
  <c r="A991" i="5"/>
  <c r="A987" i="5"/>
  <c r="A983" i="5"/>
  <c r="A979" i="5"/>
  <c r="A975" i="5"/>
  <c r="A971" i="5"/>
  <c r="A967" i="5"/>
  <c r="A963" i="5"/>
  <c r="A959" i="5"/>
  <c r="A955" i="5"/>
  <c r="A951" i="5"/>
  <c r="A947" i="5"/>
  <c r="A943" i="5"/>
  <c r="A939" i="5"/>
  <c r="A935" i="5"/>
  <c r="A931" i="5"/>
  <c r="A927" i="5"/>
  <c r="A923" i="5"/>
  <c r="A919" i="5"/>
  <c r="A915" i="5"/>
  <c r="A911" i="5"/>
  <c r="A907" i="5"/>
  <c r="A903" i="5"/>
  <c r="A899" i="5"/>
  <c r="A895" i="5"/>
  <c r="A891" i="5"/>
  <c r="A887" i="5"/>
  <c r="A883" i="5"/>
  <c r="A879" i="5"/>
  <c r="A875" i="5"/>
  <c r="A871" i="5"/>
  <c r="A867" i="5"/>
  <c r="A863" i="5"/>
  <c r="A859" i="5"/>
  <c r="A855" i="5"/>
  <c r="A851" i="5"/>
  <c r="A847" i="5"/>
  <c r="A843" i="5"/>
  <c r="A839" i="5"/>
  <c r="A835" i="5"/>
  <c r="A831" i="5"/>
  <c r="A827" i="5"/>
  <c r="A823" i="5"/>
  <c r="A819" i="5"/>
  <c r="A815" i="5"/>
  <c r="A811" i="5"/>
  <c r="A807" i="5"/>
  <c r="A803" i="5"/>
  <c r="A799" i="5"/>
  <c r="A795" i="5"/>
  <c r="A791" i="5"/>
  <c r="A787" i="5"/>
  <c r="A783" i="5"/>
  <c r="A779" i="5"/>
  <c r="A775" i="5"/>
  <c r="A771" i="5"/>
  <c r="A767" i="5"/>
  <c r="A763" i="5"/>
  <c r="A759" i="5"/>
  <c r="A754" i="5"/>
  <c r="A748" i="5"/>
  <c r="A743" i="5"/>
  <c r="A738" i="5"/>
  <c r="A732" i="5"/>
  <c r="A727" i="5"/>
  <c r="A722" i="5"/>
  <c r="A716" i="5"/>
  <c r="A711" i="5"/>
  <c r="A706" i="5"/>
  <c r="A700" i="5"/>
  <c r="A695" i="5"/>
  <c r="A690" i="5"/>
  <c r="A684" i="5"/>
  <c r="A679" i="5"/>
  <c r="A672" i="5"/>
  <c r="A660" i="5"/>
  <c r="A644" i="5"/>
  <c r="A628" i="5"/>
  <c r="A612" i="5"/>
  <c r="A596" i="5"/>
  <c r="A580" i="5"/>
  <c r="A564" i="5"/>
  <c r="A548" i="5"/>
  <c r="A532" i="5"/>
  <c r="A516" i="5"/>
  <c r="A500" i="5"/>
  <c r="A484" i="5"/>
  <c r="A468" i="5"/>
  <c r="A447" i="5"/>
  <c r="A426" i="5"/>
  <c r="A405" i="5"/>
  <c r="A383" i="5"/>
  <c r="A341" i="5"/>
  <c r="A277" i="5"/>
  <c r="A6" i="5"/>
  <c r="A10" i="5"/>
  <c r="A14" i="5"/>
  <c r="A18" i="5"/>
  <c r="A22" i="5"/>
  <c r="A26" i="5"/>
  <c r="A30" i="5"/>
  <c r="A34" i="5"/>
  <c r="A38" i="5"/>
  <c r="A42" i="5"/>
  <c r="A46" i="5"/>
  <c r="A50" i="5"/>
  <c r="A54" i="5"/>
  <c r="A58" i="5"/>
  <c r="A62" i="5"/>
  <c r="A66" i="5"/>
  <c r="A70" i="5"/>
  <c r="A74" i="5"/>
  <c r="A78" i="5"/>
  <c r="A82" i="5"/>
  <c r="A86" i="5"/>
  <c r="A90" i="5"/>
  <c r="A94" i="5"/>
  <c r="A98" i="5"/>
  <c r="A102" i="5"/>
  <c r="A106" i="5"/>
  <c r="A110" i="5"/>
  <c r="A114" i="5"/>
  <c r="A118" i="5"/>
  <c r="A122" i="5"/>
  <c r="A126" i="5"/>
  <c r="A130" i="5"/>
  <c r="A134" i="5"/>
  <c r="A138" i="5"/>
  <c r="A142" i="5"/>
  <c r="A146" i="5"/>
  <c r="A150" i="5"/>
  <c r="A154" i="5"/>
  <c r="A158" i="5"/>
  <c r="A162" i="5"/>
  <c r="A166" i="5"/>
  <c r="A170" i="5"/>
  <c r="A174" i="5"/>
  <c r="A178" i="5"/>
  <c r="A182" i="5"/>
  <c r="A186" i="5"/>
  <c r="A190" i="5"/>
  <c r="A194" i="5"/>
  <c r="A198" i="5"/>
  <c r="A202" i="5"/>
  <c r="A206" i="5"/>
  <c r="A210" i="5"/>
  <c r="A7" i="5"/>
  <c r="A11" i="5"/>
  <c r="A15" i="5"/>
  <c r="A19" i="5"/>
  <c r="A23" i="5"/>
  <c r="A27" i="5"/>
  <c r="A31" i="5"/>
  <c r="A35" i="5"/>
  <c r="A39" i="5"/>
  <c r="A43" i="5"/>
  <c r="A47" i="5"/>
  <c r="A51" i="5"/>
  <c r="A55" i="5"/>
  <c r="A59" i="5"/>
  <c r="A63" i="5"/>
  <c r="A67" i="5"/>
  <c r="A71" i="5"/>
  <c r="A75" i="5"/>
  <c r="A79" i="5"/>
  <c r="A83" i="5"/>
  <c r="A87" i="5"/>
  <c r="A91" i="5"/>
  <c r="A95" i="5"/>
  <c r="A99" i="5"/>
  <c r="A103" i="5"/>
  <c r="A107" i="5"/>
  <c r="A111" i="5"/>
  <c r="A115" i="5"/>
  <c r="A119" i="5"/>
  <c r="A123" i="5"/>
  <c r="A127" i="5"/>
  <c r="A131" i="5"/>
  <c r="A135" i="5"/>
  <c r="A139" i="5"/>
  <c r="A143" i="5"/>
  <c r="A147" i="5"/>
  <c r="A151" i="5"/>
  <c r="A155" i="5"/>
  <c r="A159" i="5"/>
  <c r="A163" i="5"/>
  <c r="A167" i="5"/>
  <c r="A171" i="5"/>
  <c r="A175" i="5"/>
  <c r="A179" i="5"/>
  <c r="A183" i="5"/>
  <c r="A187" i="5"/>
  <c r="A191" i="5"/>
  <c r="A195" i="5"/>
  <c r="A199" i="5"/>
  <c r="A203" i="5"/>
  <c r="A207" i="5"/>
  <c r="A5" i="5"/>
  <c r="A9" i="5"/>
  <c r="A13" i="5"/>
  <c r="A17" i="5"/>
  <c r="A21" i="5"/>
  <c r="A25" i="5"/>
  <c r="A29" i="5"/>
  <c r="A33" i="5"/>
  <c r="A37" i="5"/>
  <c r="A41" i="5"/>
  <c r="A45" i="5"/>
  <c r="A49" i="5"/>
  <c r="A53" i="5"/>
  <c r="A57" i="5"/>
  <c r="A61" i="5"/>
  <c r="A65" i="5"/>
  <c r="A69" i="5"/>
  <c r="A73" i="5"/>
  <c r="A77" i="5"/>
  <c r="A81" i="5"/>
  <c r="A85" i="5"/>
  <c r="A89" i="5"/>
  <c r="A93" i="5"/>
  <c r="A97" i="5"/>
  <c r="A101" i="5"/>
  <c r="A105" i="5"/>
  <c r="A109" i="5"/>
  <c r="A113" i="5"/>
  <c r="A117" i="5"/>
  <c r="A121" i="5"/>
  <c r="A125" i="5"/>
  <c r="A129" i="5"/>
  <c r="A133" i="5"/>
  <c r="A137" i="5"/>
  <c r="A141" i="5"/>
  <c r="A145" i="5"/>
  <c r="A149" i="5"/>
  <c r="A153" i="5"/>
  <c r="A157" i="5"/>
  <c r="A161" i="5"/>
  <c r="A165" i="5"/>
  <c r="A169" i="5"/>
  <c r="A173" i="5"/>
  <c r="A177" i="5"/>
  <c r="A181" i="5"/>
  <c r="A185" i="5"/>
  <c r="A189" i="5"/>
  <c r="A193" i="5"/>
  <c r="A197" i="5"/>
  <c r="A201" i="5"/>
  <c r="A205" i="5"/>
  <c r="A209" i="5"/>
  <c r="A213" i="5"/>
  <c r="A12" i="5"/>
  <c r="A28" i="5"/>
  <c r="A44" i="5"/>
  <c r="A60" i="5"/>
  <c r="A76" i="5"/>
  <c r="A92" i="5"/>
  <c r="A108" i="5"/>
  <c r="A124" i="5"/>
  <c r="A140" i="5"/>
  <c r="A156" i="5"/>
  <c r="A172" i="5"/>
  <c r="A188" i="5"/>
  <c r="A204" i="5"/>
  <c r="A214" i="5"/>
  <c r="A218" i="5"/>
  <c r="A222" i="5"/>
  <c r="A226" i="5"/>
  <c r="A230" i="5"/>
  <c r="A234" i="5"/>
  <c r="A238" i="5"/>
  <c r="A242" i="5"/>
  <c r="A246" i="5"/>
  <c r="A250" i="5"/>
  <c r="A254" i="5"/>
  <c r="A258" i="5"/>
  <c r="A262" i="5"/>
  <c r="A266" i="5"/>
  <c r="A270" i="5"/>
  <c r="A274" i="5"/>
  <c r="A278" i="5"/>
  <c r="A282" i="5"/>
  <c r="A286" i="5"/>
  <c r="A290" i="5"/>
  <c r="A294" i="5"/>
  <c r="A298" i="5"/>
  <c r="A302" i="5"/>
  <c r="A306" i="5"/>
  <c r="A310" i="5"/>
  <c r="A314" i="5"/>
  <c r="A318" i="5"/>
  <c r="A322" i="5"/>
  <c r="A326" i="5"/>
  <c r="A330" i="5"/>
  <c r="A334" i="5"/>
  <c r="A338" i="5"/>
  <c r="A342" i="5"/>
  <c r="A346" i="5"/>
  <c r="A350" i="5"/>
  <c r="A354" i="5"/>
  <c r="A358" i="5"/>
  <c r="A362" i="5"/>
  <c r="A366" i="5"/>
  <c r="A370" i="5"/>
  <c r="A16" i="5"/>
  <c r="A32" i="5"/>
  <c r="A48" i="5"/>
  <c r="A64" i="5"/>
  <c r="A80" i="5"/>
  <c r="A96" i="5"/>
  <c r="A112" i="5"/>
  <c r="A128" i="5"/>
  <c r="A144" i="5"/>
  <c r="A160" i="5"/>
  <c r="A176" i="5"/>
  <c r="A192" i="5"/>
  <c r="A208" i="5"/>
  <c r="A215" i="5"/>
  <c r="A219" i="5"/>
  <c r="A223" i="5"/>
  <c r="A227" i="5"/>
  <c r="A231" i="5"/>
  <c r="A235" i="5"/>
  <c r="A239" i="5"/>
  <c r="A243" i="5"/>
  <c r="A247" i="5"/>
  <c r="A251" i="5"/>
  <c r="A255" i="5"/>
  <c r="A259" i="5"/>
  <c r="A263" i="5"/>
  <c r="A267" i="5"/>
  <c r="A271" i="5"/>
  <c r="A275" i="5"/>
  <c r="A279" i="5"/>
  <c r="A283" i="5"/>
  <c r="A287" i="5"/>
  <c r="A291" i="5"/>
  <c r="A295" i="5"/>
  <c r="A299" i="5"/>
  <c r="A303" i="5"/>
  <c r="A307" i="5"/>
  <c r="A311" i="5"/>
  <c r="A315" i="5"/>
  <c r="A319" i="5"/>
  <c r="A323" i="5"/>
  <c r="A327" i="5"/>
  <c r="A331" i="5"/>
  <c r="A335" i="5"/>
  <c r="A339" i="5"/>
  <c r="A343" i="5"/>
  <c r="A347" i="5"/>
  <c r="A351" i="5"/>
  <c r="A355" i="5"/>
  <c r="A359" i="5"/>
  <c r="A363" i="5"/>
  <c r="A367" i="5"/>
  <c r="A371" i="5"/>
  <c r="A4" i="5"/>
  <c r="A20" i="5"/>
  <c r="A36" i="5"/>
  <c r="A52" i="5"/>
  <c r="A68" i="5"/>
  <c r="A84" i="5"/>
  <c r="A100" i="5"/>
  <c r="A116" i="5"/>
  <c r="A132" i="5"/>
  <c r="A148" i="5"/>
  <c r="A164" i="5"/>
  <c r="A180" i="5"/>
  <c r="A196" i="5"/>
  <c r="A211" i="5"/>
  <c r="A216" i="5"/>
  <c r="A220" i="5"/>
  <c r="A224" i="5"/>
  <c r="A228" i="5"/>
  <c r="A232" i="5"/>
  <c r="A236" i="5"/>
  <c r="A240" i="5"/>
  <c r="A244" i="5"/>
  <c r="A248" i="5"/>
  <c r="A252" i="5"/>
  <c r="A256" i="5"/>
  <c r="A260" i="5"/>
  <c r="A264" i="5"/>
  <c r="A268" i="5"/>
  <c r="A272" i="5"/>
  <c r="A276" i="5"/>
  <c r="A280" i="5"/>
  <c r="A284" i="5"/>
  <c r="A288" i="5"/>
  <c r="A292" i="5"/>
  <c r="A296" i="5"/>
  <c r="A300" i="5"/>
  <c r="A304" i="5"/>
  <c r="A308" i="5"/>
  <c r="A312" i="5"/>
  <c r="A316" i="5"/>
  <c r="A320" i="5"/>
  <c r="A324" i="5"/>
  <c r="A328" i="5"/>
  <c r="A332" i="5"/>
  <c r="A336" i="5"/>
  <c r="A340" i="5"/>
  <c r="A344" i="5"/>
  <c r="A348" i="5"/>
  <c r="A352" i="5"/>
  <c r="A356" i="5"/>
  <c r="A360" i="5"/>
  <c r="A364" i="5"/>
  <c r="A368" i="5"/>
  <c r="A372" i="5"/>
  <c r="A376" i="5"/>
  <c r="A380" i="5"/>
  <c r="A384" i="5"/>
  <c r="A388" i="5"/>
  <c r="A392" i="5"/>
  <c r="A396" i="5"/>
  <c r="A400" i="5"/>
  <c r="A404" i="5"/>
  <c r="A408" i="5"/>
  <c r="A412" i="5"/>
  <c r="A416" i="5"/>
  <c r="A420" i="5"/>
  <c r="A424" i="5"/>
  <c r="A428" i="5"/>
  <c r="A432" i="5"/>
  <c r="A436" i="5"/>
  <c r="A440" i="5"/>
  <c r="A444" i="5"/>
  <c r="A448" i="5"/>
  <c r="A452" i="5"/>
  <c r="A456" i="5"/>
  <c r="A460" i="5"/>
  <c r="A464" i="5"/>
  <c r="A56" i="5"/>
  <c r="A120" i="5"/>
  <c r="A184" i="5"/>
  <c r="A221" i="5"/>
  <c r="A237" i="5"/>
  <c r="A253" i="5"/>
  <c r="A269" i="5"/>
  <c r="A285" i="5"/>
  <c r="A301" i="5"/>
  <c r="A317" i="5"/>
  <c r="A333" i="5"/>
  <c r="A349" i="5"/>
  <c r="A365" i="5"/>
  <c r="A375" i="5"/>
  <c r="A381" i="5"/>
  <c r="A386" i="5"/>
  <c r="A391" i="5"/>
  <c r="A397" i="5"/>
  <c r="A402" i="5"/>
  <c r="A407" i="5"/>
  <c r="A413" i="5"/>
  <c r="A418" i="5"/>
  <c r="A423" i="5"/>
  <c r="A429" i="5"/>
  <c r="A434" i="5"/>
  <c r="A439" i="5"/>
  <c r="A445" i="5"/>
  <c r="A450" i="5"/>
  <c r="A455" i="5"/>
  <c r="A461" i="5"/>
  <c r="A466" i="5"/>
  <c r="A470" i="5"/>
  <c r="A474" i="5"/>
  <c r="A478" i="5"/>
  <c r="A482" i="5"/>
  <c r="A486" i="5"/>
  <c r="A490" i="5"/>
  <c r="A494" i="5"/>
  <c r="A498" i="5"/>
  <c r="A502" i="5"/>
  <c r="A506" i="5"/>
  <c r="A510" i="5"/>
  <c r="A514" i="5"/>
  <c r="A518" i="5"/>
  <c r="A522" i="5"/>
  <c r="A526" i="5"/>
  <c r="A530" i="5"/>
  <c r="A534" i="5"/>
  <c r="A538" i="5"/>
  <c r="A542" i="5"/>
  <c r="A546" i="5"/>
  <c r="A550" i="5"/>
  <c r="A554" i="5"/>
  <c r="A558" i="5"/>
  <c r="A562" i="5"/>
  <c r="A566" i="5"/>
  <c r="A570" i="5"/>
  <c r="A574" i="5"/>
  <c r="A578" i="5"/>
  <c r="A582" i="5"/>
  <c r="A586" i="5"/>
  <c r="A590" i="5"/>
  <c r="A594" i="5"/>
  <c r="A598" i="5"/>
  <c r="A602" i="5"/>
  <c r="A606" i="5"/>
  <c r="A610" i="5"/>
  <c r="A614" i="5"/>
  <c r="A618" i="5"/>
  <c r="A622" i="5"/>
  <c r="A626" i="5"/>
  <c r="A630" i="5"/>
  <c r="A634" i="5"/>
  <c r="A638" i="5"/>
  <c r="A642" i="5"/>
  <c r="A646" i="5"/>
  <c r="A650" i="5"/>
  <c r="A654" i="5"/>
  <c r="A658" i="5"/>
  <c r="A662" i="5"/>
  <c r="A666" i="5"/>
  <c r="A670" i="5"/>
  <c r="A674" i="5"/>
  <c r="A8" i="5"/>
  <c r="A72" i="5"/>
  <c r="A136" i="5"/>
  <c r="A200" i="5"/>
  <c r="A225" i="5"/>
  <c r="A241" i="5"/>
  <c r="A257" i="5"/>
  <c r="A273" i="5"/>
  <c r="A289" i="5"/>
  <c r="A305" i="5"/>
  <c r="A321" i="5"/>
  <c r="A337" i="5"/>
  <c r="A353" i="5"/>
  <c r="A369" i="5"/>
  <c r="A377" i="5"/>
  <c r="A382" i="5"/>
  <c r="A387" i="5"/>
  <c r="A393" i="5"/>
  <c r="A398" i="5"/>
  <c r="A403" i="5"/>
  <c r="A409" i="5"/>
  <c r="A414" i="5"/>
  <c r="A419" i="5"/>
  <c r="A425" i="5"/>
  <c r="A430" i="5"/>
  <c r="A435" i="5"/>
  <c r="A441" i="5"/>
  <c r="A446" i="5"/>
  <c r="A451" i="5"/>
  <c r="A457" i="5"/>
  <c r="A462" i="5"/>
  <c r="A467" i="5"/>
  <c r="A471" i="5"/>
  <c r="A475" i="5"/>
  <c r="A479" i="5"/>
  <c r="A483" i="5"/>
  <c r="A487" i="5"/>
  <c r="A491" i="5"/>
  <c r="A495" i="5"/>
  <c r="A499" i="5"/>
  <c r="A503" i="5"/>
  <c r="A507" i="5"/>
  <c r="A511" i="5"/>
  <c r="A515" i="5"/>
  <c r="A519" i="5"/>
  <c r="A523" i="5"/>
  <c r="A527" i="5"/>
  <c r="A531" i="5"/>
  <c r="A535" i="5"/>
  <c r="A539" i="5"/>
  <c r="A543" i="5"/>
  <c r="A547" i="5"/>
  <c r="A551" i="5"/>
  <c r="A555" i="5"/>
  <c r="A559" i="5"/>
  <c r="A563" i="5"/>
  <c r="A567" i="5"/>
  <c r="A571" i="5"/>
  <c r="A575" i="5"/>
  <c r="A579" i="5"/>
  <c r="A583" i="5"/>
  <c r="A587" i="5"/>
  <c r="A591" i="5"/>
  <c r="A595" i="5"/>
  <c r="A599" i="5"/>
  <c r="A603" i="5"/>
  <c r="A607" i="5"/>
  <c r="A611" i="5"/>
  <c r="A615" i="5"/>
  <c r="A619" i="5"/>
  <c r="A623" i="5"/>
  <c r="A627" i="5"/>
  <c r="A631" i="5"/>
  <c r="A635" i="5"/>
  <c r="A639" i="5"/>
  <c r="A643" i="5"/>
  <c r="A647" i="5"/>
  <c r="A651" i="5"/>
  <c r="A655" i="5"/>
  <c r="A659" i="5"/>
  <c r="A663" i="5"/>
  <c r="A667" i="5"/>
  <c r="A40" i="5"/>
  <c r="A104" i="5"/>
  <c r="A168" i="5"/>
  <c r="A217" i="5"/>
  <c r="A233" i="5"/>
  <c r="A249" i="5"/>
  <c r="A265" i="5"/>
  <c r="A281" i="5"/>
  <c r="A297" i="5"/>
  <c r="A313" i="5"/>
  <c r="A329" i="5"/>
  <c r="A345" i="5"/>
  <c r="A361" i="5"/>
  <c r="A374" i="5"/>
  <c r="A379" i="5"/>
  <c r="A385" i="5"/>
  <c r="A390" i="5"/>
  <c r="A395" i="5"/>
  <c r="A401" i="5"/>
  <c r="A406" i="5"/>
  <c r="A411" i="5"/>
  <c r="A417" i="5"/>
  <c r="A422" i="5"/>
  <c r="A427" i="5"/>
  <c r="A433" i="5"/>
  <c r="A438" i="5"/>
  <c r="A443" i="5"/>
  <c r="A449" i="5"/>
  <c r="A454" i="5"/>
  <c r="A459" i="5"/>
  <c r="A465" i="5"/>
  <c r="A469" i="5"/>
  <c r="A473" i="5"/>
  <c r="A477" i="5"/>
  <c r="A481" i="5"/>
  <c r="A485" i="5"/>
  <c r="A489" i="5"/>
  <c r="A493" i="5"/>
  <c r="A497" i="5"/>
  <c r="A501" i="5"/>
  <c r="A505" i="5"/>
  <c r="A509" i="5"/>
  <c r="A513" i="5"/>
  <c r="A517" i="5"/>
  <c r="A521" i="5"/>
  <c r="A525" i="5"/>
  <c r="A529" i="5"/>
  <c r="A533" i="5"/>
  <c r="A537" i="5"/>
  <c r="A541" i="5"/>
  <c r="A545" i="5"/>
  <c r="A549" i="5"/>
  <c r="A553" i="5"/>
  <c r="A557" i="5"/>
  <c r="A561" i="5"/>
  <c r="A565" i="5"/>
  <c r="A569" i="5"/>
  <c r="A573" i="5"/>
  <c r="A577" i="5"/>
  <c r="A581" i="5"/>
  <c r="A585" i="5"/>
  <c r="A589" i="5"/>
  <c r="A593" i="5"/>
  <c r="A597" i="5"/>
  <c r="A601" i="5"/>
  <c r="A605" i="5"/>
  <c r="A609" i="5"/>
  <c r="A613" i="5"/>
  <c r="A617" i="5"/>
  <c r="A621" i="5"/>
  <c r="A625" i="5"/>
  <c r="A629" i="5"/>
  <c r="A633" i="5"/>
  <c r="A637" i="5"/>
  <c r="A641" i="5"/>
  <c r="A645" i="5"/>
  <c r="A649" i="5"/>
  <c r="A653" i="5"/>
  <c r="A657" i="5"/>
  <c r="A661" i="5"/>
  <c r="A665" i="5"/>
  <c r="A669" i="5"/>
  <c r="A673" i="5"/>
  <c r="A677" i="5"/>
  <c r="A681" i="5"/>
  <c r="A685" i="5"/>
  <c r="A689" i="5"/>
  <c r="A693" i="5"/>
  <c r="A697" i="5"/>
  <c r="A701" i="5"/>
  <c r="A705" i="5"/>
  <c r="A709" i="5"/>
  <c r="A713" i="5"/>
  <c r="A717" i="5"/>
  <c r="A721" i="5"/>
  <c r="A725" i="5"/>
  <c r="A729" i="5"/>
  <c r="A733" i="5"/>
  <c r="A737" i="5"/>
  <c r="A741" i="5"/>
  <c r="A745" i="5"/>
  <c r="A749" i="5"/>
  <c r="A753" i="5"/>
  <c r="A757" i="5"/>
  <c r="A998" i="5"/>
  <c r="A994" i="5"/>
  <c r="A990" i="5"/>
  <c r="A986" i="5"/>
  <c r="A982" i="5"/>
  <c r="A978" i="5"/>
  <c r="A974" i="5"/>
  <c r="A970" i="5"/>
  <c r="A966" i="5"/>
  <c r="A962" i="5"/>
  <c r="A958" i="5"/>
  <c r="A954" i="5"/>
  <c r="A950" i="5"/>
  <c r="A946" i="5"/>
  <c r="A942" i="5"/>
  <c r="A938" i="5"/>
  <c r="A934" i="5"/>
  <c r="A930" i="5"/>
  <c r="A926" i="5"/>
  <c r="A922" i="5"/>
  <c r="A918" i="5"/>
  <c r="A914" i="5"/>
  <c r="A910" i="5"/>
  <c r="A906" i="5"/>
  <c r="A902" i="5"/>
  <c r="A898" i="5"/>
  <c r="A894" i="5"/>
  <c r="A890" i="5"/>
  <c r="A886" i="5"/>
  <c r="A882" i="5"/>
  <c r="A878" i="5"/>
  <c r="A874" i="5"/>
  <c r="A870" i="5"/>
  <c r="A866" i="5"/>
  <c r="A862" i="5"/>
  <c r="A858" i="5"/>
  <c r="A854" i="5"/>
  <c r="A850" i="5"/>
  <c r="A846" i="5"/>
  <c r="A842" i="5"/>
  <c r="A838" i="5"/>
  <c r="A834" i="5"/>
  <c r="A830" i="5"/>
  <c r="A826" i="5"/>
  <c r="A822" i="5"/>
  <c r="A818" i="5"/>
  <c r="A814" i="5"/>
  <c r="A810" i="5"/>
  <c r="A806" i="5"/>
  <c r="A802" i="5"/>
  <c r="A798" i="5"/>
  <c r="A794" i="5"/>
  <c r="A790" i="5"/>
  <c r="A786" i="5"/>
  <c r="A782" i="5"/>
  <c r="A778" i="5"/>
  <c r="A774" i="5"/>
  <c r="A770" i="5"/>
  <c r="A766" i="5"/>
  <c r="A762" i="5"/>
  <c r="A758" i="5"/>
  <c r="A752" i="5"/>
  <c r="A747" i="5"/>
  <c r="A742" i="5"/>
  <c r="A736" i="5"/>
  <c r="A731" i="5"/>
  <c r="A726" i="5"/>
  <c r="A720" i="5"/>
  <c r="A715" i="5"/>
  <c r="A710" i="5"/>
  <c r="A704" i="5"/>
  <c r="A699" i="5"/>
  <c r="A694" i="5"/>
  <c r="A688" i="5"/>
  <c r="A683" i="5"/>
  <c r="A678" i="5"/>
  <c r="A671" i="5"/>
  <c r="A656" i="5"/>
  <c r="A640" i="5"/>
  <c r="A624" i="5"/>
  <c r="A608" i="5"/>
  <c r="A592" i="5"/>
  <c r="A576" i="5"/>
  <c r="A560" i="5"/>
  <c r="A544" i="5"/>
  <c r="A528" i="5"/>
  <c r="A512" i="5"/>
  <c r="A496" i="5"/>
  <c r="A480" i="5"/>
  <c r="A463" i="5"/>
  <c r="A442" i="5"/>
  <c r="A421" i="5"/>
  <c r="A399" i="5"/>
  <c r="A378" i="5"/>
  <c r="A325" i="5"/>
  <c r="A261" i="5"/>
  <c r="A152" i="5"/>
  <c r="A3" i="5"/>
  <c r="A997" i="5"/>
  <c r="A993" i="5"/>
  <c r="A989" i="5"/>
  <c r="A985" i="5"/>
  <c r="A981" i="5"/>
  <c r="A977" i="5"/>
  <c r="A973" i="5"/>
  <c r="A969" i="5"/>
  <c r="A965" i="5"/>
  <c r="A961" i="5"/>
  <c r="A957" i="5"/>
  <c r="A953" i="5"/>
  <c r="A949" i="5"/>
  <c r="A945" i="5"/>
  <c r="A941" i="5"/>
  <c r="A937" i="5"/>
  <c r="A933" i="5"/>
  <c r="A929" i="5"/>
  <c r="A925" i="5"/>
  <c r="A921" i="5"/>
  <c r="A917" i="5"/>
  <c r="A913" i="5"/>
  <c r="A909" i="5"/>
  <c r="A905" i="5"/>
  <c r="A901" i="5"/>
  <c r="A897" i="5"/>
  <c r="A893" i="5"/>
  <c r="A889" i="5"/>
  <c r="A885" i="5"/>
  <c r="A881" i="5"/>
  <c r="A877" i="5"/>
  <c r="A873" i="5"/>
  <c r="A869" i="5"/>
  <c r="A865" i="5"/>
  <c r="A861" i="5"/>
  <c r="A857" i="5"/>
  <c r="A853" i="5"/>
  <c r="A849" i="5"/>
  <c r="A845" i="5"/>
  <c r="A841" i="5"/>
  <c r="A837" i="5"/>
  <c r="A833" i="5"/>
  <c r="A829" i="5"/>
  <c r="A825" i="5"/>
  <c r="A821" i="5"/>
  <c r="A817" i="5"/>
  <c r="A813" i="5"/>
  <c r="A809" i="5"/>
  <c r="A805" i="5"/>
  <c r="A801" i="5"/>
  <c r="A797" i="5"/>
  <c r="A793" i="5"/>
  <c r="A789" i="5"/>
  <c r="A785" i="5"/>
  <c r="A781" i="5"/>
  <c r="A777" i="5"/>
  <c r="A773" i="5"/>
  <c r="A769" i="5"/>
  <c r="A765" i="5"/>
  <c r="A761" i="5"/>
  <c r="A756" i="5"/>
  <c r="A751" i="5"/>
  <c r="A746" i="5"/>
  <c r="A740" i="5"/>
  <c r="A735" i="5"/>
  <c r="A730" i="5"/>
  <c r="A724" i="5"/>
  <c r="A719" i="5"/>
  <c r="A714" i="5"/>
  <c r="A708" i="5"/>
  <c r="A703" i="5"/>
  <c r="A698" i="5"/>
  <c r="A692" i="5"/>
  <c r="A687" i="5"/>
  <c r="A682" i="5"/>
  <c r="A676" i="5"/>
  <c r="A668" i="5"/>
  <c r="A652" i="5"/>
  <c r="A636" i="5"/>
  <c r="A620" i="5"/>
  <c r="A604" i="5"/>
  <c r="A588" i="5"/>
  <c r="A572" i="5"/>
  <c r="A556" i="5"/>
  <c r="A540" i="5"/>
  <c r="A524" i="5"/>
  <c r="A508" i="5"/>
  <c r="A492" i="5"/>
  <c r="A476" i="5"/>
  <c r="A458" i="5"/>
  <c r="A437" i="5"/>
  <c r="A415" i="5"/>
  <c r="A394" i="5"/>
  <c r="A373" i="5"/>
  <c r="A309" i="5"/>
  <c r="A245" i="5"/>
  <c r="A88" i="5"/>
  <c r="F4" i="3" l="1"/>
  <c r="J4" i="3"/>
  <c r="N4" i="3"/>
  <c r="F5" i="3"/>
  <c r="J5" i="3"/>
  <c r="N5" i="3"/>
  <c r="F6" i="3"/>
  <c r="J6" i="3"/>
  <c r="N6" i="3"/>
  <c r="F7" i="3"/>
  <c r="J7" i="3"/>
  <c r="N7" i="3"/>
  <c r="F8" i="3"/>
  <c r="J8" i="3"/>
  <c r="N8" i="3"/>
  <c r="F9" i="3"/>
  <c r="J9" i="3"/>
  <c r="N9" i="3"/>
  <c r="F10" i="3"/>
  <c r="J10" i="3"/>
  <c r="N10" i="3"/>
  <c r="F11" i="3"/>
  <c r="J11" i="3"/>
  <c r="N11" i="3"/>
  <c r="F12" i="3"/>
  <c r="J12" i="3"/>
  <c r="N12" i="3"/>
  <c r="F13" i="3"/>
  <c r="J13" i="3"/>
  <c r="N13" i="3"/>
  <c r="F14" i="3"/>
  <c r="J14" i="3"/>
  <c r="N14" i="3"/>
  <c r="F15" i="3"/>
  <c r="J15" i="3"/>
  <c r="N15" i="3"/>
  <c r="F16" i="3"/>
  <c r="J16" i="3"/>
  <c r="N16" i="3"/>
  <c r="F17" i="3"/>
  <c r="J17" i="3"/>
  <c r="N17" i="3"/>
  <c r="F18" i="3"/>
  <c r="J18" i="3"/>
  <c r="N18" i="3"/>
  <c r="F19" i="3"/>
  <c r="J19" i="3"/>
  <c r="N19" i="3"/>
  <c r="F20" i="3"/>
  <c r="J20" i="3"/>
  <c r="N20" i="3"/>
  <c r="F21" i="3"/>
  <c r="J21" i="3"/>
  <c r="N21" i="3"/>
  <c r="F22" i="3"/>
  <c r="J22" i="3"/>
  <c r="N22" i="3"/>
  <c r="F23" i="3"/>
  <c r="J23" i="3"/>
  <c r="N23" i="3"/>
  <c r="F24" i="3"/>
  <c r="J24" i="3"/>
  <c r="N24" i="3"/>
  <c r="F25" i="3"/>
  <c r="J25" i="3"/>
  <c r="N25" i="3"/>
  <c r="F26" i="3"/>
  <c r="J26" i="3"/>
  <c r="N26" i="3"/>
  <c r="F27" i="3"/>
  <c r="J27" i="3"/>
  <c r="N27" i="3"/>
  <c r="F28" i="3"/>
  <c r="J28" i="3"/>
  <c r="N28" i="3"/>
  <c r="F29" i="3"/>
  <c r="J29" i="3"/>
  <c r="N29" i="3"/>
  <c r="F30" i="3"/>
  <c r="J30" i="3"/>
  <c r="N30" i="3"/>
  <c r="C4" i="3"/>
  <c r="G4" i="3"/>
  <c r="K4" i="3"/>
  <c r="C5" i="3"/>
  <c r="G5" i="3"/>
  <c r="K5" i="3"/>
  <c r="C6" i="3"/>
  <c r="G6" i="3"/>
  <c r="K6" i="3"/>
  <c r="C7" i="3"/>
  <c r="G7" i="3"/>
  <c r="K7" i="3"/>
  <c r="C8" i="3"/>
  <c r="G8" i="3"/>
  <c r="K8" i="3"/>
  <c r="C9" i="3"/>
  <c r="G9" i="3"/>
  <c r="K9" i="3"/>
  <c r="C10" i="3"/>
  <c r="G10" i="3"/>
  <c r="K10" i="3"/>
  <c r="C11" i="3"/>
  <c r="G11" i="3"/>
  <c r="K11" i="3"/>
  <c r="C12" i="3"/>
  <c r="G12" i="3"/>
  <c r="K12" i="3"/>
  <c r="C13" i="3"/>
  <c r="G13" i="3"/>
  <c r="K13" i="3"/>
  <c r="C14" i="3"/>
  <c r="G14" i="3"/>
  <c r="K14" i="3"/>
  <c r="C15" i="3"/>
  <c r="G15" i="3"/>
  <c r="K15" i="3"/>
  <c r="C16" i="3"/>
  <c r="G16" i="3"/>
  <c r="K16" i="3"/>
  <c r="C17" i="3"/>
  <c r="G17" i="3"/>
  <c r="K17" i="3"/>
  <c r="C18" i="3"/>
  <c r="G18" i="3"/>
  <c r="K18" i="3"/>
  <c r="C19" i="3"/>
  <c r="G19" i="3"/>
  <c r="K19" i="3"/>
  <c r="C20" i="3"/>
  <c r="G20" i="3"/>
  <c r="K20" i="3"/>
  <c r="C21" i="3"/>
  <c r="G21" i="3"/>
  <c r="K21" i="3"/>
  <c r="C22" i="3"/>
  <c r="G22" i="3"/>
  <c r="K22" i="3"/>
  <c r="C23" i="3"/>
  <c r="G23" i="3"/>
  <c r="K23" i="3"/>
  <c r="C24" i="3"/>
  <c r="G24" i="3"/>
  <c r="K24" i="3"/>
  <c r="C25" i="3"/>
  <c r="G25" i="3"/>
  <c r="K25" i="3"/>
  <c r="C26" i="3"/>
  <c r="G26" i="3"/>
  <c r="K26" i="3"/>
  <c r="C27" i="3"/>
  <c r="G27" i="3"/>
  <c r="K27" i="3"/>
  <c r="C28" i="3"/>
  <c r="G28" i="3"/>
  <c r="K28" i="3"/>
  <c r="C29" i="3"/>
  <c r="G29" i="3"/>
  <c r="D4" i="3"/>
  <c r="H4" i="3"/>
  <c r="L4" i="3"/>
  <c r="D5" i="3"/>
  <c r="H5" i="3"/>
  <c r="L5" i="3"/>
  <c r="D6" i="3"/>
  <c r="H6" i="3"/>
  <c r="L6" i="3"/>
  <c r="D7" i="3"/>
  <c r="H7" i="3"/>
  <c r="L7" i="3"/>
  <c r="D8" i="3"/>
  <c r="H8" i="3"/>
  <c r="L8" i="3"/>
  <c r="D9" i="3"/>
  <c r="H9" i="3"/>
  <c r="L9" i="3"/>
  <c r="D10" i="3"/>
  <c r="H10" i="3"/>
  <c r="L10" i="3"/>
  <c r="D11" i="3"/>
  <c r="H11" i="3"/>
  <c r="L11" i="3"/>
  <c r="D12" i="3"/>
  <c r="H12" i="3"/>
  <c r="L12" i="3"/>
  <c r="D13" i="3"/>
  <c r="H13" i="3"/>
  <c r="L13" i="3"/>
  <c r="D14" i="3"/>
  <c r="H14" i="3"/>
  <c r="L14" i="3"/>
  <c r="D15" i="3"/>
  <c r="H15" i="3"/>
  <c r="L15" i="3"/>
  <c r="D16" i="3"/>
  <c r="H16" i="3"/>
  <c r="L16" i="3"/>
  <c r="D17" i="3"/>
  <c r="H17" i="3"/>
  <c r="L17" i="3"/>
  <c r="D18" i="3"/>
  <c r="H18" i="3"/>
  <c r="L18" i="3"/>
  <c r="D19" i="3"/>
  <c r="H19" i="3"/>
  <c r="L19" i="3"/>
  <c r="D20" i="3"/>
  <c r="H20" i="3"/>
  <c r="L20" i="3"/>
  <c r="D21" i="3"/>
  <c r="H21" i="3"/>
  <c r="L21" i="3"/>
  <c r="D22" i="3"/>
  <c r="H22" i="3"/>
  <c r="L22" i="3"/>
  <c r="D23" i="3"/>
  <c r="H23" i="3"/>
  <c r="L23" i="3"/>
  <c r="D24" i="3"/>
  <c r="H24" i="3"/>
  <c r="L24" i="3"/>
  <c r="D25" i="3"/>
  <c r="H25" i="3"/>
  <c r="L25" i="3"/>
  <c r="D26" i="3"/>
  <c r="H26" i="3"/>
  <c r="L26" i="3"/>
  <c r="D27" i="3"/>
  <c r="H27" i="3"/>
  <c r="L27" i="3"/>
  <c r="D28" i="3"/>
  <c r="H28" i="3"/>
  <c r="L28" i="3"/>
  <c r="D29" i="3"/>
  <c r="H29" i="3"/>
  <c r="L29" i="3"/>
  <c r="D30" i="3"/>
  <c r="E4" i="3"/>
  <c r="I4" i="3"/>
  <c r="M4" i="3"/>
  <c r="E5" i="3"/>
  <c r="I5" i="3"/>
  <c r="M5" i="3"/>
  <c r="E6" i="3"/>
  <c r="I6" i="3"/>
  <c r="M6" i="3"/>
  <c r="E7" i="3"/>
  <c r="I7" i="3"/>
  <c r="M7" i="3"/>
  <c r="E8" i="3"/>
  <c r="I8" i="3"/>
  <c r="M8" i="3"/>
  <c r="E9" i="3"/>
  <c r="I9" i="3"/>
  <c r="M9" i="3"/>
  <c r="E10" i="3"/>
  <c r="I10" i="3"/>
  <c r="M10" i="3"/>
  <c r="E11" i="3"/>
  <c r="I11" i="3"/>
  <c r="M11" i="3"/>
  <c r="E12" i="3"/>
  <c r="I12" i="3"/>
  <c r="M12" i="3"/>
  <c r="E13" i="3"/>
  <c r="I13" i="3"/>
  <c r="M13" i="3"/>
  <c r="E14" i="3"/>
  <c r="I14" i="3"/>
  <c r="M14" i="3"/>
  <c r="E15" i="3"/>
  <c r="I15" i="3"/>
  <c r="M15" i="3"/>
  <c r="E16" i="3"/>
  <c r="I16" i="3"/>
  <c r="M16" i="3"/>
  <c r="E17" i="3"/>
  <c r="I17" i="3"/>
  <c r="M17" i="3"/>
  <c r="E18" i="3"/>
  <c r="I18" i="3"/>
  <c r="M18" i="3"/>
  <c r="E19" i="3"/>
  <c r="I19" i="3"/>
  <c r="M19" i="3"/>
  <c r="E20" i="3"/>
  <c r="I20" i="3"/>
  <c r="M20" i="3"/>
  <c r="E21" i="3"/>
  <c r="I21" i="3"/>
  <c r="M21" i="3"/>
  <c r="E22" i="3"/>
  <c r="I22" i="3"/>
  <c r="M22" i="3"/>
  <c r="E23" i="3"/>
  <c r="I23" i="3"/>
  <c r="M23" i="3"/>
  <c r="E24" i="3"/>
  <c r="I24" i="3"/>
  <c r="M24" i="3"/>
  <c r="E25" i="3"/>
  <c r="I25" i="3"/>
  <c r="M25" i="3"/>
  <c r="E26" i="3"/>
  <c r="I26" i="3"/>
  <c r="M26" i="3"/>
  <c r="E27" i="3"/>
  <c r="I27" i="3"/>
  <c r="M27" i="3"/>
  <c r="E28" i="3"/>
  <c r="I28" i="3"/>
  <c r="M28" i="3"/>
  <c r="E29" i="3"/>
  <c r="I29" i="3"/>
  <c r="M29" i="3"/>
  <c r="E30" i="3"/>
  <c r="I30" i="3"/>
  <c r="M30" i="3"/>
  <c r="E31" i="3"/>
  <c r="I31" i="3"/>
  <c r="M31" i="3"/>
  <c r="E32" i="3"/>
  <c r="H30" i="3"/>
  <c r="D31" i="3"/>
  <c r="J31" i="3"/>
  <c r="C32" i="3"/>
  <c r="H32" i="3"/>
  <c r="L32" i="3"/>
  <c r="D33" i="3"/>
  <c r="H33" i="3"/>
  <c r="L33" i="3"/>
  <c r="D34" i="3"/>
  <c r="H34" i="3"/>
  <c r="L34" i="3"/>
  <c r="D35" i="3"/>
  <c r="H35" i="3"/>
  <c r="L35" i="3"/>
  <c r="D36" i="3"/>
  <c r="H36" i="3"/>
  <c r="L36" i="3"/>
  <c r="D37" i="3"/>
  <c r="H37" i="3"/>
  <c r="L37" i="3"/>
  <c r="D38" i="3"/>
  <c r="H38" i="3"/>
  <c r="L38" i="3"/>
  <c r="B6" i="3"/>
  <c r="B10" i="3"/>
  <c r="B14" i="3"/>
  <c r="B18" i="3"/>
  <c r="B22" i="3"/>
  <c r="B26" i="3"/>
  <c r="B30" i="3"/>
  <c r="B34" i="3"/>
  <c r="B38" i="3"/>
  <c r="K29" i="3"/>
  <c r="K30" i="3"/>
  <c r="F31" i="3"/>
  <c r="K31" i="3"/>
  <c r="D32" i="3"/>
  <c r="I32" i="3"/>
  <c r="M32" i="3"/>
  <c r="E33" i="3"/>
  <c r="I33" i="3"/>
  <c r="M33" i="3"/>
  <c r="E34" i="3"/>
  <c r="I34" i="3"/>
  <c r="M34" i="3"/>
  <c r="E35" i="3"/>
  <c r="I35" i="3"/>
  <c r="M35" i="3"/>
  <c r="E36" i="3"/>
  <c r="I36" i="3"/>
  <c r="M36" i="3"/>
  <c r="E37" i="3"/>
  <c r="I37" i="3"/>
  <c r="M37" i="3"/>
  <c r="E38" i="3"/>
  <c r="I38" i="3"/>
  <c r="M38" i="3"/>
  <c r="B7" i="3"/>
  <c r="B11" i="3"/>
  <c r="B15" i="3"/>
  <c r="B19" i="3"/>
  <c r="B23" i="3"/>
  <c r="B27" i="3"/>
  <c r="B31" i="3"/>
  <c r="B35" i="3"/>
  <c r="B4" i="3"/>
  <c r="G30" i="3"/>
  <c r="C31" i="3"/>
  <c r="H31" i="3"/>
  <c r="N31" i="3"/>
  <c r="G32" i="3"/>
  <c r="K32" i="3"/>
  <c r="C33" i="3"/>
  <c r="G33" i="3"/>
  <c r="K33" i="3"/>
  <c r="C34" i="3"/>
  <c r="G34" i="3"/>
  <c r="K34" i="3"/>
  <c r="C35" i="3"/>
  <c r="G35" i="3"/>
  <c r="K35" i="3"/>
  <c r="C36" i="3"/>
  <c r="G36" i="3"/>
  <c r="K36" i="3"/>
  <c r="C37" i="3"/>
  <c r="G37" i="3"/>
  <c r="K37" i="3"/>
  <c r="C38" i="3"/>
  <c r="G38" i="3"/>
  <c r="K38" i="3"/>
  <c r="B5" i="3"/>
  <c r="B9" i="3"/>
  <c r="B13" i="3"/>
  <c r="B17" i="3"/>
  <c r="B21" i="3"/>
  <c r="B25" i="3"/>
  <c r="B29" i="3"/>
  <c r="B33" i="3"/>
  <c r="B37" i="3"/>
  <c r="L31" i="3"/>
  <c r="F33" i="3"/>
  <c r="J34" i="3"/>
  <c r="N35" i="3"/>
  <c r="F37" i="3"/>
  <c r="J38" i="3"/>
  <c r="B16" i="3"/>
  <c r="B32" i="3"/>
  <c r="C30" i="3"/>
  <c r="F32" i="3"/>
  <c r="J33" i="3"/>
  <c r="N34" i="3"/>
  <c r="F36" i="3"/>
  <c r="J37" i="3"/>
  <c r="N38" i="3"/>
  <c r="B20" i="3"/>
  <c r="B36" i="3"/>
  <c r="L30" i="3"/>
  <c r="J32" i="3"/>
  <c r="N33" i="3"/>
  <c r="F35" i="3"/>
  <c r="J36" i="3"/>
  <c r="N37" i="3"/>
  <c r="B8" i="3"/>
  <c r="B24" i="3"/>
  <c r="J35" i="3"/>
  <c r="B28" i="3"/>
  <c r="G31" i="3"/>
  <c r="N36" i="3"/>
  <c r="F34" i="3"/>
  <c r="B12" i="3"/>
  <c r="N32" i="3"/>
  <c r="F38" i="3"/>
</calcChain>
</file>

<file path=xl/sharedStrings.xml><?xml version="1.0" encoding="utf-8"?>
<sst xmlns="http://schemas.openxmlformats.org/spreadsheetml/2006/main" count="709" uniqueCount="242">
  <si>
    <t>SELECCIÓN DE RACIMO</t>
  </si>
  <si>
    <t xml:space="preserve">Labores </t>
  </si>
  <si>
    <t>Valor</t>
  </si>
  <si>
    <t>Comentario</t>
  </si>
  <si>
    <t>Actividades</t>
  </si>
  <si>
    <t xml:space="preserve">SURCO* HORA </t>
  </si>
  <si>
    <t>MINUTOS *SURCO</t>
  </si>
  <si>
    <t>COSTO</t>
  </si>
  <si>
    <t>Sacar Raiz / Alinear Estopa</t>
  </si>
  <si>
    <t>X  SURCO</t>
  </si>
  <si>
    <t xml:space="preserve">poner ganchos y rectificar </t>
  </si>
  <si>
    <t xml:space="preserve">Poner ganchos y rectificar. </t>
  </si>
  <si>
    <t>Alinear alambres</t>
  </si>
  <si>
    <t>quitar maleza y regar pasillos</t>
  </si>
  <si>
    <t>Quitar maleza y regar pasillos.</t>
  </si>
  <si>
    <t>Alinear canoas</t>
  </si>
  <si>
    <t>Deshoje</t>
  </si>
  <si>
    <t>Alinear armex</t>
  </si>
  <si>
    <t>desbrote</t>
  </si>
  <si>
    <t>Desbrote</t>
  </si>
  <si>
    <t>Arrimar Manguera a la Planta</t>
  </si>
  <si>
    <t>torear, barrer y llenar contenedor de hoja y seleccionar</t>
  </si>
  <si>
    <t>Torear, Barrer y llenar contenedor de hoja y seleccionar.</t>
  </si>
  <si>
    <t>Aseo con Torito</t>
  </si>
  <si>
    <t>selección</t>
  </si>
  <si>
    <t>Selección.</t>
  </si>
  <si>
    <t>Aseo despues de Cosecha</t>
  </si>
  <si>
    <t>mover gancho a la bodega</t>
  </si>
  <si>
    <t>Mover gancho a la bodega.</t>
  </si>
  <si>
    <t>Aseo despues de Deshoje</t>
  </si>
  <si>
    <t>Cosecha Desgranado</t>
  </si>
  <si>
    <t>Cosecha Desgranado.</t>
  </si>
  <si>
    <t>Aseo despues de Poda</t>
  </si>
  <si>
    <t>Apoyo a produccion</t>
  </si>
  <si>
    <t>Apoyo a produccion.</t>
  </si>
  <si>
    <t>Colocar Mangueras</t>
  </si>
  <si>
    <t>Mantenimiento N.3</t>
  </si>
  <si>
    <t>Posear</t>
  </si>
  <si>
    <t>Rectificar amarre, quitar maleza, poner ganchos y quitar maleza.</t>
  </si>
  <si>
    <t>Sacar tomate de la canoa</t>
  </si>
  <si>
    <t>Poda y Vuelta St 1.</t>
  </si>
  <si>
    <t>Emparejar Base</t>
  </si>
  <si>
    <t>Corregir poda.</t>
  </si>
  <si>
    <t>Acarreo de fertilizante</t>
  </si>
  <si>
    <t>Rectificar amarre.</t>
  </si>
  <si>
    <t>Enrollar Planta  no. 3</t>
  </si>
  <si>
    <t>Regar.</t>
  </si>
  <si>
    <t>Llenar contenedor tomate</t>
  </si>
  <si>
    <t>rectificar amarre, quitar maleza, poner ganchos y quitar maleza</t>
  </si>
  <si>
    <t>Corregir amarre, Regar surcos.</t>
  </si>
  <si>
    <t>AMARRE</t>
  </si>
  <si>
    <t>Llenar contenedor hoja y planta</t>
  </si>
  <si>
    <t>Poda y Vuelta St 1</t>
  </si>
  <si>
    <t>Hoja.</t>
  </si>
  <si>
    <t>Juntar Ganchos  por seccion</t>
  </si>
  <si>
    <t>corregir poda</t>
  </si>
  <si>
    <t>Amarre.</t>
  </si>
  <si>
    <t xml:space="preserve">Fumigar  </t>
  </si>
  <si>
    <t>Poda y Vuelta St 2.</t>
  </si>
  <si>
    <t>Labores de Plantacion  no. 3</t>
  </si>
  <si>
    <t>rectificar amarre</t>
  </si>
  <si>
    <t>Rebaje.</t>
  </si>
  <si>
    <t>Lavar Canoa</t>
  </si>
  <si>
    <t>regar</t>
  </si>
  <si>
    <t>Levantar planta.</t>
  </si>
  <si>
    <t>Mantenimiento</t>
  </si>
  <si>
    <t>X HORA</t>
  </si>
  <si>
    <t>Levantar gancho.</t>
  </si>
  <si>
    <t>Mantenimiento N.1</t>
  </si>
  <si>
    <t>corregir amarre, regar surcos</t>
  </si>
  <si>
    <t>Barre.</t>
  </si>
  <si>
    <t>Mantenimiento N.2</t>
  </si>
  <si>
    <t>hoja</t>
  </si>
  <si>
    <t>Rectificar amarre g3 y g5.</t>
  </si>
  <si>
    <t>Mojar surcos.</t>
  </si>
  <si>
    <t>Tirar Azufre</t>
  </si>
  <si>
    <t>X SURCO</t>
  </si>
  <si>
    <t>Plantación.</t>
  </si>
  <si>
    <t>Aplicar con bomba</t>
  </si>
  <si>
    <t>Foliar.</t>
  </si>
  <si>
    <t>Poner Ganchos</t>
  </si>
  <si>
    <t>Amarre</t>
  </si>
  <si>
    <t>Acarreo de Fertilizante.</t>
  </si>
  <si>
    <t>Riego por hora</t>
  </si>
  <si>
    <t>Rectificar amarrer g3 y g5.</t>
  </si>
  <si>
    <t>Poner o Acomodar Faldon</t>
  </si>
  <si>
    <t>X INVERNADERO</t>
  </si>
  <si>
    <t>Corregir Amarre.</t>
  </si>
  <si>
    <t>Riego por dia</t>
  </si>
  <si>
    <t>Rectificar.</t>
  </si>
  <si>
    <t>Poner o Retirar Splinker</t>
  </si>
  <si>
    <t>Apoyo a amarre.</t>
  </si>
  <si>
    <t>Quitar Ganchos</t>
  </si>
  <si>
    <t>Sorteo de secciones.</t>
  </si>
  <si>
    <t>PODA Y VUELTA :</t>
  </si>
  <si>
    <t>Quitar M</t>
  </si>
  <si>
    <t>Drench.</t>
  </si>
  <si>
    <t>seleccionar  por surco</t>
  </si>
  <si>
    <t>Rectificar, poner ganchos, y quitar maleza.</t>
  </si>
  <si>
    <t>INTERVALOS SURCOS *HORAS</t>
  </si>
  <si>
    <t>TIEMPOS X SURCO</t>
  </si>
  <si>
    <t>INTERVALOS SURCOS *</t>
  </si>
  <si>
    <t>Retirar Calix</t>
  </si>
  <si>
    <t>Barrer.</t>
  </si>
  <si>
    <t>Retirar Planta</t>
  </si>
  <si>
    <t>Rectificar amarre y regar surcos .</t>
  </si>
  <si>
    <t>Sacar Cepellon</t>
  </si>
  <si>
    <t>Rectificar, llevar informacion.</t>
  </si>
  <si>
    <t>Sacar Manguera</t>
  </si>
  <si>
    <t>Riego.</t>
  </si>
  <si>
    <t>Sacar Tomate con Carretilla</t>
  </si>
  <si>
    <t>Poda y Vuelta St 2</t>
  </si>
  <si>
    <t>Aplicar con bomba.</t>
  </si>
  <si>
    <t>Poner M</t>
  </si>
  <si>
    <t>Posear.</t>
  </si>
  <si>
    <t>Barrer Tomare</t>
  </si>
  <si>
    <t>Rebaje</t>
  </si>
  <si>
    <t>Polinizar.</t>
  </si>
  <si>
    <t>Barrer Raiz</t>
  </si>
  <si>
    <t>levantar planta</t>
  </si>
  <si>
    <t>Cosecha Racimo</t>
  </si>
  <si>
    <t>Multihabilidades</t>
  </si>
  <si>
    <t>Poda y Vuelta St 3</t>
  </si>
  <si>
    <t>Tumbar Planta</t>
  </si>
  <si>
    <t>Selección de Racimo</t>
  </si>
  <si>
    <t>levantar gancho</t>
  </si>
  <si>
    <t>DIAS DE LA SEMANA</t>
  </si>
  <si>
    <t>barre</t>
  </si>
  <si>
    <t>a pies enredando y podando</t>
  </si>
  <si>
    <t>en sancos enredando y podando</t>
  </si>
  <si>
    <t>en sancos cortando cabeza</t>
  </si>
  <si>
    <t>CODIGO</t>
  </si>
  <si>
    <t>EMPLEADO</t>
  </si>
  <si>
    <t>Lugar</t>
  </si>
  <si>
    <t>Lara Gonzales Jose Candelario</t>
  </si>
  <si>
    <t>G01</t>
  </si>
  <si>
    <t>Muñoz Garcia Francisco Javier</t>
  </si>
  <si>
    <t>G03</t>
  </si>
  <si>
    <t>dench</t>
  </si>
  <si>
    <t>Álvarez Díaz Andrés</t>
  </si>
  <si>
    <t>G05</t>
  </si>
  <si>
    <t>Aguas Ramirez Ramos</t>
  </si>
  <si>
    <t>Empaque</t>
  </si>
  <si>
    <t>Camacho Valadez Luis Francisco</t>
  </si>
  <si>
    <t>Sisterna</t>
  </si>
  <si>
    <t>Camacho Velázquez José de Jesús</t>
  </si>
  <si>
    <t>T. Varios Inv.</t>
  </si>
  <si>
    <t>Ramos Carbajal David</t>
  </si>
  <si>
    <t>Ezquibel Vidrio Roberto</t>
  </si>
  <si>
    <t>DIAS DE LAS SEMANA</t>
  </si>
  <si>
    <t>rectificar amarre g3 y g5</t>
  </si>
  <si>
    <t>Anguiano Garcia Jorge</t>
  </si>
  <si>
    <t>Lunes</t>
  </si>
  <si>
    <t xml:space="preserve">Lopez Tozcano Cristian Ivan </t>
  </si>
  <si>
    <t>Martes</t>
  </si>
  <si>
    <t>mojar surcos</t>
  </si>
  <si>
    <t>Rivera Ulloa Luis Alberto</t>
  </si>
  <si>
    <t>Miercoles</t>
  </si>
  <si>
    <t>Robles Espinoza Víctor Alfonso</t>
  </si>
  <si>
    <t>Jueves</t>
  </si>
  <si>
    <t>Viernes</t>
  </si>
  <si>
    <t>Sabado</t>
  </si>
  <si>
    <t>Domingo</t>
  </si>
  <si>
    <t>G01   MEDIA HECTARIA</t>
  </si>
  <si>
    <t>plantación</t>
  </si>
  <si>
    <t>foliar</t>
  </si>
  <si>
    <t>buscarV(C14,Datos!A54:I74,3,0)</t>
  </si>
  <si>
    <t>BuscarV(I6,Datos!s2:u46,2,0)</t>
  </si>
  <si>
    <t>MULTIHABILIDADES</t>
  </si>
  <si>
    <t>barrer</t>
  </si>
  <si>
    <t>rectificar amarrer g3 y g5</t>
  </si>
  <si>
    <t>corregir amarre</t>
  </si>
  <si>
    <t xml:space="preserve">rectificar </t>
  </si>
  <si>
    <t>apoyo a amarre</t>
  </si>
  <si>
    <t>sorteo de secciones</t>
  </si>
  <si>
    <t>drench</t>
  </si>
  <si>
    <t>rectificar, poner ganchos, y quitar maleza</t>
  </si>
  <si>
    <t>barrer.</t>
  </si>
  <si>
    <t xml:space="preserve">rectificar amarre y regar surcos </t>
  </si>
  <si>
    <t>rectificar, llevar informacion</t>
  </si>
  <si>
    <t>riego</t>
  </si>
  <si>
    <t>aplicar con bomba</t>
  </si>
  <si>
    <t>posear</t>
  </si>
  <si>
    <t>polinizar</t>
  </si>
  <si>
    <t>INVERNADERO</t>
  </si>
  <si>
    <t>LABOR</t>
  </si>
  <si>
    <t>DIA</t>
  </si>
  <si>
    <t>TIEMPO INICIO</t>
  </si>
  <si>
    <t>TIEMPO FIN</t>
  </si>
  <si>
    <t>TIEMPO TOTAL</t>
  </si>
  <si>
    <t>TIEMPO POR SURCO</t>
  </si>
  <si>
    <t>SURCOS TOTALES</t>
  </si>
  <si>
    <t>PAGO X SURCO</t>
  </si>
  <si>
    <t>IMPORTE</t>
  </si>
  <si>
    <t>NETO</t>
  </si>
  <si>
    <t>OBSERVACIONES</t>
  </si>
  <si>
    <t>CALIDAD</t>
  </si>
  <si>
    <t>TIEMPO REAL LABORADO</t>
  </si>
  <si>
    <t>FECHA</t>
  </si>
  <si>
    <t>CODIGO DEL EMPLEADO</t>
  </si>
  <si>
    <t>SEM.</t>
  </si>
  <si>
    <t>Asociado 02</t>
  </si>
  <si>
    <t>Area  Investigaciones</t>
  </si>
  <si>
    <t>ACTIVIDAD</t>
  </si>
  <si>
    <t>TOTAL</t>
  </si>
  <si>
    <t>PAGO TOTAL</t>
  </si>
  <si>
    <t>Asociado 01</t>
  </si>
  <si>
    <t>Asociado 03</t>
  </si>
  <si>
    <t>Asociado 04</t>
  </si>
  <si>
    <t>Asociado 05</t>
  </si>
  <si>
    <t>Asociado 06</t>
  </si>
  <si>
    <t>Asociado 07</t>
  </si>
  <si>
    <t>Asociado 08</t>
  </si>
  <si>
    <t>Asociado 09</t>
  </si>
  <si>
    <t>Asociado 10</t>
  </si>
  <si>
    <t>Asociado 11</t>
  </si>
  <si>
    <t>Asociado 12</t>
  </si>
  <si>
    <t>Asociado 13</t>
  </si>
  <si>
    <t>Asociado 14</t>
  </si>
  <si>
    <t>Asociado 15</t>
  </si>
  <si>
    <t>Asociado 16</t>
  </si>
  <si>
    <t>PAGO X MULTIHABILIDAD</t>
  </si>
  <si>
    <t>COSTO DE LA MULTIHABILIDAD</t>
  </si>
  <si>
    <t>surcos totales</t>
  </si>
  <si>
    <t>pago por surco</t>
  </si>
  <si>
    <t>Polinizar</t>
  </si>
  <si>
    <t>PAGO DE CAJAS DE COSECHA</t>
  </si>
  <si>
    <t>Cajas por hora</t>
  </si>
  <si>
    <t xml:space="preserve">Pago por caja </t>
  </si>
  <si>
    <t xml:space="preserve">7.5  </t>
  </si>
  <si>
    <t xml:space="preserve">6 - 7.4 </t>
  </si>
  <si>
    <t xml:space="preserve">5.99 </t>
  </si>
  <si>
    <t xml:space="preserve">No se paga </t>
  </si>
  <si>
    <r>
      <t xml:space="preserve">Se pagara </t>
    </r>
    <r>
      <rPr>
        <sz val="12"/>
        <color theme="1"/>
        <rFont val="Calibri"/>
        <family val="2"/>
      </rPr>
      <t>$</t>
    </r>
    <r>
      <rPr>
        <sz val="12"/>
        <color theme="1"/>
        <rFont val="Calibri"/>
        <family val="2"/>
        <scheme val="minor"/>
      </rPr>
      <t xml:space="preserve">1.0 más (cada caja se pagara </t>
    </r>
    <r>
      <rPr>
        <sz val="12"/>
        <color theme="1"/>
        <rFont val="Calibri"/>
        <family val="2"/>
      </rPr>
      <t>$ 2.5)</t>
    </r>
    <r>
      <rPr>
        <sz val="12"/>
        <color theme="1"/>
        <rFont val="Calibri"/>
        <family val="2"/>
        <scheme val="minor"/>
      </rPr>
      <t xml:space="preserve"> </t>
    </r>
  </si>
  <si>
    <r>
      <t xml:space="preserve">El pago por caja es de </t>
    </r>
    <r>
      <rPr>
        <sz val="12"/>
        <color theme="1"/>
        <rFont val="Calibri"/>
        <family val="2"/>
      </rPr>
      <t>$</t>
    </r>
    <r>
      <rPr>
        <sz val="12"/>
        <color theme="1"/>
        <rFont val="Calibri"/>
        <family val="2"/>
        <scheme val="minor"/>
      </rPr>
      <t>1.5</t>
    </r>
  </si>
  <si>
    <t>REBAJE</t>
  </si>
  <si>
    <t xml:space="preserve">DESHOJE </t>
  </si>
  <si>
    <t>PODA Y VUELTA ST 1</t>
  </si>
  <si>
    <t>PODA Y VUELTA ST 2</t>
  </si>
  <si>
    <t>PODA Y VUELTA ST 3</t>
  </si>
  <si>
    <t>COSECHA X RACIMO</t>
  </si>
  <si>
    <t>COSECHA X DESGRANADO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</si>
</sst>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$&quot;* #,##0.00_-;\-&quot;$&quot;* #,##0.00_-;_-&quot;$&quot;* &quot;-&quot;??_-;_-@_-"/>
    <numFmt numFmtId="164" formatCode="[$-409]h:mm\ AM/PM;@"/>
    <numFmt numFmtId="165" formatCode="_(* #,##0.00_);_(* \(#,##0.00\);_(* &quot;-&quot;??_);_(@_)"/>
    <numFmt numFmtId="166" formatCode="[$-F400]h:mm:ss\ AM/PM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indexed="8"/>
      <name val="Cambria"/>
      <family val="1"/>
      <scheme val="major"/>
    </font>
    <font>
      <b/>
      <sz val="11"/>
      <color indexed="8"/>
      <name val="Calibri"/>
      <family val="2"/>
    </font>
    <font>
      <b/>
      <sz val="11"/>
      <color theme="0"/>
      <name val="Calibri"/>
      <family val="2"/>
    </font>
    <font>
      <sz val="12"/>
      <color theme="1"/>
      <name val="Cambria"/>
      <family val="1"/>
      <scheme val="major"/>
    </font>
    <font>
      <sz val="13"/>
      <name val="Calibri"/>
      <family val="2"/>
      <scheme val="minor"/>
    </font>
    <font>
      <sz val="13"/>
      <name val="Arial"/>
      <family val="2"/>
    </font>
    <font>
      <sz val="14"/>
      <name val="Calibri"/>
      <family val="2"/>
      <scheme val="minor"/>
    </font>
    <font>
      <sz val="12"/>
      <color indexed="8"/>
      <name val="Cambria"/>
      <family val="1"/>
      <scheme val="major"/>
    </font>
    <font>
      <sz val="11"/>
      <color indexed="8"/>
      <name val="Calibri"/>
      <family val="2"/>
    </font>
    <font>
      <b/>
      <sz val="11"/>
      <color rgb="FFFF0000"/>
      <name val="Calibri"/>
      <family val="2"/>
    </font>
    <font>
      <sz val="10"/>
      <name val="Arial"/>
      <family val="2"/>
    </font>
    <font>
      <sz val="12"/>
      <name val="Cambria"/>
      <family val="1"/>
      <scheme val="major"/>
    </font>
    <font>
      <sz val="10"/>
      <color rgb="FF000000"/>
      <name val="Arial"/>
      <family val="2"/>
    </font>
    <font>
      <sz val="1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mbria"/>
      <family val="1"/>
      <scheme val="major"/>
    </font>
    <font>
      <sz val="10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2"/>
      <color theme="2" tint="-0.499984740745262"/>
      <name val="Cambria"/>
      <family val="1"/>
      <scheme val="major"/>
    </font>
    <font>
      <b/>
      <sz val="11"/>
      <color theme="3" tint="-0.249977111117893"/>
      <name val="Calibri"/>
      <family val="2"/>
      <scheme val="minor"/>
    </font>
    <font>
      <b/>
      <sz val="8"/>
      <color rgb="FFFFFF00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7"/>
      <color rgb="FFFFFF00"/>
      <name val="Arial"/>
      <family val="2"/>
    </font>
    <font>
      <b/>
      <sz val="8"/>
      <color rgb="FFFFFF00"/>
      <name val="Calibri"/>
      <family val="2"/>
    </font>
    <font>
      <b/>
      <sz val="9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3" tint="-0.249977111117893"/>
      </left>
      <right style="medium">
        <color theme="3" tint="-0.249977111117893"/>
      </right>
      <top style="medium">
        <color theme="3" tint="-0.249977111117893"/>
      </top>
      <bottom style="medium">
        <color theme="3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theme="3" tint="-0.249977111117893"/>
      </left>
      <right style="medium">
        <color theme="3" tint="-0.249977111117893"/>
      </right>
      <top/>
      <bottom style="hair">
        <color theme="3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theme="3" tint="-0.249977111117893"/>
      </left>
      <right style="medium">
        <color theme="3" tint="-0.249977111117893"/>
      </right>
      <top style="hair">
        <color theme="3" tint="-0.249977111117893"/>
      </top>
      <bottom style="hair">
        <color theme="3" tint="-0.24997711111789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 tint="-0.249977111117893"/>
      </left>
      <right style="medium">
        <color theme="3" tint="-0.249977111117893"/>
      </right>
      <top style="hair">
        <color theme="3" tint="-0.249977111117893"/>
      </top>
      <bottom style="medium">
        <color theme="3" tint="-0.249977111117893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theme="3" tint="-0.249977111117893"/>
      </left>
      <right style="hair">
        <color theme="3" tint="-0.249977111117893"/>
      </right>
      <top style="hair">
        <color theme="3" tint="-0.249977111117893"/>
      </top>
      <bottom/>
      <diagonal/>
    </border>
    <border>
      <left style="thin">
        <color theme="0"/>
      </left>
      <right style="thin">
        <color theme="0"/>
      </right>
      <top style="medium">
        <color theme="3" tint="-0.249977111117893"/>
      </top>
      <bottom/>
      <diagonal/>
    </border>
    <border>
      <left style="thin">
        <color theme="0"/>
      </left>
      <right style="medium">
        <color theme="3" tint="-0.249977111117893"/>
      </right>
      <top style="medium">
        <color theme="3" tint="-0.249977111117893"/>
      </top>
      <bottom/>
      <diagonal/>
    </border>
    <border>
      <left style="hair">
        <color theme="3" tint="0.39997558519241921"/>
      </left>
      <right style="hair">
        <color theme="3" tint="0.39997558519241921"/>
      </right>
      <top style="hair">
        <color theme="3" tint="0.39997558519241921"/>
      </top>
      <bottom style="hair">
        <color theme="3" tint="0.39997558519241921"/>
      </bottom>
      <diagonal/>
    </border>
    <border>
      <left style="medium">
        <color indexed="64"/>
      </left>
      <right style="thin">
        <color theme="0"/>
      </right>
      <top style="medium">
        <color theme="3" tint="-0.249977111117893"/>
      </top>
      <bottom/>
      <diagonal/>
    </border>
    <border>
      <left style="thin">
        <color theme="0"/>
      </left>
      <right style="medium">
        <color indexed="64"/>
      </right>
      <top style="medium">
        <color theme="3" tint="-0.249977111117893"/>
      </top>
      <bottom/>
      <diagonal/>
    </border>
    <border>
      <left style="medium">
        <color indexed="64"/>
      </left>
      <right style="hair">
        <color theme="3" tint="0.39997558519241921"/>
      </right>
      <top style="hair">
        <color theme="3" tint="0.39997558519241921"/>
      </top>
      <bottom style="hair">
        <color theme="3" tint="0.39997558519241921"/>
      </bottom>
      <diagonal/>
    </border>
    <border>
      <left style="hair">
        <color theme="3" tint="0.39997558519241921"/>
      </left>
      <right style="medium">
        <color indexed="64"/>
      </right>
      <top style="hair">
        <color theme="3" tint="0.39997558519241921"/>
      </top>
      <bottom style="hair">
        <color theme="3" tint="0.39997558519241921"/>
      </bottom>
      <diagonal/>
    </border>
    <border>
      <left style="medium">
        <color indexed="64"/>
      </left>
      <right style="hair">
        <color theme="3" tint="0.39997558519241921"/>
      </right>
      <top style="hair">
        <color theme="3" tint="0.39997558519241921"/>
      </top>
      <bottom style="medium">
        <color indexed="64"/>
      </bottom>
      <diagonal/>
    </border>
    <border>
      <left style="hair">
        <color theme="3" tint="0.39997558519241921"/>
      </left>
      <right style="hair">
        <color theme="3" tint="0.39997558519241921"/>
      </right>
      <top style="hair">
        <color theme="3" tint="0.39997558519241921"/>
      </top>
      <bottom style="medium">
        <color indexed="64"/>
      </bottom>
      <diagonal/>
    </border>
    <border>
      <left style="hair">
        <color theme="3" tint="0.39997558519241921"/>
      </left>
      <right style="medium">
        <color indexed="64"/>
      </right>
      <top style="hair">
        <color theme="3" tint="0.39997558519241921"/>
      </top>
      <bottom style="medium">
        <color indexed="64"/>
      </bottom>
      <diagonal/>
    </border>
    <border>
      <left/>
      <right style="hair">
        <color theme="3" tint="-0.249977111117893"/>
      </right>
      <top style="hair">
        <color theme="3" tint="-0.249977111117893"/>
      </top>
      <bottom/>
      <diagonal/>
    </border>
    <border>
      <left style="hair">
        <color theme="3" tint="-0.249977111117893"/>
      </left>
      <right/>
      <top/>
      <bottom/>
      <diagonal/>
    </border>
    <border>
      <left style="thin">
        <color theme="3" tint="0.39997558519241921"/>
      </left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/>
      <diagonal/>
    </border>
    <border>
      <left/>
      <right style="thin">
        <color theme="3" tint="0.39997558519241921"/>
      </right>
      <top style="thin">
        <color theme="3" tint="0.39997558519241921"/>
      </top>
      <bottom/>
      <diagonal/>
    </border>
    <border>
      <left/>
      <right style="thin">
        <color theme="3" tint="0.39997558519241921"/>
      </right>
      <top/>
      <bottom/>
      <diagonal/>
    </border>
    <border>
      <left/>
      <right/>
      <top/>
      <bottom style="thin">
        <color theme="3" tint="0.39997558519241921"/>
      </bottom>
      <diagonal/>
    </border>
    <border>
      <left/>
      <right style="thin">
        <color theme="3" tint="0.39997558519241921"/>
      </right>
      <top/>
      <bottom style="thin">
        <color theme="3" tint="0.39997558519241921"/>
      </bottom>
      <diagonal/>
    </border>
    <border>
      <left style="medium">
        <color theme="1"/>
      </left>
      <right style="hair">
        <color theme="3" tint="0.39997558519241921"/>
      </right>
      <top style="medium">
        <color theme="1"/>
      </top>
      <bottom style="hair">
        <color theme="3" tint="0.39997558519241921"/>
      </bottom>
      <diagonal/>
    </border>
    <border>
      <left style="hair">
        <color theme="3" tint="0.39997558519241921"/>
      </left>
      <right style="hair">
        <color theme="3" tint="0.39997558519241921"/>
      </right>
      <top style="medium">
        <color theme="1"/>
      </top>
      <bottom style="hair">
        <color theme="3" tint="0.39997558519241921"/>
      </bottom>
      <diagonal/>
    </border>
    <border>
      <left style="hair">
        <color theme="3" tint="0.39997558519241921"/>
      </left>
      <right style="medium">
        <color theme="1"/>
      </right>
      <top style="medium">
        <color theme="1"/>
      </top>
      <bottom style="hair">
        <color theme="3" tint="0.39997558519241921"/>
      </bottom>
      <diagonal/>
    </border>
    <border>
      <left style="medium">
        <color theme="1"/>
      </left>
      <right style="hair">
        <color theme="3" tint="0.39997558519241921"/>
      </right>
      <top style="hair">
        <color theme="3" tint="0.39997558519241921"/>
      </top>
      <bottom style="hair">
        <color theme="3" tint="0.39997558519241921"/>
      </bottom>
      <diagonal/>
    </border>
    <border>
      <left style="hair">
        <color theme="3" tint="0.39997558519241921"/>
      </left>
      <right style="medium">
        <color theme="1"/>
      </right>
      <top style="hair">
        <color theme="3" tint="0.39997558519241921"/>
      </top>
      <bottom style="hair">
        <color theme="3" tint="0.39997558519241921"/>
      </bottom>
      <diagonal/>
    </border>
    <border>
      <left style="medium">
        <color theme="1"/>
      </left>
      <right style="hair">
        <color theme="3" tint="0.39997558519241921"/>
      </right>
      <top style="hair">
        <color theme="3" tint="0.39997558519241921"/>
      </top>
      <bottom style="medium">
        <color theme="1"/>
      </bottom>
      <diagonal/>
    </border>
    <border>
      <left style="hair">
        <color theme="3" tint="0.39997558519241921"/>
      </left>
      <right style="hair">
        <color theme="3" tint="0.39997558519241921"/>
      </right>
      <top style="hair">
        <color theme="3" tint="0.39997558519241921"/>
      </top>
      <bottom style="medium">
        <color theme="1"/>
      </bottom>
      <diagonal/>
    </border>
    <border>
      <left style="hair">
        <color theme="3" tint="0.39997558519241921"/>
      </left>
      <right style="medium">
        <color theme="1"/>
      </right>
      <top style="hair">
        <color theme="3" tint="0.39997558519241921"/>
      </top>
      <bottom style="medium">
        <color theme="1"/>
      </bottom>
      <diagonal/>
    </border>
    <border>
      <left style="thin">
        <color theme="3" tint="0.39997558519241921"/>
      </left>
      <right style="thin">
        <color theme="3" tint="0.39997558519241921"/>
      </right>
      <top/>
      <bottom style="thin">
        <color theme="3" tint="0.3999755851924192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165" fontId="1" fillId="0" borderId="0" applyFont="0" applyFill="0" applyBorder="0" applyAlignment="0" applyProtection="0"/>
  </cellStyleXfs>
  <cellXfs count="254">
    <xf numFmtId="0" fontId="0" fillId="0" borderId="0" xfId="0"/>
    <xf numFmtId="2" fontId="0" fillId="3" borderId="0" xfId="0" applyNumberFormat="1" applyFill="1"/>
    <xf numFmtId="0" fontId="0" fillId="3" borderId="0" xfId="0" applyFill="1"/>
    <xf numFmtId="0" fontId="7" fillId="5" borderId="3" xfId="0" applyFont="1" applyFill="1" applyBorder="1" applyAlignment="1">
      <alignment horizontal="center" vertical="center"/>
    </xf>
    <xf numFmtId="2" fontId="2" fillId="5" borderId="3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vertical="center"/>
    </xf>
    <xf numFmtId="0" fontId="0" fillId="6" borderId="0" xfId="0" applyFill="1" applyAlignment="1">
      <alignment horizontal="center"/>
    </xf>
    <xf numFmtId="0" fontId="3" fillId="6" borderId="4" xfId="0" applyFont="1" applyFill="1" applyBorder="1" applyAlignment="1">
      <alignment horizontal="center"/>
    </xf>
    <xf numFmtId="2" fontId="8" fillId="3" borderId="2" xfId="0" applyNumberFormat="1" applyFon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44" fontId="0" fillId="7" borderId="3" xfId="1" applyFont="1" applyFill="1" applyBorder="1" applyAlignment="1">
      <alignment horizontal="center"/>
    </xf>
    <xf numFmtId="0" fontId="0" fillId="7" borderId="8" xfId="0" applyFill="1" applyBorder="1"/>
    <xf numFmtId="0" fontId="9" fillId="0" borderId="2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2" fontId="8" fillId="3" borderId="2" xfId="0" applyNumberFormat="1" applyFont="1" applyFill="1" applyBorder="1"/>
    <xf numFmtId="2" fontId="8" fillId="3" borderId="2" xfId="0" applyNumberFormat="1" applyFont="1" applyFill="1" applyBorder="1" applyAlignment="1">
      <alignment horizontal="center"/>
    </xf>
    <xf numFmtId="2" fontId="0" fillId="3" borderId="2" xfId="0" applyNumberFormat="1" applyFill="1" applyBorder="1"/>
    <xf numFmtId="0" fontId="0" fillId="7" borderId="10" xfId="0" applyFill="1" applyBorder="1" applyAlignment="1">
      <alignment horizontal="center"/>
    </xf>
    <xf numFmtId="44" fontId="0" fillId="7" borderId="11" xfId="1" applyFont="1" applyFill="1" applyBorder="1" applyAlignment="1">
      <alignment horizontal="center"/>
    </xf>
    <xf numFmtId="0" fontId="0" fillId="7" borderId="12" xfId="0" applyFill="1" applyBorder="1"/>
    <xf numFmtId="0" fontId="9" fillId="0" borderId="1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 wrapText="1"/>
    </xf>
    <xf numFmtId="0" fontId="10" fillId="0" borderId="2" xfId="0" applyFont="1" applyFill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2" fontId="8" fillId="3" borderId="0" xfId="0" applyNumberFormat="1" applyFont="1" applyFill="1" applyBorder="1"/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0" fillId="7" borderId="14" xfId="0" applyFill="1" applyBorder="1" applyAlignment="1">
      <alignment horizontal="center"/>
    </xf>
    <xf numFmtId="44" fontId="0" fillId="7" borderId="15" xfId="1" applyFont="1" applyFill="1" applyBorder="1" applyAlignment="1">
      <alignment horizontal="center"/>
    </xf>
    <xf numFmtId="0" fontId="0" fillId="7" borderId="16" xfId="0" applyFill="1" applyBorder="1"/>
    <xf numFmtId="0" fontId="0" fillId="8" borderId="7" xfId="0" applyFill="1" applyBorder="1" applyAlignment="1">
      <alignment horizontal="center"/>
    </xf>
    <xf numFmtId="44" fontId="0" fillId="8" borderId="3" xfId="1" applyFont="1" applyFill="1" applyBorder="1" applyAlignment="1">
      <alignment horizontal="center"/>
    </xf>
    <xf numFmtId="0" fontId="0" fillId="8" borderId="8" xfId="0" applyFill="1" applyBorder="1"/>
    <xf numFmtId="0" fontId="0" fillId="8" borderId="10" xfId="0" applyFill="1" applyBorder="1" applyAlignment="1">
      <alignment horizontal="center"/>
    </xf>
    <xf numFmtId="44" fontId="0" fillId="8" borderId="11" xfId="1" applyFont="1" applyFill="1" applyBorder="1" applyAlignment="1">
      <alignment horizontal="center"/>
    </xf>
    <xf numFmtId="0" fontId="0" fillId="8" borderId="12" xfId="0" applyFill="1" applyBorder="1"/>
    <xf numFmtId="0" fontId="0" fillId="8" borderId="14" xfId="0" applyFill="1" applyBorder="1" applyAlignment="1">
      <alignment horizontal="center"/>
    </xf>
    <xf numFmtId="44" fontId="0" fillId="8" borderId="15" xfId="1" applyFont="1" applyFill="1" applyBorder="1" applyAlignment="1">
      <alignment horizontal="center"/>
    </xf>
    <xf numFmtId="0" fontId="0" fillId="8" borderId="16" xfId="0" applyFill="1" applyBorder="1"/>
    <xf numFmtId="0" fontId="0" fillId="9" borderId="7" xfId="0" applyFill="1" applyBorder="1" applyAlignment="1">
      <alignment horizontal="center"/>
    </xf>
    <xf numFmtId="44" fontId="0" fillId="9" borderId="3" xfId="1" applyFont="1" applyFill="1" applyBorder="1" applyAlignment="1">
      <alignment horizontal="center"/>
    </xf>
    <xf numFmtId="0" fontId="0" fillId="9" borderId="8" xfId="0" applyFill="1" applyBorder="1"/>
    <xf numFmtId="0" fontId="0" fillId="9" borderId="10" xfId="0" applyFill="1" applyBorder="1" applyAlignment="1">
      <alignment horizontal="center"/>
    </xf>
    <xf numFmtId="44" fontId="0" fillId="9" borderId="11" xfId="1" applyFont="1" applyFill="1" applyBorder="1" applyAlignment="1">
      <alignment horizontal="center"/>
    </xf>
    <xf numFmtId="0" fontId="0" fillId="9" borderId="12" xfId="0" applyFill="1" applyBorder="1"/>
    <xf numFmtId="0" fontId="0" fillId="9" borderId="14" xfId="0" applyFill="1" applyBorder="1" applyAlignment="1">
      <alignment horizontal="center"/>
    </xf>
    <xf numFmtId="44" fontId="0" fillId="9" borderId="15" xfId="1" applyFont="1" applyFill="1" applyBorder="1" applyAlignment="1">
      <alignment horizontal="center"/>
    </xf>
    <xf numFmtId="0" fontId="0" fillId="9" borderId="16" xfId="0" applyFill="1" applyBorder="1"/>
    <xf numFmtId="0" fontId="0" fillId="10" borderId="7" xfId="0" applyFill="1" applyBorder="1" applyAlignment="1">
      <alignment horizontal="center"/>
    </xf>
    <xf numFmtId="44" fontId="0" fillId="10" borderId="3" xfId="1" applyFont="1" applyFill="1" applyBorder="1" applyAlignment="1">
      <alignment horizontal="center"/>
    </xf>
    <xf numFmtId="0" fontId="0" fillId="10" borderId="8" xfId="0" applyFill="1" applyBorder="1"/>
    <xf numFmtId="0" fontId="0" fillId="10" borderId="10" xfId="0" applyFill="1" applyBorder="1" applyAlignment="1">
      <alignment horizontal="center"/>
    </xf>
    <xf numFmtId="44" fontId="0" fillId="10" borderId="11" xfId="1" applyFont="1" applyFill="1" applyBorder="1" applyAlignment="1">
      <alignment horizontal="center"/>
    </xf>
    <xf numFmtId="0" fontId="0" fillId="10" borderId="12" xfId="0" applyFill="1" applyBorder="1"/>
    <xf numFmtId="0" fontId="0" fillId="10" borderId="14" xfId="0" applyFill="1" applyBorder="1" applyAlignment="1">
      <alignment horizontal="center"/>
    </xf>
    <xf numFmtId="44" fontId="0" fillId="10" borderId="15" xfId="1" applyFont="1" applyFill="1" applyBorder="1" applyAlignment="1">
      <alignment horizontal="center"/>
    </xf>
    <xf numFmtId="0" fontId="0" fillId="10" borderId="16" xfId="0" applyFill="1" applyBorder="1"/>
    <xf numFmtId="0" fontId="0" fillId="11" borderId="7" xfId="0" applyFill="1" applyBorder="1" applyAlignment="1">
      <alignment horizontal="center"/>
    </xf>
    <xf numFmtId="44" fontId="0" fillId="11" borderId="3" xfId="1" applyFont="1" applyFill="1" applyBorder="1" applyAlignment="1">
      <alignment horizontal="center"/>
    </xf>
    <xf numFmtId="0" fontId="0" fillId="11" borderId="8" xfId="0" applyFill="1" applyBorder="1"/>
    <xf numFmtId="0" fontId="0" fillId="11" borderId="10" xfId="0" applyFill="1" applyBorder="1" applyAlignment="1">
      <alignment horizontal="center"/>
    </xf>
    <xf numFmtId="44" fontId="0" fillId="11" borderId="11" xfId="1" applyFont="1" applyFill="1" applyBorder="1" applyAlignment="1">
      <alignment horizontal="center"/>
    </xf>
    <xf numFmtId="0" fontId="0" fillId="11" borderId="12" xfId="0" applyFill="1" applyBorder="1"/>
    <xf numFmtId="0" fontId="9" fillId="3" borderId="13" xfId="0" applyFont="1" applyFill="1" applyBorder="1" applyAlignment="1">
      <alignment horizontal="center" vertical="center" wrapText="1"/>
    </xf>
    <xf numFmtId="2" fontId="0" fillId="3" borderId="2" xfId="0" applyNumberFormat="1" applyFill="1" applyBorder="1" applyAlignment="1">
      <alignment horizontal="center" vertical="center" wrapText="1"/>
    </xf>
    <xf numFmtId="2" fontId="12" fillId="3" borderId="2" xfId="1" applyNumberFormat="1" applyFont="1" applyFill="1" applyBorder="1" applyAlignment="1">
      <alignment horizontal="right"/>
    </xf>
    <xf numFmtId="2" fontId="0" fillId="3" borderId="0" xfId="0" applyNumberFormat="1" applyFill="1" applyAlignment="1">
      <alignment horizontal="center"/>
    </xf>
    <xf numFmtId="2" fontId="13" fillId="3" borderId="2" xfId="1" applyNumberFormat="1" applyFont="1" applyFill="1" applyBorder="1" applyAlignment="1">
      <alignment horizontal="right"/>
    </xf>
    <xf numFmtId="0" fontId="9" fillId="0" borderId="13" xfId="0" applyNumberFormat="1" applyFont="1" applyBorder="1" applyAlignment="1">
      <alignment horizontal="center" vertical="center" wrapText="1"/>
    </xf>
    <xf numFmtId="0" fontId="0" fillId="3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44" fontId="0" fillId="11" borderId="15" xfId="1" applyFont="1" applyFill="1" applyBorder="1" applyAlignment="1">
      <alignment horizontal="center"/>
    </xf>
    <xf numFmtId="0" fontId="0" fillId="11" borderId="16" xfId="0" applyFill="1" applyBorder="1"/>
    <xf numFmtId="0" fontId="6" fillId="3" borderId="0" xfId="0" applyFont="1" applyFill="1" applyAlignment="1">
      <alignment horizontal="left"/>
    </xf>
    <xf numFmtId="0" fontId="0" fillId="11" borderId="2" xfId="0" applyFill="1" applyBorder="1" applyAlignment="1">
      <alignment horizontal="center" vertical="center"/>
    </xf>
    <xf numFmtId="0" fontId="0" fillId="3" borderId="0" xfId="0" applyFill="1" applyAlignment="1">
      <alignment horizontal="left"/>
    </xf>
    <xf numFmtId="0" fontId="18" fillId="3" borderId="0" xfId="3" applyFont="1" applyFill="1" applyBorder="1" applyAlignment="1">
      <alignment vertical="center"/>
    </xf>
    <xf numFmtId="2" fontId="0" fillId="3" borderId="0" xfId="0" applyNumberFormat="1" applyFill="1" applyAlignment="1"/>
    <xf numFmtId="0" fontId="0" fillId="3" borderId="0" xfId="0" applyFill="1" applyBorder="1"/>
    <xf numFmtId="0" fontId="10" fillId="15" borderId="18" xfId="0" applyFont="1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10" fillId="15" borderId="20" xfId="0" applyFont="1" applyFill="1" applyBorder="1" applyAlignment="1">
      <alignment horizontal="center" vertical="center"/>
    </xf>
    <xf numFmtId="0" fontId="9" fillId="0" borderId="2" xfId="0" applyNumberFormat="1" applyFont="1" applyBorder="1" applyAlignment="1">
      <alignment horizontal="center" vertical="center" wrapText="1"/>
    </xf>
    <xf numFmtId="0" fontId="0" fillId="3" borderId="22" xfId="0" applyFill="1" applyBorder="1" applyAlignment="1">
      <alignment horizontal="center"/>
    </xf>
    <xf numFmtId="0" fontId="10" fillId="15" borderId="23" xfId="0" applyFont="1" applyFill="1" applyBorder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164" fontId="23" fillId="3" borderId="0" xfId="0" applyNumberFormat="1" applyFont="1" applyFill="1" applyBorder="1"/>
    <xf numFmtId="2" fontId="23" fillId="3" borderId="0" xfId="0" applyNumberFormat="1" applyFont="1" applyFill="1" applyBorder="1"/>
    <xf numFmtId="164" fontId="8" fillId="3" borderId="0" xfId="0" applyNumberFormat="1" applyFont="1" applyFill="1" applyBorder="1" applyAlignment="1"/>
    <xf numFmtId="164" fontId="8" fillId="3" borderId="0" xfId="0" applyNumberFormat="1" applyFont="1" applyFill="1" applyBorder="1"/>
    <xf numFmtId="0" fontId="25" fillId="16" borderId="0" xfId="0" applyFont="1" applyFill="1" applyBorder="1" applyAlignment="1">
      <alignment horizontal="center" vertical="center" wrapText="1"/>
    </xf>
    <xf numFmtId="0" fontId="25" fillId="16" borderId="28" xfId="0" applyFont="1" applyFill="1" applyBorder="1" applyAlignment="1">
      <alignment horizontal="center" vertical="center" wrapText="1"/>
    </xf>
    <xf numFmtId="0" fontId="27" fillId="16" borderId="28" xfId="0" applyFont="1" applyFill="1" applyBorder="1" applyAlignment="1">
      <alignment horizontal="center" vertical="center" wrapText="1"/>
    </xf>
    <xf numFmtId="166" fontId="25" fillId="16" borderId="28" xfId="0" applyNumberFormat="1" applyFont="1" applyFill="1" applyBorder="1" applyAlignment="1">
      <alignment horizontal="center" vertical="center" wrapText="1"/>
    </xf>
    <xf numFmtId="166" fontId="28" fillId="16" borderId="28" xfId="0" applyNumberFormat="1" applyFont="1" applyFill="1" applyBorder="1" applyAlignment="1">
      <alignment horizontal="center" vertical="center" wrapText="1"/>
    </xf>
    <xf numFmtId="9" fontId="28" fillId="16" borderId="28" xfId="2" applyFont="1" applyFill="1" applyBorder="1" applyAlignment="1">
      <alignment horizontal="center" vertical="center" wrapText="1"/>
    </xf>
    <xf numFmtId="0" fontId="26" fillId="3" borderId="0" xfId="0" applyFont="1" applyFill="1"/>
    <xf numFmtId="0" fontId="4" fillId="3" borderId="0" xfId="0" applyFont="1" applyFill="1"/>
    <xf numFmtId="0" fontId="4" fillId="3" borderId="0" xfId="0" applyFont="1" applyFill="1" applyAlignment="1">
      <alignment horizontal="center"/>
    </xf>
    <xf numFmtId="0" fontId="25" fillId="16" borderId="29" xfId="0" applyFont="1" applyFill="1" applyBorder="1" applyAlignment="1">
      <alignment horizontal="center" vertical="center" wrapText="1"/>
    </xf>
    <xf numFmtId="166" fontId="25" fillId="16" borderId="29" xfId="0" applyNumberFormat="1" applyFont="1" applyFill="1" applyBorder="1" applyAlignment="1">
      <alignment horizontal="center" vertical="center" wrapText="1"/>
    </xf>
    <xf numFmtId="9" fontId="28" fillId="16" borderId="30" xfId="2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right"/>
    </xf>
    <xf numFmtId="0" fontId="29" fillId="3" borderId="31" xfId="0" applyFont="1" applyFill="1" applyBorder="1" applyAlignment="1">
      <alignment horizontal="center" vertical="center"/>
    </xf>
    <xf numFmtId="0" fontId="27" fillId="16" borderId="32" xfId="0" applyFont="1" applyFill="1" applyBorder="1" applyAlignment="1">
      <alignment horizontal="center" vertical="center" wrapText="1"/>
    </xf>
    <xf numFmtId="9" fontId="28" fillId="16" borderId="33" xfId="2" applyFont="1" applyFill="1" applyBorder="1" applyAlignment="1">
      <alignment horizontal="center" vertical="center" wrapText="1"/>
    </xf>
    <xf numFmtId="0" fontId="29" fillId="3" borderId="34" xfId="0" applyFont="1" applyFill="1" applyBorder="1" applyAlignment="1">
      <alignment horizontal="center" vertical="center"/>
    </xf>
    <xf numFmtId="0" fontId="29" fillId="3" borderId="35" xfId="0" applyFont="1" applyFill="1" applyBorder="1" applyAlignment="1">
      <alignment horizontal="center" vertical="center"/>
    </xf>
    <xf numFmtId="0" fontId="29" fillId="3" borderId="36" xfId="0" applyFont="1" applyFill="1" applyBorder="1" applyAlignment="1">
      <alignment horizontal="center" vertical="center"/>
    </xf>
    <xf numFmtId="0" fontId="29" fillId="3" borderId="37" xfId="0" applyFont="1" applyFill="1" applyBorder="1" applyAlignment="1">
      <alignment horizontal="center" vertical="center"/>
    </xf>
    <xf numFmtId="0" fontId="29" fillId="3" borderId="38" xfId="0" applyFont="1" applyFill="1" applyBorder="1" applyAlignment="1">
      <alignment horizontal="center" vertical="center"/>
    </xf>
    <xf numFmtId="0" fontId="3" fillId="18" borderId="26" xfId="0" applyFont="1" applyFill="1" applyBorder="1" applyAlignment="1">
      <alignment horizontal="center"/>
    </xf>
    <xf numFmtId="0" fontId="0" fillId="19" borderId="26" xfId="0" applyFill="1" applyBorder="1"/>
    <xf numFmtId="0" fontId="0" fillId="19" borderId="27" xfId="0" applyFill="1" applyBorder="1"/>
    <xf numFmtId="0" fontId="27" fillId="16" borderId="39" xfId="0" applyFont="1" applyFill="1" applyBorder="1" applyAlignment="1">
      <alignment horizontal="center" vertical="center" wrapText="1"/>
    </xf>
    <xf numFmtId="46" fontId="25" fillId="16" borderId="40" xfId="0" applyNumberFormat="1" applyFont="1" applyFill="1" applyBorder="1" applyAlignment="1">
      <alignment vertical="center" wrapText="1"/>
    </xf>
    <xf numFmtId="0" fontId="0" fillId="3" borderId="42" xfId="0" applyFill="1" applyBorder="1"/>
    <xf numFmtId="0" fontId="0" fillId="3" borderId="43" xfId="0" applyFill="1" applyBorder="1"/>
    <xf numFmtId="0" fontId="0" fillId="3" borderId="44" xfId="0" applyFill="1" applyBorder="1"/>
    <xf numFmtId="0" fontId="0" fillId="3" borderId="45" xfId="0" applyFill="1" applyBorder="1"/>
    <xf numFmtId="0" fontId="0" fillId="3" borderId="46" xfId="0" applyFill="1" applyBorder="1"/>
    <xf numFmtId="0" fontId="0" fillId="3" borderId="41" xfId="0" applyFill="1" applyBorder="1"/>
    <xf numFmtId="0" fontId="0" fillId="3" borderId="41" xfId="0" applyFill="1" applyBorder="1" applyAlignment="1">
      <alignment horizontal="center"/>
    </xf>
    <xf numFmtId="0" fontId="3" fillId="3" borderId="0" xfId="0" applyFont="1" applyFill="1" applyBorder="1"/>
    <xf numFmtId="0" fontId="30" fillId="15" borderId="19" xfId="0" applyFont="1" applyFill="1" applyBorder="1" applyAlignment="1">
      <alignment horizontal="center"/>
    </xf>
    <xf numFmtId="0" fontId="30" fillId="15" borderId="21" xfId="0" applyFont="1" applyFill="1" applyBorder="1" applyAlignment="1">
      <alignment horizontal="center"/>
    </xf>
    <xf numFmtId="0" fontId="30" fillId="15" borderId="24" xfId="0" applyFont="1" applyFill="1" applyBorder="1" applyAlignment="1">
      <alignment horizontal="center"/>
    </xf>
    <xf numFmtId="2" fontId="0" fillId="3" borderId="0" xfId="0" applyNumberFormat="1" applyFill="1" applyBorder="1" applyAlignment="1"/>
    <xf numFmtId="0" fontId="19" fillId="3" borderId="0" xfId="0" applyFont="1" applyFill="1" applyBorder="1" applyAlignment="1"/>
    <xf numFmtId="2" fontId="0" fillId="3" borderId="41" xfId="0" applyNumberFormat="1" applyFill="1" applyBorder="1" applyAlignment="1">
      <alignment horizontal="center"/>
    </xf>
    <xf numFmtId="0" fontId="29" fillId="3" borderId="47" xfId="0" applyFont="1" applyFill="1" applyBorder="1" applyAlignment="1">
      <alignment horizontal="center" vertical="center"/>
    </xf>
    <xf numFmtId="0" fontId="29" fillId="3" borderId="48" xfId="0" applyFont="1" applyFill="1" applyBorder="1" applyAlignment="1">
      <alignment horizontal="center" vertical="center"/>
    </xf>
    <xf numFmtId="0" fontId="29" fillId="3" borderId="49" xfId="0" applyFont="1" applyFill="1" applyBorder="1" applyAlignment="1">
      <alignment horizontal="center" vertical="center"/>
    </xf>
    <xf numFmtId="0" fontId="29" fillId="3" borderId="50" xfId="0" applyFont="1" applyFill="1" applyBorder="1" applyAlignment="1">
      <alignment horizontal="center" vertical="center"/>
    </xf>
    <xf numFmtId="0" fontId="29" fillId="3" borderId="51" xfId="0" applyFont="1" applyFill="1" applyBorder="1" applyAlignment="1">
      <alignment horizontal="center" vertical="center"/>
    </xf>
    <xf numFmtId="0" fontId="29" fillId="3" borderId="52" xfId="0" applyFont="1" applyFill="1" applyBorder="1" applyAlignment="1">
      <alignment horizontal="center" vertical="center"/>
    </xf>
    <xf numFmtId="0" fontId="29" fillId="3" borderId="53" xfId="0" applyFont="1" applyFill="1" applyBorder="1" applyAlignment="1">
      <alignment horizontal="center" vertical="center"/>
    </xf>
    <xf numFmtId="0" fontId="29" fillId="3" borderId="54" xfId="0" applyFont="1" applyFill="1" applyBorder="1" applyAlignment="1">
      <alignment horizontal="center" vertical="center"/>
    </xf>
    <xf numFmtId="14" fontId="0" fillId="3" borderId="41" xfId="0" applyNumberFormat="1" applyFill="1" applyBorder="1"/>
    <xf numFmtId="0" fontId="16" fillId="14" borderId="5" xfId="3" applyFont="1" applyFill="1" applyBorder="1" applyAlignment="1">
      <alignment vertical="center"/>
    </xf>
    <xf numFmtId="0" fontId="17" fillId="14" borderId="5" xfId="0" applyFont="1" applyFill="1" applyBorder="1" applyAlignment="1"/>
    <xf numFmtId="0" fontId="17" fillId="14" borderId="17" xfId="0" applyFont="1" applyFill="1" applyBorder="1" applyAlignment="1"/>
    <xf numFmtId="0" fontId="17" fillId="14" borderId="6" xfId="0" applyFont="1" applyFill="1" applyBorder="1" applyAlignment="1"/>
    <xf numFmtId="0" fontId="15" fillId="14" borderId="5" xfId="4" applyFont="1" applyFill="1" applyBorder="1" applyAlignment="1">
      <alignment vertical="center"/>
    </xf>
    <xf numFmtId="0" fontId="15" fillId="14" borderId="17" xfId="4" applyFont="1" applyFill="1" applyBorder="1" applyAlignment="1">
      <alignment vertical="center"/>
    </xf>
    <xf numFmtId="0" fontId="15" fillId="14" borderId="6" xfId="4" applyFont="1" applyFill="1" applyBorder="1" applyAlignment="1">
      <alignment vertical="center"/>
    </xf>
    <xf numFmtId="0" fontId="18" fillId="14" borderId="5" xfId="3" applyFont="1" applyFill="1" applyBorder="1" applyAlignment="1">
      <alignment vertical="center"/>
    </xf>
    <xf numFmtId="0" fontId="18" fillId="14" borderId="17" xfId="3" applyFont="1" applyFill="1" applyBorder="1" applyAlignment="1">
      <alignment vertical="center"/>
    </xf>
    <xf numFmtId="0" fontId="18" fillId="14" borderId="6" xfId="3" applyFont="1" applyFill="1" applyBorder="1" applyAlignment="1">
      <alignment vertical="center"/>
    </xf>
    <xf numFmtId="1" fontId="8" fillId="14" borderId="5" xfId="0" applyNumberFormat="1" applyFont="1" applyFill="1" applyBorder="1" applyAlignment="1"/>
    <xf numFmtId="1" fontId="20" fillId="14" borderId="5" xfId="0" applyNumberFormat="1" applyFont="1" applyFill="1" applyBorder="1" applyAlignment="1"/>
    <xf numFmtId="1" fontId="20" fillId="14" borderId="17" xfId="0" applyNumberFormat="1" applyFont="1" applyFill="1" applyBorder="1" applyAlignment="1"/>
    <xf numFmtId="1" fontId="20" fillId="14" borderId="6" xfId="0" applyNumberFormat="1" applyFont="1" applyFill="1" applyBorder="1" applyAlignment="1"/>
    <xf numFmtId="0" fontId="8" fillId="14" borderId="5" xfId="0" applyNumberFormat="1" applyFont="1" applyFill="1" applyBorder="1" applyAlignment="1"/>
    <xf numFmtId="1" fontId="21" fillId="14" borderId="5" xfId="0" applyNumberFormat="1" applyFont="1" applyFill="1" applyBorder="1" applyAlignment="1"/>
    <xf numFmtId="1" fontId="21" fillId="14" borderId="17" xfId="0" applyNumberFormat="1" applyFont="1" applyFill="1" applyBorder="1" applyAlignment="1"/>
    <xf numFmtId="1" fontId="21" fillId="14" borderId="6" xfId="0" applyNumberFormat="1" applyFont="1" applyFill="1" applyBorder="1" applyAlignment="1"/>
    <xf numFmtId="21" fontId="0" fillId="3" borderId="0" xfId="0" applyNumberFormat="1" applyFill="1"/>
    <xf numFmtId="2" fontId="0" fillId="3" borderId="2" xfId="0" applyNumberFormat="1" applyFill="1" applyBorder="1" applyAlignment="1">
      <alignment horizontal="center"/>
    </xf>
    <xf numFmtId="2" fontId="8" fillId="3" borderId="2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right"/>
    </xf>
    <xf numFmtId="44" fontId="0" fillId="11" borderId="12" xfId="1" applyFont="1" applyFill="1" applyBorder="1" applyAlignment="1">
      <alignment horizontal="center"/>
    </xf>
    <xf numFmtId="44" fontId="0" fillId="11" borderId="16" xfId="1" applyFont="1" applyFill="1" applyBorder="1" applyAlignment="1">
      <alignment horizontal="center"/>
    </xf>
    <xf numFmtId="2" fontId="8" fillId="2" borderId="1" xfId="0" applyNumberFormat="1" applyFont="1" applyFill="1" applyBorder="1" applyAlignment="1"/>
    <xf numFmtId="2" fontId="0" fillId="2" borderId="14" xfId="0" applyNumberFormat="1" applyFill="1" applyBorder="1" applyAlignment="1"/>
    <xf numFmtId="2" fontId="0" fillId="2" borderId="1" xfId="0" applyNumberFormat="1" applyFill="1" applyBorder="1" applyAlignment="1"/>
    <xf numFmtId="2" fontId="0" fillId="2" borderId="16" xfId="0" applyNumberFormat="1" applyFill="1" applyBorder="1" applyAlignment="1"/>
    <xf numFmtId="0" fontId="0" fillId="13" borderId="55" xfId="0" applyFill="1" applyBorder="1" applyAlignment="1">
      <alignment horizontal="center"/>
    </xf>
    <xf numFmtId="0" fontId="19" fillId="13" borderId="55" xfId="0" applyFont="1" applyFill="1" applyBorder="1" applyAlignment="1">
      <alignment horizontal="center"/>
    </xf>
    <xf numFmtId="2" fontId="0" fillId="3" borderId="0" xfId="0" applyNumberFormat="1" applyFill="1" applyBorder="1"/>
    <xf numFmtId="2" fontId="0" fillId="3" borderId="0" xfId="0" applyNumberFormat="1" applyFill="1" applyBorder="1" applyAlignment="1">
      <alignment horizontal="center" vertical="center" wrapText="1"/>
    </xf>
    <xf numFmtId="2" fontId="0" fillId="3" borderId="21" xfId="0" applyNumberFormat="1" applyFill="1" applyBorder="1" applyAlignment="1">
      <alignment horizontal="center" vertical="center" wrapText="1"/>
    </xf>
    <xf numFmtId="2" fontId="8" fillId="3" borderId="20" xfId="0" applyNumberFormat="1" applyFont="1" applyFill="1" applyBorder="1" applyAlignment="1">
      <alignment horizontal="center"/>
    </xf>
    <xf numFmtId="2" fontId="0" fillId="3" borderId="0" xfId="0" applyNumberFormat="1" applyFill="1" applyBorder="1" applyAlignment="1">
      <alignment horizontal="center"/>
    </xf>
    <xf numFmtId="2" fontId="13" fillId="3" borderId="21" xfId="1" applyNumberFormat="1" applyFont="1" applyFill="1" applyBorder="1" applyAlignment="1">
      <alignment horizontal="right"/>
    </xf>
    <xf numFmtId="2" fontId="0" fillId="3" borderId="60" xfId="0" applyNumberFormat="1" applyFill="1" applyBorder="1"/>
    <xf numFmtId="0" fontId="0" fillId="3" borderId="60" xfId="0" applyFill="1" applyBorder="1"/>
    <xf numFmtId="2" fontId="2" fillId="5" borderId="8" xfId="0" applyNumberFormat="1" applyFont="1" applyFill="1" applyBorder="1" applyAlignment="1">
      <alignment horizontal="center" vertical="center"/>
    </xf>
    <xf numFmtId="44" fontId="0" fillId="7" borderId="8" xfId="1" applyFont="1" applyFill="1" applyBorder="1" applyAlignment="1">
      <alignment horizontal="center"/>
    </xf>
    <xf numFmtId="44" fontId="0" fillId="7" borderId="12" xfId="1" applyFont="1" applyFill="1" applyBorder="1" applyAlignment="1">
      <alignment horizontal="center"/>
    </xf>
    <xf numFmtId="2" fontId="0" fillId="3" borderId="26" xfId="0" applyNumberFormat="1" applyFill="1" applyBorder="1"/>
    <xf numFmtId="0" fontId="0" fillId="3" borderId="26" xfId="0" applyFill="1" applyBorder="1"/>
    <xf numFmtId="2" fontId="8" fillId="3" borderId="20" xfId="0" applyNumberFormat="1" applyFont="1" applyFill="1" applyBorder="1"/>
    <xf numFmtId="0" fontId="0" fillId="3" borderId="66" xfId="0" applyFill="1" applyBorder="1"/>
    <xf numFmtId="2" fontId="8" fillId="3" borderId="23" xfId="0" applyNumberFormat="1" applyFont="1" applyFill="1" applyBorder="1"/>
    <xf numFmtId="2" fontId="8" fillId="3" borderId="61" xfId="0" applyNumberFormat="1" applyFont="1" applyFill="1" applyBorder="1"/>
    <xf numFmtId="2" fontId="8" fillId="3" borderId="61" xfId="0" applyNumberFormat="1" applyFont="1" applyFill="1" applyBorder="1" applyAlignment="1">
      <alignment horizontal="center"/>
    </xf>
    <xf numFmtId="2" fontId="0" fillId="3" borderId="61" xfId="0" applyNumberFormat="1" applyFill="1" applyBorder="1"/>
    <xf numFmtId="2" fontId="0" fillId="3" borderId="61" xfId="0" applyNumberFormat="1" applyFill="1" applyBorder="1" applyAlignment="1">
      <alignment horizontal="center"/>
    </xf>
    <xf numFmtId="21" fontId="0" fillId="3" borderId="60" xfId="0" applyNumberFormat="1" applyFill="1" applyBorder="1"/>
    <xf numFmtId="0" fontId="0" fillId="3" borderId="67" xfId="0" applyFill="1" applyBorder="1"/>
    <xf numFmtId="44" fontId="0" fillId="7" borderId="16" xfId="1" applyFont="1" applyFill="1" applyBorder="1" applyAlignment="1">
      <alignment horizontal="center"/>
    </xf>
    <xf numFmtId="44" fontId="0" fillId="8" borderId="8" xfId="1" applyFont="1" applyFill="1" applyBorder="1" applyAlignment="1">
      <alignment horizontal="center"/>
    </xf>
    <xf numFmtId="44" fontId="0" fillId="8" borderId="12" xfId="1" applyFont="1" applyFill="1" applyBorder="1" applyAlignment="1">
      <alignment horizontal="center"/>
    </xf>
    <xf numFmtId="44" fontId="0" fillId="8" borderId="16" xfId="1" applyFont="1" applyFill="1" applyBorder="1" applyAlignment="1">
      <alignment horizontal="center"/>
    </xf>
    <xf numFmtId="44" fontId="0" fillId="9" borderId="8" xfId="1" applyFont="1" applyFill="1" applyBorder="1" applyAlignment="1">
      <alignment horizontal="center"/>
    </xf>
    <xf numFmtId="44" fontId="0" fillId="9" borderId="12" xfId="1" applyFont="1" applyFill="1" applyBorder="1" applyAlignment="1">
      <alignment horizontal="center"/>
    </xf>
    <xf numFmtId="44" fontId="0" fillId="9" borderId="16" xfId="1" applyFont="1" applyFill="1" applyBorder="1" applyAlignment="1">
      <alignment horizontal="center"/>
    </xf>
    <xf numFmtId="44" fontId="0" fillId="10" borderId="8" xfId="1" applyFont="1" applyFill="1" applyBorder="1" applyAlignment="1">
      <alignment horizontal="center"/>
    </xf>
    <xf numFmtId="44" fontId="0" fillId="10" borderId="12" xfId="1" applyFont="1" applyFill="1" applyBorder="1" applyAlignment="1">
      <alignment horizontal="center"/>
    </xf>
    <xf numFmtId="44" fontId="0" fillId="10" borderId="16" xfId="1" applyFont="1" applyFill="1" applyBorder="1" applyAlignment="1">
      <alignment horizontal="center"/>
    </xf>
    <xf numFmtId="21" fontId="0" fillId="3" borderId="26" xfId="0" applyNumberFormat="1" applyFill="1" applyBorder="1"/>
    <xf numFmtId="0" fontId="0" fillId="3" borderId="27" xfId="0" applyFill="1" applyBorder="1"/>
    <xf numFmtId="0" fontId="0" fillId="0" borderId="0" xfId="0"/>
    <xf numFmtId="0" fontId="31" fillId="0" borderId="70" xfId="0" applyFont="1" applyBorder="1" applyAlignment="1">
      <alignment horizontal="center" vertical="center"/>
    </xf>
    <xf numFmtId="0" fontId="31" fillId="0" borderId="70" xfId="0" applyFont="1" applyBorder="1" applyAlignment="1">
      <alignment horizontal="center" vertical="center" wrapText="1"/>
    </xf>
    <xf numFmtId="0" fontId="31" fillId="0" borderId="67" xfId="0" applyFont="1" applyBorder="1" applyAlignment="1">
      <alignment horizontal="center" vertical="center"/>
    </xf>
    <xf numFmtId="0" fontId="33" fillId="0" borderId="68" xfId="0" applyFont="1" applyBorder="1" applyAlignment="1">
      <alignment horizontal="center" vertical="center"/>
    </xf>
    <xf numFmtId="0" fontId="33" fillId="0" borderId="71" xfId="0" applyFont="1" applyBorder="1" applyAlignment="1">
      <alignment horizontal="center" vertical="center"/>
    </xf>
    <xf numFmtId="0" fontId="34" fillId="0" borderId="68" xfId="0" applyFont="1" applyBorder="1" applyAlignment="1">
      <alignment horizontal="center" vertical="center" wrapText="1"/>
    </xf>
    <xf numFmtId="0" fontId="34" fillId="0" borderId="70" xfId="0" applyFont="1" applyBorder="1" applyAlignment="1">
      <alignment horizontal="center" vertical="center"/>
    </xf>
    <xf numFmtId="2" fontId="8" fillId="20" borderId="2" xfId="0" applyNumberFormat="1" applyFont="1" applyFill="1" applyBorder="1"/>
    <xf numFmtId="2" fontId="8" fillId="20" borderId="2" xfId="0" applyNumberFormat="1" applyFont="1" applyFill="1" applyBorder="1" applyAlignment="1">
      <alignment horizontal="center"/>
    </xf>
    <xf numFmtId="0" fontId="6" fillId="4" borderId="65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2" fontId="8" fillId="3" borderId="20" xfId="0" applyNumberFormat="1" applyFont="1" applyFill="1" applyBorder="1" applyAlignment="1">
      <alignment horizontal="center" vertical="center" wrapText="1"/>
    </xf>
    <xf numFmtId="2" fontId="8" fillId="3" borderId="2" xfId="0" applyNumberFormat="1" applyFont="1" applyFill="1" applyBorder="1" applyAlignment="1">
      <alignment horizontal="center" vertical="center" wrapText="1"/>
    </xf>
    <xf numFmtId="2" fontId="0" fillId="3" borderId="5" xfId="0" applyNumberFormat="1" applyFill="1" applyBorder="1" applyAlignment="1">
      <alignment horizontal="center" vertical="center" wrapText="1"/>
    </xf>
    <xf numFmtId="2" fontId="0" fillId="3" borderId="6" xfId="0" applyNumberForma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 vertical="center" wrapText="1"/>
    </xf>
    <xf numFmtId="0" fontId="0" fillId="4" borderId="17" xfId="0" applyFill="1" applyBorder="1" applyAlignment="1">
      <alignment horizontal="center" vertical="center" wrapText="1"/>
    </xf>
    <xf numFmtId="0" fontId="0" fillId="4" borderId="72" xfId="0" applyFill="1" applyBorder="1" applyAlignment="1">
      <alignment horizontal="center" vertical="center" wrapText="1"/>
    </xf>
    <xf numFmtId="2" fontId="5" fillId="2" borderId="25" xfId="0" applyNumberFormat="1" applyFont="1" applyFill="1" applyBorder="1" applyAlignment="1">
      <alignment horizontal="center"/>
    </xf>
    <xf numFmtId="2" fontId="5" fillId="2" borderId="26" xfId="0" applyNumberFormat="1" applyFont="1" applyFill="1" applyBorder="1" applyAlignment="1">
      <alignment horizontal="center"/>
    </xf>
    <xf numFmtId="2" fontId="6" fillId="4" borderId="64" xfId="0" applyNumberFormat="1" applyFont="1" applyFill="1" applyBorder="1" applyAlignment="1">
      <alignment horizontal="center"/>
    </xf>
    <xf numFmtId="0" fontId="14" fillId="3" borderId="0" xfId="0" applyFont="1" applyFill="1" applyAlignment="1">
      <alignment horizontal="left"/>
    </xf>
    <xf numFmtId="2" fontId="0" fillId="3" borderId="2" xfId="0" applyNumberFormat="1" applyFill="1" applyBorder="1" applyAlignment="1">
      <alignment horizontal="center"/>
    </xf>
    <xf numFmtId="2" fontId="0" fillId="3" borderId="21" xfId="0" applyNumberFormat="1" applyFill="1" applyBorder="1" applyAlignment="1">
      <alignment horizontal="center"/>
    </xf>
    <xf numFmtId="2" fontId="6" fillId="12" borderId="25" xfId="0" applyNumberFormat="1" applyFont="1" applyFill="1" applyBorder="1" applyAlignment="1">
      <alignment horizontal="center"/>
    </xf>
    <xf numFmtId="2" fontId="6" fillId="12" borderId="26" xfId="0" applyNumberFormat="1" applyFont="1" applyFill="1" applyBorder="1" applyAlignment="1">
      <alignment horizontal="center"/>
    </xf>
    <xf numFmtId="2" fontId="6" fillId="12" borderId="27" xfId="0" applyNumberFormat="1" applyFont="1" applyFill="1" applyBorder="1" applyAlignment="1">
      <alignment horizontal="center"/>
    </xf>
    <xf numFmtId="2" fontId="6" fillId="4" borderId="56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35" fillId="20" borderId="69" xfId="0" applyFont="1" applyFill="1" applyBorder="1" applyAlignment="1">
      <alignment horizontal="center" vertical="center"/>
    </xf>
    <xf numFmtId="0" fontId="35" fillId="20" borderId="70" xfId="0" applyFont="1" applyFill="1" applyBorder="1" applyAlignment="1">
      <alignment horizontal="center" vertical="center"/>
    </xf>
    <xf numFmtId="2" fontId="12" fillId="4" borderId="25" xfId="0" applyNumberFormat="1" applyFont="1" applyFill="1" applyBorder="1" applyAlignment="1">
      <alignment horizontal="center"/>
    </xf>
    <xf numFmtId="2" fontId="12" fillId="4" borderId="26" xfId="0" applyNumberFormat="1" applyFont="1" applyFill="1" applyBorder="1" applyAlignment="1">
      <alignment horizontal="center"/>
    </xf>
    <xf numFmtId="2" fontId="8" fillId="3" borderId="57" xfId="0" applyNumberFormat="1" applyFont="1" applyFill="1" applyBorder="1" applyAlignment="1">
      <alignment horizontal="center"/>
    </xf>
    <xf numFmtId="2" fontId="8" fillId="3" borderId="58" xfId="0" applyNumberFormat="1" applyFont="1" applyFill="1" applyBorder="1" applyAlignment="1">
      <alignment horizontal="center"/>
    </xf>
    <xf numFmtId="2" fontId="8" fillId="3" borderId="59" xfId="0" applyNumberFormat="1" applyFont="1" applyFill="1" applyBorder="1" applyAlignment="1">
      <alignment horizontal="center"/>
    </xf>
    <xf numFmtId="2" fontId="0" fillId="3" borderId="61" xfId="0" applyNumberFormat="1" applyFill="1" applyBorder="1" applyAlignment="1">
      <alignment horizontal="center"/>
    </xf>
    <xf numFmtId="0" fontId="0" fillId="3" borderId="62" xfId="0" applyFill="1" applyBorder="1" applyAlignment="1">
      <alignment horizontal="center"/>
    </xf>
    <xf numFmtId="0" fontId="0" fillId="3" borderId="58" xfId="0" applyFill="1" applyBorder="1" applyAlignment="1">
      <alignment horizontal="center"/>
    </xf>
    <xf numFmtId="0" fontId="0" fillId="3" borderId="63" xfId="0" applyFill="1" applyBorder="1" applyAlignment="1">
      <alignment horizontal="center"/>
    </xf>
    <xf numFmtId="0" fontId="6" fillId="3" borderId="0" xfId="0" applyFont="1" applyFill="1" applyAlignment="1">
      <alignment horizontal="left"/>
    </xf>
    <xf numFmtId="0" fontId="0" fillId="13" borderId="2" xfId="0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3" fillId="17" borderId="25" xfId="0" applyFont="1" applyFill="1" applyBorder="1" applyAlignment="1">
      <alignment horizontal="center"/>
    </xf>
    <xf numFmtId="0" fontId="3" fillId="17" borderId="26" xfId="0" applyFont="1" applyFill="1" applyBorder="1" applyAlignment="1">
      <alignment horizontal="center"/>
    </xf>
    <xf numFmtId="0" fontId="24" fillId="19" borderId="26" xfId="0" applyFont="1" applyFill="1" applyBorder="1" applyAlignment="1">
      <alignment horizontal="center"/>
    </xf>
  </cellXfs>
  <cellStyles count="6">
    <cellStyle name="Millares 2" xfId="5"/>
    <cellStyle name="Moneda" xfId="1" builtinId="4"/>
    <cellStyle name="Normal" xfId="0" builtinId="0"/>
    <cellStyle name="Normal 2" xfId="3"/>
    <cellStyle name="Normal_Acumulado" xfId="4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ucc/AppData/Local/Temp/Rar$DIa0.058/INFORMACION%20DE%20VELY/DOC%20EJEMPLO/invetigaciones/DOC%20EJEMPLO/NOMINA%20NUEVA%20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aptura"/>
      <sheetName val="Lista"/>
      <sheetName val="Reporte de nomina"/>
    </sheetNames>
    <sheetDataSet>
      <sheetData sheetId="0">
        <row r="54">
          <cell r="S54" t="str">
            <v>Lara Gonzales Jose Candelario</v>
          </cell>
          <cell r="T54">
            <v>38519</v>
          </cell>
        </row>
        <row r="55">
          <cell r="S55" t="str">
            <v>Muñoz Garcia Francisco Javier</v>
          </cell>
          <cell r="T55">
            <v>39936</v>
          </cell>
        </row>
        <row r="56">
          <cell r="S56" t="str">
            <v>Álvarez Díaz Andrés</v>
          </cell>
          <cell r="T56">
            <v>7132</v>
          </cell>
        </row>
        <row r="57">
          <cell r="S57" t="str">
            <v>Aguas Ramirez Ramos</v>
          </cell>
          <cell r="T57">
            <v>40195</v>
          </cell>
        </row>
        <row r="58">
          <cell r="S58" t="str">
            <v>Camacho Valadez Luis Francisco</v>
          </cell>
          <cell r="T58">
            <v>7314</v>
          </cell>
        </row>
        <row r="59">
          <cell r="S59" t="str">
            <v>Camacho Velázquez José de Jesús</v>
          </cell>
          <cell r="T59">
            <v>31788</v>
          </cell>
        </row>
        <row r="60">
          <cell r="S60" t="str">
            <v>Ramos Carbajal David</v>
          </cell>
          <cell r="T60">
            <v>36793</v>
          </cell>
        </row>
        <row r="61">
          <cell r="S61" t="str">
            <v>Ezquibel Vidrio Roberto</v>
          </cell>
          <cell r="T61">
            <v>32751</v>
          </cell>
        </row>
        <row r="62">
          <cell r="S62" t="str">
            <v>Anguiano Garcia Jorge</v>
          </cell>
          <cell r="T62">
            <v>96451</v>
          </cell>
        </row>
        <row r="63">
          <cell r="S63" t="str">
            <v xml:space="preserve">Lopez Tozcano Cristian Ivan </v>
          </cell>
          <cell r="T63">
            <v>25764</v>
          </cell>
        </row>
        <row r="64">
          <cell r="S64" t="str">
            <v>Rivera Ulloa Luis Alberto</v>
          </cell>
          <cell r="T64">
            <v>33297</v>
          </cell>
        </row>
        <row r="65">
          <cell r="S65" t="str">
            <v>Robles Espinoza Víctor Alfonso</v>
          </cell>
          <cell r="T65">
            <v>33300</v>
          </cell>
        </row>
        <row r="66">
          <cell r="S66">
            <v>0</v>
          </cell>
          <cell r="T66">
            <v>0</v>
          </cell>
        </row>
        <row r="67">
          <cell r="S67">
            <v>0</v>
          </cell>
          <cell r="T67">
            <v>0</v>
          </cell>
        </row>
        <row r="68">
          <cell r="S68">
            <v>0</v>
          </cell>
          <cell r="T68">
            <v>0</v>
          </cell>
        </row>
        <row r="69">
          <cell r="S69">
            <v>0</v>
          </cell>
          <cell r="T69">
            <v>0</v>
          </cell>
        </row>
        <row r="70">
          <cell r="S70">
            <v>0</v>
          </cell>
          <cell r="T70">
            <v>0</v>
          </cell>
        </row>
        <row r="71">
          <cell r="S71">
            <v>0</v>
          </cell>
          <cell r="T71">
            <v>0</v>
          </cell>
        </row>
        <row r="72">
          <cell r="S72">
            <v>0</v>
          </cell>
          <cell r="T72">
            <v>0</v>
          </cell>
        </row>
        <row r="73">
          <cell r="S73">
            <v>0</v>
          </cell>
          <cell r="T73">
            <v>0</v>
          </cell>
        </row>
        <row r="74">
          <cell r="S74">
            <v>0</v>
          </cell>
          <cell r="T74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5" tint="0.39997558519241921"/>
  </sheetPr>
  <dimension ref="A1:AC698"/>
  <sheetViews>
    <sheetView tabSelected="1" workbookViewId="0">
      <selection activeCell="J16" sqref="J16"/>
    </sheetView>
  </sheetViews>
  <sheetFormatPr baseColWidth="10" defaultRowHeight="15.75" x14ac:dyDescent="0.25"/>
  <cols>
    <col min="1" max="4" width="9.28515625" style="27" customWidth="1"/>
    <col min="5" max="5" width="9.5703125" style="27" customWidth="1"/>
    <col min="6" max="6" width="1.42578125" style="1" customWidth="1"/>
    <col min="7" max="7" width="6.28515625" style="1" bestFit="1" customWidth="1"/>
    <col min="8" max="8" width="7.140625" style="1" customWidth="1"/>
    <col min="9" max="9" width="7.5703125" style="1" bestFit="1" customWidth="1"/>
    <col min="10" max="10" width="10" style="1" customWidth="1"/>
    <col min="11" max="11" width="7.5703125" style="1" bestFit="1" customWidth="1"/>
    <col min="12" max="12" width="1.42578125" style="2" customWidth="1"/>
    <col min="13" max="13" width="19" style="2" customWidth="1"/>
    <col min="14" max="14" width="33.140625" style="2" customWidth="1"/>
    <col min="15" max="15" width="6.85546875" style="2" bestFit="1" customWidth="1"/>
    <col min="16" max="16" width="6.28515625" style="2" bestFit="1" customWidth="1"/>
    <col min="17" max="17" width="7.140625" style="2" bestFit="1" customWidth="1"/>
    <col min="18" max="18" width="53.28515625" style="2" customWidth="1"/>
    <col min="19" max="19" width="39.85546875" style="2" customWidth="1"/>
    <col min="20" max="20" width="11.5703125" style="69" bestFit="1" customWidth="1"/>
    <col min="21" max="21" width="15.42578125" style="2" customWidth="1"/>
    <col min="22" max="22" width="4.7109375" style="2" customWidth="1"/>
    <col min="23" max="23" width="77.140625" style="2" hidden="1" customWidth="1"/>
    <col min="24" max="24" width="0" style="2" hidden="1" customWidth="1"/>
    <col min="25" max="25" width="70.140625" style="2" customWidth="1"/>
    <col min="26" max="254" width="11.42578125" style="2"/>
    <col min="255" max="255" width="9.140625" style="2" bestFit="1" customWidth="1"/>
    <col min="256" max="257" width="6.85546875" style="2" bestFit="1" customWidth="1"/>
    <col min="258" max="258" width="6.28515625" style="2" bestFit="1" customWidth="1"/>
    <col min="259" max="259" width="7.140625" style="2" bestFit="1" customWidth="1"/>
    <col min="260" max="260" width="1.42578125" style="2" customWidth="1"/>
    <col min="261" max="262" width="6.28515625" style="2" bestFit="1" customWidth="1"/>
    <col min="263" max="263" width="7.5703125" style="2" bestFit="1" customWidth="1"/>
    <col min="264" max="264" width="6.28515625" style="2" bestFit="1" customWidth="1"/>
    <col min="265" max="265" width="7.5703125" style="2" bestFit="1" customWidth="1"/>
    <col min="266" max="266" width="1.42578125" style="2" customWidth="1"/>
    <col min="267" max="268" width="5.140625" style="2" bestFit="1" customWidth="1"/>
    <col min="269" max="269" width="6.85546875" style="2" bestFit="1" customWidth="1"/>
    <col min="270" max="270" width="6.28515625" style="2" bestFit="1" customWidth="1"/>
    <col min="271" max="271" width="7.140625" style="2" bestFit="1" customWidth="1"/>
    <col min="272" max="272" width="1.42578125" style="2" customWidth="1"/>
    <col min="273" max="275" width="10.7109375" style="2" customWidth="1"/>
    <col min="276" max="276" width="11.5703125" style="2" bestFit="1" customWidth="1"/>
    <col min="277" max="510" width="11.42578125" style="2"/>
    <col min="511" max="511" width="9.140625" style="2" bestFit="1" customWidth="1"/>
    <col min="512" max="513" width="6.85546875" style="2" bestFit="1" customWidth="1"/>
    <col min="514" max="514" width="6.28515625" style="2" bestFit="1" customWidth="1"/>
    <col min="515" max="515" width="7.140625" style="2" bestFit="1" customWidth="1"/>
    <col min="516" max="516" width="1.42578125" style="2" customWidth="1"/>
    <col min="517" max="518" width="6.28515625" style="2" bestFit="1" customWidth="1"/>
    <col min="519" max="519" width="7.5703125" style="2" bestFit="1" customWidth="1"/>
    <col min="520" max="520" width="6.28515625" style="2" bestFit="1" customWidth="1"/>
    <col min="521" max="521" width="7.5703125" style="2" bestFit="1" customWidth="1"/>
    <col min="522" max="522" width="1.42578125" style="2" customWidth="1"/>
    <col min="523" max="524" width="5.140625" style="2" bestFit="1" customWidth="1"/>
    <col min="525" max="525" width="6.85546875" style="2" bestFit="1" customWidth="1"/>
    <col min="526" max="526" width="6.28515625" style="2" bestFit="1" customWidth="1"/>
    <col min="527" max="527" width="7.140625" style="2" bestFit="1" customWidth="1"/>
    <col min="528" max="528" width="1.42578125" style="2" customWidth="1"/>
    <col min="529" max="531" width="10.7109375" style="2" customWidth="1"/>
    <col min="532" max="532" width="11.5703125" style="2" bestFit="1" customWidth="1"/>
    <col min="533" max="766" width="11.42578125" style="2"/>
    <col min="767" max="767" width="9.140625" style="2" bestFit="1" customWidth="1"/>
    <col min="768" max="769" width="6.85546875" style="2" bestFit="1" customWidth="1"/>
    <col min="770" max="770" width="6.28515625" style="2" bestFit="1" customWidth="1"/>
    <col min="771" max="771" width="7.140625" style="2" bestFit="1" customWidth="1"/>
    <col min="772" max="772" width="1.42578125" style="2" customWidth="1"/>
    <col min="773" max="774" width="6.28515625" style="2" bestFit="1" customWidth="1"/>
    <col min="775" max="775" width="7.5703125" style="2" bestFit="1" customWidth="1"/>
    <col min="776" max="776" width="6.28515625" style="2" bestFit="1" customWidth="1"/>
    <col min="777" max="777" width="7.5703125" style="2" bestFit="1" customWidth="1"/>
    <col min="778" max="778" width="1.42578125" style="2" customWidth="1"/>
    <col min="779" max="780" width="5.140625" style="2" bestFit="1" customWidth="1"/>
    <col min="781" max="781" width="6.85546875" style="2" bestFit="1" customWidth="1"/>
    <col min="782" max="782" width="6.28515625" style="2" bestFit="1" customWidth="1"/>
    <col min="783" max="783" width="7.140625" style="2" bestFit="1" customWidth="1"/>
    <col min="784" max="784" width="1.42578125" style="2" customWidth="1"/>
    <col min="785" max="787" width="10.7109375" style="2" customWidth="1"/>
    <col min="788" max="788" width="11.5703125" style="2" bestFit="1" customWidth="1"/>
    <col min="789" max="1022" width="11.42578125" style="2"/>
    <col min="1023" max="1023" width="9.140625" style="2" bestFit="1" customWidth="1"/>
    <col min="1024" max="1025" width="6.85546875" style="2" bestFit="1" customWidth="1"/>
    <col min="1026" max="1026" width="6.28515625" style="2" bestFit="1" customWidth="1"/>
    <col min="1027" max="1027" width="7.140625" style="2" bestFit="1" customWidth="1"/>
    <col min="1028" max="1028" width="1.42578125" style="2" customWidth="1"/>
    <col min="1029" max="1030" width="6.28515625" style="2" bestFit="1" customWidth="1"/>
    <col min="1031" max="1031" width="7.5703125" style="2" bestFit="1" customWidth="1"/>
    <col min="1032" max="1032" width="6.28515625" style="2" bestFit="1" customWidth="1"/>
    <col min="1033" max="1033" width="7.5703125" style="2" bestFit="1" customWidth="1"/>
    <col min="1034" max="1034" width="1.42578125" style="2" customWidth="1"/>
    <col min="1035" max="1036" width="5.140625" style="2" bestFit="1" customWidth="1"/>
    <col min="1037" max="1037" width="6.85546875" style="2" bestFit="1" customWidth="1"/>
    <col min="1038" max="1038" width="6.28515625" style="2" bestFit="1" customWidth="1"/>
    <col min="1039" max="1039" width="7.140625" style="2" bestFit="1" customWidth="1"/>
    <col min="1040" max="1040" width="1.42578125" style="2" customWidth="1"/>
    <col min="1041" max="1043" width="10.7109375" style="2" customWidth="1"/>
    <col min="1044" max="1044" width="11.5703125" style="2" bestFit="1" customWidth="1"/>
    <col min="1045" max="1278" width="11.42578125" style="2"/>
    <col min="1279" max="1279" width="9.140625" style="2" bestFit="1" customWidth="1"/>
    <col min="1280" max="1281" width="6.85546875" style="2" bestFit="1" customWidth="1"/>
    <col min="1282" max="1282" width="6.28515625" style="2" bestFit="1" customWidth="1"/>
    <col min="1283" max="1283" width="7.140625" style="2" bestFit="1" customWidth="1"/>
    <col min="1284" max="1284" width="1.42578125" style="2" customWidth="1"/>
    <col min="1285" max="1286" width="6.28515625" style="2" bestFit="1" customWidth="1"/>
    <col min="1287" max="1287" width="7.5703125" style="2" bestFit="1" customWidth="1"/>
    <col min="1288" max="1288" width="6.28515625" style="2" bestFit="1" customWidth="1"/>
    <col min="1289" max="1289" width="7.5703125" style="2" bestFit="1" customWidth="1"/>
    <col min="1290" max="1290" width="1.42578125" style="2" customWidth="1"/>
    <col min="1291" max="1292" width="5.140625" style="2" bestFit="1" customWidth="1"/>
    <col min="1293" max="1293" width="6.85546875" style="2" bestFit="1" customWidth="1"/>
    <col min="1294" max="1294" width="6.28515625" style="2" bestFit="1" customWidth="1"/>
    <col min="1295" max="1295" width="7.140625" style="2" bestFit="1" customWidth="1"/>
    <col min="1296" max="1296" width="1.42578125" style="2" customWidth="1"/>
    <col min="1297" max="1299" width="10.7109375" style="2" customWidth="1"/>
    <col min="1300" max="1300" width="11.5703125" style="2" bestFit="1" customWidth="1"/>
    <col min="1301" max="1534" width="11.42578125" style="2"/>
    <col min="1535" max="1535" width="9.140625" style="2" bestFit="1" customWidth="1"/>
    <col min="1536" max="1537" width="6.85546875" style="2" bestFit="1" customWidth="1"/>
    <col min="1538" max="1538" width="6.28515625" style="2" bestFit="1" customWidth="1"/>
    <col min="1539" max="1539" width="7.140625" style="2" bestFit="1" customWidth="1"/>
    <col min="1540" max="1540" width="1.42578125" style="2" customWidth="1"/>
    <col min="1541" max="1542" width="6.28515625" style="2" bestFit="1" customWidth="1"/>
    <col min="1543" max="1543" width="7.5703125" style="2" bestFit="1" customWidth="1"/>
    <col min="1544" max="1544" width="6.28515625" style="2" bestFit="1" customWidth="1"/>
    <col min="1545" max="1545" width="7.5703125" style="2" bestFit="1" customWidth="1"/>
    <col min="1546" max="1546" width="1.42578125" style="2" customWidth="1"/>
    <col min="1547" max="1548" width="5.140625" style="2" bestFit="1" customWidth="1"/>
    <col min="1549" max="1549" width="6.85546875" style="2" bestFit="1" customWidth="1"/>
    <col min="1550" max="1550" width="6.28515625" style="2" bestFit="1" customWidth="1"/>
    <col min="1551" max="1551" width="7.140625" style="2" bestFit="1" customWidth="1"/>
    <col min="1552" max="1552" width="1.42578125" style="2" customWidth="1"/>
    <col min="1553" max="1555" width="10.7109375" style="2" customWidth="1"/>
    <col min="1556" max="1556" width="11.5703125" style="2" bestFit="1" customWidth="1"/>
    <col min="1557" max="1790" width="11.42578125" style="2"/>
    <col min="1791" max="1791" width="9.140625" style="2" bestFit="1" customWidth="1"/>
    <col min="1792" max="1793" width="6.85546875" style="2" bestFit="1" customWidth="1"/>
    <col min="1794" max="1794" width="6.28515625" style="2" bestFit="1" customWidth="1"/>
    <col min="1795" max="1795" width="7.140625" style="2" bestFit="1" customWidth="1"/>
    <col min="1796" max="1796" width="1.42578125" style="2" customWidth="1"/>
    <col min="1797" max="1798" width="6.28515625" style="2" bestFit="1" customWidth="1"/>
    <col min="1799" max="1799" width="7.5703125" style="2" bestFit="1" customWidth="1"/>
    <col min="1800" max="1800" width="6.28515625" style="2" bestFit="1" customWidth="1"/>
    <col min="1801" max="1801" width="7.5703125" style="2" bestFit="1" customWidth="1"/>
    <col min="1802" max="1802" width="1.42578125" style="2" customWidth="1"/>
    <col min="1803" max="1804" width="5.140625" style="2" bestFit="1" customWidth="1"/>
    <col min="1805" max="1805" width="6.85546875" style="2" bestFit="1" customWidth="1"/>
    <col min="1806" max="1806" width="6.28515625" style="2" bestFit="1" customWidth="1"/>
    <col min="1807" max="1807" width="7.140625" style="2" bestFit="1" customWidth="1"/>
    <col min="1808" max="1808" width="1.42578125" style="2" customWidth="1"/>
    <col min="1809" max="1811" width="10.7109375" style="2" customWidth="1"/>
    <col min="1812" max="1812" width="11.5703125" style="2" bestFit="1" customWidth="1"/>
    <col min="1813" max="2046" width="11.42578125" style="2"/>
    <col min="2047" max="2047" width="9.140625" style="2" bestFit="1" customWidth="1"/>
    <col min="2048" max="2049" width="6.85546875" style="2" bestFit="1" customWidth="1"/>
    <col min="2050" max="2050" width="6.28515625" style="2" bestFit="1" customWidth="1"/>
    <col min="2051" max="2051" width="7.140625" style="2" bestFit="1" customWidth="1"/>
    <col min="2052" max="2052" width="1.42578125" style="2" customWidth="1"/>
    <col min="2053" max="2054" width="6.28515625" style="2" bestFit="1" customWidth="1"/>
    <col min="2055" max="2055" width="7.5703125" style="2" bestFit="1" customWidth="1"/>
    <col min="2056" max="2056" width="6.28515625" style="2" bestFit="1" customWidth="1"/>
    <col min="2057" max="2057" width="7.5703125" style="2" bestFit="1" customWidth="1"/>
    <col min="2058" max="2058" width="1.42578125" style="2" customWidth="1"/>
    <col min="2059" max="2060" width="5.140625" style="2" bestFit="1" customWidth="1"/>
    <col min="2061" max="2061" width="6.85546875" style="2" bestFit="1" customWidth="1"/>
    <col min="2062" max="2062" width="6.28515625" style="2" bestFit="1" customWidth="1"/>
    <col min="2063" max="2063" width="7.140625" style="2" bestFit="1" customWidth="1"/>
    <col min="2064" max="2064" width="1.42578125" style="2" customWidth="1"/>
    <col min="2065" max="2067" width="10.7109375" style="2" customWidth="1"/>
    <col min="2068" max="2068" width="11.5703125" style="2" bestFit="1" customWidth="1"/>
    <col min="2069" max="2302" width="11.42578125" style="2"/>
    <col min="2303" max="2303" width="9.140625" style="2" bestFit="1" customWidth="1"/>
    <col min="2304" max="2305" width="6.85546875" style="2" bestFit="1" customWidth="1"/>
    <col min="2306" max="2306" width="6.28515625" style="2" bestFit="1" customWidth="1"/>
    <col min="2307" max="2307" width="7.140625" style="2" bestFit="1" customWidth="1"/>
    <col min="2308" max="2308" width="1.42578125" style="2" customWidth="1"/>
    <col min="2309" max="2310" width="6.28515625" style="2" bestFit="1" customWidth="1"/>
    <col min="2311" max="2311" width="7.5703125" style="2" bestFit="1" customWidth="1"/>
    <col min="2312" max="2312" width="6.28515625" style="2" bestFit="1" customWidth="1"/>
    <col min="2313" max="2313" width="7.5703125" style="2" bestFit="1" customWidth="1"/>
    <col min="2314" max="2314" width="1.42578125" style="2" customWidth="1"/>
    <col min="2315" max="2316" width="5.140625" style="2" bestFit="1" customWidth="1"/>
    <col min="2317" max="2317" width="6.85546875" style="2" bestFit="1" customWidth="1"/>
    <col min="2318" max="2318" width="6.28515625" style="2" bestFit="1" customWidth="1"/>
    <col min="2319" max="2319" width="7.140625" style="2" bestFit="1" customWidth="1"/>
    <col min="2320" max="2320" width="1.42578125" style="2" customWidth="1"/>
    <col min="2321" max="2323" width="10.7109375" style="2" customWidth="1"/>
    <col min="2324" max="2324" width="11.5703125" style="2" bestFit="1" customWidth="1"/>
    <col min="2325" max="2558" width="11.42578125" style="2"/>
    <col min="2559" max="2559" width="9.140625" style="2" bestFit="1" customWidth="1"/>
    <col min="2560" max="2561" width="6.85546875" style="2" bestFit="1" customWidth="1"/>
    <col min="2562" max="2562" width="6.28515625" style="2" bestFit="1" customWidth="1"/>
    <col min="2563" max="2563" width="7.140625" style="2" bestFit="1" customWidth="1"/>
    <col min="2564" max="2564" width="1.42578125" style="2" customWidth="1"/>
    <col min="2565" max="2566" width="6.28515625" style="2" bestFit="1" customWidth="1"/>
    <col min="2567" max="2567" width="7.5703125" style="2" bestFit="1" customWidth="1"/>
    <col min="2568" max="2568" width="6.28515625" style="2" bestFit="1" customWidth="1"/>
    <col min="2569" max="2569" width="7.5703125" style="2" bestFit="1" customWidth="1"/>
    <col min="2570" max="2570" width="1.42578125" style="2" customWidth="1"/>
    <col min="2571" max="2572" width="5.140625" style="2" bestFit="1" customWidth="1"/>
    <col min="2573" max="2573" width="6.85546875" style="2" bestFit="1" customWidth="1"/>
    <col min="2574" max="2574" width="6.28515625" style="2" bestFit="1" customWidth="1"/>
    <col min="2575" max="2575" width="7.140625" style="2" bestFit="1" customWidth="1"/>
    <col min="2576" max="2576" width="1.42578125" style="2" customWidth="1"/>
    <col min="2577" max="2579" width="10.7109375" style="2" customWidth="1"/>
    <col min="2580" max="2580" width="11.5703125" style="2" bestFit="1" customWidth="1"/>
    <col min="2581" max="2814" width="11.42578125" style="2"/>
    <col min="2815" max="2815" width="9.140625" style="2" bestFit="1" customWidth="1"/>
    <col min="2816" max="2817" width="6.85546875" style="2" bestFit="1" customWidth="1"/>
    <col min="2818" max="2818" width="6.28515625" style="2" bestFit="1" customWidth="1"/>
    <col min="2819" max="2819" width="7.140625" style="2" bestFit="1" customWidth="1"/>
    <col min="2820" max="2820" width="1.42578125" style="2" customWidth="1"/>
    <col min="2821" max="2822" width="6.28515625" style="2" bestFit="1" customWidth="1"/>
    <col min="2823" max="2823" width="7.5703125" style="2" bestFit="1" customWidth="1"/>
    <col min="2824" max="2824" width="6.28515625" style="2" bestFit="1" customWidth="1"/>
    <col min="2825" max="2825" width="7.5703125" style="2" bestFit="1" customWidth="1"/>
    <col min="2826" max="2826" width="1.42578125" style="2" customWidth="1"/>
    <col min="2827" max="2828" width="5.140625" style="2" bestFit="1" customWidth="1"/>
    <col min="2829" max="2829" width="6.85546875" style="2" bestFit="1" customWidth="1"/>
    <col min="2830" max="2830" width="6.28515625" style="2" bestFit="1" customWidth="1"/>
    <col min="2831" max="2831" width="7.140625" style="2" bestFit="1" customWidth="1"/>
    <col min="2832" max="2832" width="1.42578125" style="2" customWidth="1"/>
    <col min="2833" max="2835" width="10.7109375" style="2" customWidth="1"/>
    <col min="2836" max="2836" width="11.5703125" style="2" bestFit="1" customWidth="1"/>
    <col min="2837" max="3070" width="11.42578125" style="2"/>
    <col min="3071" max="3071" width="9.140625" style="2" bestFit="1" customWidth="1"/>
    <col min="3072" max="3073" width="6.85546875" style="2" bestFit="1" customWidth="1"/>
    <col min="3074" max="3074" width="6.28515625" style="2" bestFit="1" customWidth="1"/>
    <col min="3075" max="3075" width="7.140625" style="2" bestFit="1" customWidth="1"/>
    <col min="3076" max="3076" width="1.42578125" style="2" customWidth="1"/>
    <col min="3077" max="3078" width="6.28515625" style="2" bestFit="1" customWidth="1"/>
    <col min="3079" max="3079" width="7.5703125" style="2" bestFit="1" customWidth="1"/>
    <col min="3080" max="3080" width="6.28515625" style="2" bestFit="1" customWidth="1"/>
    <col min="3081" max="3081" width="7.5703125" style="2" bestFit="1" customWidth="1"/>
    <col min="3082" max="3082" width="1.42578125" style="2" customWidth="1"/>
    <col min="3083" max="3084" width="5.140625" style="2" bestFit="1" customWidth="1"/>
    <col min="3085" max="3085" width="6.85546875" style="2" bestFit="1" customWidth="1"/>
    <col min="3086" max="3086" width="6.28515625" style="2" bestFit="1" customWidth="1"/>
    <col min="3087" max="3087" width="7.140625" style="2" bestFit="1" customWidth="1"/>
    <col min="3088" max="3088" width="1.42578125" style="2" customWidth="1"/>
    <col min="3089" max="3091" width="10.7109375" style="2" customWidth="1"/>
    <col min="3092" max="3092" width="11.5703125" style="2" bestFit="1" customWidth="1"/>
    <col min="3093" max="3326" width="11.42578125" style="2"/>
    <col min="3327" max="3327" width="9.140625" style="2" bestFit="1" customWidth="1"/>
    <col min="3328" max="3329" width="6.85546875" style="2" bestFit="1" customWidth="1"/>
    <col min="3330" max="3330" width="6.28515625" style="2" bestFit="1" customWidth="1"/>
    <col min="3331" max="3331" width="7.140625" style="2" bestFit="1" customWidth="1"/>
    <col min="3332" max="3332" width="1.42578125" style="2" customWidth="1"/>
    <col min="3333" max="3334" width="6.28515625" style="2" bestFit="1" customWidth="1"/>
    <col min="3335" max="3335" width="7.5703125" style="2" bestFit="1" customWidth="1"/>
    <col min="3336" max="3336" width="6.28515625" style="2" bestFit="1" customWidth="1"/>
    <col min="3337" max="3337" width="7.5703125" style="2" bestFit="1" customWidth="1"/>
    <col min="3338" max="3338" width="1.42578125" style="2" customWidth="1"/>
    <col min="3339" max="3340" width="5.140625" style="2" bestFit="1" customWidth="1"/>
    <col min="3341" max="3341" width="6.85546875" style="2" bestFit="1" customWidth="1"/>
    <col min="3342" max="3342" width="6.28515625" style="2" bestFit="1" customWidth="1"/>
    <col min="3343" max="3343" width="7.140625" style="2" bestFit="1" customWidth="1"/>
    <col min="3344" max="3344" width="1.42578125" style="2" customWidth="1"/>
    <col min="3345" max="3347" width="10.7109375" style="2" customWidth="1"/>
    <col min="3348" max="3348" width="11.5703125" style="2" bestFit="1" customWidth="1"/>
    <col min="3349" max="3582" width="11.42578125" style="2"/>
    <col min="3583" max="3583" width="9.140625" style="2" bestFit="1" customWidth="1"/>
    <col min="3584" max="3585" width="6.85546875" style="2" bestFit="1" customWidth="1"/>
    <col min="3586" max="3586" width="6.28515625" style="2" bestFit="1" customWidth="1"/>
    <col min="3587" max="3587" width="7.140625" style="2" bestFit="1" customWidth="1"/>
    <col min="3588" max="3588" width="1.42578125" style="2" customWidth="1"/>
    <col min="3589" max="3590" width="6.28515625" style="2" bestFit="1" customWidth="1"/>
    <col min="3591" max="3591" width="7.5703125" style="2" bestFit="1" customWidth="1"/>
    <col min="3592" max="3592" width="6.28515625" style="2" bestFit="1" customWidth="1"/>
    <col min="3593" max="3593" width="7.5703125" style="2" bestFit="1" customWidth="1"/>
    <col min="3594" max="3594" width="1.42578125" style="2" customWidth="1"/>
    <col min="3595" max="3596" width="5.140625" style="2" bestFit="1" customWidth="1"/>
    <col min="3597" max="3597" width="6.85546875" style="2" bestFit="1" customWidth="1"/>
    <col min="3598" max="3598" width="6.28515625" style="2" bestFit="1" customWidth="1"/>
    <col min="3599" max="3599" width="7.140625" style="2" bestFit="1" customWidth="1"/>
    <col min="3600" max="3600" width="1.42578125" style="2" customWidth="1"/>
    <col min="3601" max="3603" width="10.7109375" style="2" customWidth="1"/>
    <col min="3604" max="3604" width="11.5703125" style="2" bestFit="1" customWidth="1"/>
    <col min="3605" max="3838" width="11.42578125" style="2"/>
    <col min="3839" max="3839" width="9.140625" style="2" bestFit="1" customWidth="1"/>
    <col min="3840" max="3841" width="6.85546875" style="2" bestFit="1" customWidth="1"/>
    <col min="3842" max="3842" width="6.28515625" style="2" bestFit="1" customWidth="1"/>
    <col min="3843" max="3843" width="7.140625" style="2" bestFit="1" customWidth="1"/>
    <col min="3844" max="3844" width="1.42578125" style="2" customWidth="1"/>
    <col min="3845" max="3846" width="6.28515625" style="2" bestFit="1" customWidth="1"/>
    <col min="3847" max="3847" width="7.5703125" style="2" bestFit="1" customWidth="1"/>
    <col min="3848" max="3848" width="6.28515625" style="2" bestFit="1" customWidth="1"/>
    <col min="3849" max="3849" width="7.5703125" style="2" bestFit="1" customWidth="1"/>
    <col min="3850" max="3850" width="1.42578125" style="2" customWidth="1"/>
    <col min="3851" max="3852" width="5.140625" style="2" bestFit="1" customWidth="1"/>
    <col min="3853" max="3853" width="6.85546875" style="2" bestFit="1" customWidth="1"/>
    <col min="3854" max="3854" width="6.28515625" style="2" bestFit="1" customWidth="1"/>
    <col min="3855" max="3855" width="7.140625" style="2" bestFit="1" customWidth="1"/>
    <col min="3856" max="3856" width="1.42578125" style="2" customWidth="1"/>
    <col min="3857" max="3859" width="10.7109375" style="2" customWidth="1"/>
    <col min="3860" max="3860" width="11.5703125" style="2" bestFit="1" customWidth="1"/>
    <col min="3861" max="4094" width="11.42578125" style="2"/>
    <col min="4095" max="4095" width="9.140625" style="2" bestFit="1" customWidth="1"/>
    <col min="4096" max="4097" width="6.85546875" style="2" bestFit="1" customWidth="1"/>
    <col min="4098" max="4098" width="6.28515625" style="2" bestFit="1" customWidth="1"/>
    <col min="4099" max="4099" width="7.140625" style="2" bestFit="1" customWidth="1"/>
    <col min="4100" max="4100" width="1.42578125" style="2" customWidth="1"/>
    <col min="4101" max="4102" width="6.28515625" style="2" bestFit="1" customWidth="1"/>
    <col min="4103" max="4103" width="7.5703125" style="2" bestFit="1" customWidth="1"/>
    <col min="4104" max="4104" width="6.28515625" style="2" bestFit="1" customWidth="1"/>
    <col min="4105" max="4105" width="7.5703125" style="2" bestFit="1" customWidth="1"/>
    <col min="4106" max="4106" width="1.42578125" style="2" customWidth="1"/>
    <col min="4107" max="4108" width="5.140625" style="2" bestFit="1" customWidth="1"/>
    <col min="4109" max="4109" width="6.85546875" style="2" bestFit="1" customWidth="1"/>
    <col min="4110" max="4110" width="6.28515625" style="2" bestFit="1" customWidth="1"/>
    <col min="4111" max="4111" width="7.140625" style="2" bestFit="1" customWidth="1"/>
    <col min="4112" max="4112" width="1.42578125" style="2" customWidth="1"/>
    <col min="4113" max="4115" width="10.7109375" style="2" customWidth="1"/>
    <col min="4116" max="4116" width="11.5703125" style="2" bestFit="1" customWidth="1"/>
    <col min="4117" max="4350" width="11.42578125" style="2"/>
    <col min="4351" max="4351" width="9.140625" style="2" bestFit="1" customWidth="1"/>
    <col min="4352" max="4353" width="6.85546875" style="2" bestFit="1" customWidth="1"/>
    <col min="4354" max="4354" width="6.28515625" style="2" bestFit="1" customWidth="1"/>
    <col min="4355" max="4355" width="7.140625" style="2" bestFit="1" customWidth="1"/>
    <col min="4356" max="4356" width="1.42578125" style="2" customWidth="1"/>
    <col min="4357" max="4358" width="6.28515625" style="2" bestFit="1" customWidth="1"/>
    <col min="4359" max="4359" width="7.5703125" style="2" bestFit="1" customWidth="1"/>
    <col min="4360" max="4360" width="6.28515625" style="2" bestFit="1" customWidth="1"/>
    <col min="4361" max="4361" width="7.5703125" style="2" bestFit="1" customWidth="1"/>
    <col min="4362" max="4362" width="1.42578125" style="2" customWidth="1"/>
    <col min="4363" max="4364" width="5.140625" style="2" bestFit="1" customWidth="1"/>
    <col min="4365" max="4365" width="6.85546875" style="2" bestFit="1" customWidth="1"/>
    <col min="4366" max="4366" width="6.28515625" style="2" bestFit="1" customWidth="1"/>
    <col min="4367" max="4367" width="7.140625" style="2" bestFit="1" customWidth="1"/>
    <col min="4368" max="4368" width="1.42578125" style="2" customWidth="1"/>
    <col min="4369" max="4371" width="10.7109375" style="2" customWidth="1"/>
    <col min="4372" max="4372" width="11.5703125" style="2" bestFit="1" customWidth="1"/>
    <col min="4373" max="4606" width="11.42578125" style="2"/>
    <col min="4607" max="4607" width="9.140625" style="2" bestFit="1" customWidth="1"/>
    <col min="4608" max="4609" width="6.85546875" style="2" bestFit="1" customWidth="1"/>
    <col min="4610" max="4610" width="6.28515625" style="2" bestFit="1" customWidth="1"/>
    <col min="4611" max="4611" width="7.140625" style="2" bestFit="1" customWidth="1"/>
    <col min="4612" max="4612" width="1.42578125" style="2" customWidth="1"/>
    <col min="4613" max="4614" width="6.28515625" style="2" bestFit="1" customWidth="1"/>
    <col min="4615" max="4615" width="7.5703125" style="2" bestFit="1" customWidth="1"/>
    <col min="4616" max="4616" width="6.28515625" style="2" bestFit="1" customWidth="1"/>
    <col min="4617" max="4617" width="7.5703125" style="2" bestFit="1" customWidth="1"/>
    <col min="4618" max="4618" width="1.42578125" style="2" customWidth="1"/>
    <col min="4619" max="4620" width="5.140625" style="2" bestFit="1" customWidth="1"/>
    <col min="4621" max="4621" width="6.85546875" style="2" bestFit="1" customWidth="1"/>
    <col min="4622" max="4622" width="6.28515625" style="2" bestFit="1" customWidth="1"/>
    <col min="4623" max="4623" width="7.140625" style="2" bestFit="1" customWidth="1"/>
    <col min="4624" max="4624" width="1.42578125" style="2" customWidth="1"/>
    <col min="4625" max="4627" width="10.7109375" style="2" customWidth="1"/>
    <col min="4628" max="4628" width="11.5703125" style="2" bestFit="1" customWidth="1"/>
    <col min="4629" max="4862" width="11.42578125" style="2"/>
    <col min="4863" max="4863" width="9.140625" style="2" bestFit="1" customWidth="1"/>
    <col min="4864" max="4865" width="6.85546875" style="2" bestFit="1" customWidth="1"/>
    <col min="4866" max="4866" width="6.28515625" style="2" bestFit="1" customWidth="1"/>
    <col min="4867" max="4867" width="7.140625" style="2" bestFit="1" customWidth="1"/>
    <col min="4868" max="4868" width="1.42578125" style="2" customWidth="1"/>
    <col min="4869" max="4870" width="6.28515625" style="2" bestFit="1" customWidth="1"/>
    <col min="4871" max="4871" width="7.5703125" style="2" bestFit="1" customWidth="1"/>
    <col min="4872" max="4872" width="6.28515625" style="2" bestFit="1" customWidth="1"/>
    <col min="4873" max="4873" width="7.5703125" style="2" bestFit="1" customWidth="1"/>
    <col min="4874" max="4874" width="1.42578125" style="2" customWidth="1"/>
    <col min="4875" max="4876" width="5.140625" style="2" bestFit="1" customWidth="1"/>
    <col min="4877" max="4877" width="6.85546875" style="2" bestFit="1" customWidth="1"/>
    <col min="4878" max="4878" width="6.28515625" style="2" bestFit="1" customWidth="1"/>
    <col min="4879" max="4879" width="7.140625" style="2" bestFit="1" customWidth="1"/>
    <col min="4880" max="4880" width="1.42578125" style="2" customWidth="1"/>
    <col min="4881" max="4883" width="10.7109375" style="2" customWidth="1"/>
    <col min="4884" max="4884" width="11.5703125" style="2" bestFit="1" customWidth="1"/>
    <col min="4885" max="5118" width="11.42578125" style="2"/>
    <col min="5119" max="5119" width="9.140625" style="2" bestFit="1" customWidth="1"/>
    <col min="5120" max="5121" width="6.85546875" style="2" bestFit="1" customWidth="1"/>
    <col min="5122" max="5122" width="6.28515625" style="2" bestFit="1" customWidth="1"/>
    <col min="5123" max="5123" width="7.140625" style="2" bestFit="1" customWidth="1"/>
    <col min="5124" max="5124" width="1.42578125" style="2" customWidth="1"/>
    <col min="5125" max="5126" width="6.28515625" style="2" bestFit="1" customWidth="1"/>
    <col min="5127" max="5127" width="7.5703125" style="2" bestFit="1" customWidth="1"/>
    <col min="5128" max="5128" width="6.28515625" style="2" bestFit="1" customWidth="1"/>
    <col min="5129" max="5129" width="7.5703125" style="2" bestFit="1" customWidth="1"/>
    <col min="5130" max="5130" width="1.42578125" style="2" customWidth="1"/>
    <col min="5131" max="5132" width="5.140625" style="2" bestFit="1" customWidth="1"/>
    <col min="5133" max="5133" width="6.85546875" style="2" bestFit="1" customWidth="1"/>
    <col min="5134" max="5134" width="6.28515625" style="2" bestFit="1" customWidth="1"/>
    <col min="5135" max="5135" width="7.140625" style="2" bestFit="1" customWidth="1"/>
    <col min="5136" max="5136" width="1.42578125" style="2" customWidth="1"/>
    <col min="5137" max="5139" width="10.7109375" style="2" customWidth="1"/>
    <col min="5140" max="5140" width="11.5703125" style="2" bestFit="1" customWidth="1"/>
    <col min="5141" max="5374" width="11.42578125" style="2"/>
    <col min="5375" max="5375" width="9.140625" style="2" bestFit="1" customWidth="1"/>
    <col min="5376" max="5377" width="6.85546875" style="2" bestFit="1" customWidth="1"/>
    <col min="5378" max="5378" width="6.28515625" style="2" bestFit="1" customWidth="1"/>
    <col min="5379" max="5379" width="7.140625" style="2" bestFit="1" customWidth="1"/>
    <col min="5380" max="5380" width="1.42578125" style="2" customWidth="1"/>
    <col min="5381" max="5382" width="6.28515625" style="2" bestFit="1" customWidth="1"/>
    <col min="5383" max="5383" width="7.5703125" style="2" bestFit="1" customWidth="1"/>
    <col min="5384" max="5384" width="6.28515625" style="2" bestFit="1" customWidth="1"/>
    <col min="5385" max="5385" width="7.5703125" style="2" bestFit="1" customWidth="1"/>
    <col min="5386" max="5386" width="1.42578125" style="2" customWidth="1"/>
    <col min="5387" max="5388" width="5.140625" style="2" bestFit="1" customWidth="1"/>
    <col min="5389" max="5389" width="6.85546875" style="2" bestFit="1" customWidth="1"/>
    <col min="5390" max="5390" width="6.28515625" style="2" bestFit="1" customWidth="1"/>
    <col min="5391" max="5391" width="7.140625" style="2" bestFit="1" customWidth="1"/>
    <col min="5392" max="5392" width="1.42578125" style="2" customWidth="1"/>
    <col min="5393" max="5395" width="10.7109375" style="2" customWidth="1"/>
    <col min="5396" max="5396" width="11.5703125" style="2" bestFit="1" customWidth="1"/>
    <col min="5397" max="5630" width="11.42578125" style="2"/>
    <col min="5631" max="5631" width="9.140625" style="2" bestFit="1" customWidth="1"/>
    <col min="5632" max="5633" width="6.85546875" style="2" bestFit="1" customWidth="1"/>
    <col min="5634" max="5634" width="6.28515625" style="2" bestFit="1" customWidth="1"/>
    <col min="5635" max="5635" width="7.140625" style="2" bestFit="1" customWidth="1"/>
    <col min="5636" max="5636" width="1.42578125" style="2" customWidth="1"/>
    <col min="5637" max="5638" width="6.28515625" style="2" bestFit="1" customWidth="1"/>
    <col min="5639" max="5639" width="7.5703125" style="2" bestFit="1" customWidth="1"/>
    <col min="5640" max="5640" width="6.28515625" style="2" bestFit="1" customWidth="1"/>
    <col min="5641" max="5641" width="7.5703125" style="2" bestFit="1" customWidth="1"/>
    <col min="5642" max="5642" width="1.42578125" style="2" customWidth="1"/>
    <col min="5643" max="5644" width="5.140625" style="2" bestFit="1" customWidth="1"/>
    <col min="5645" max="5645" width="6.85546875" style="2" bestFit="1" customWidth="1"/>
    <col min="5646" max="5646" width="6.28515625" style="2" bestFit="1" customWidth="1"/>
    <col min="5647" max="5647" width="7.140625" style="2" bestFit="1" customWidth="1"/>
    <col min="5648" max="5648" width="1.42578125" style="2" customWidth="1"/>
    <col min="5649" max="5651" width="10.7109375" style="2" customWidth="1"/>
    <col min="5652" max="5652" width="11.5703125" style="2" bestFit="1" customWidth="1"/>
    <col min="5653" max="5886" width="11.42578125" style="2"/>
    <col min="5887" max="5887" width="9.140625" style="2" bestFit="1" customWidth="1"/>
    <col min="5888" max="5889" width="6.85546875" style="2" bestFit="1" customWidth="1"/>
    <col min="5890" max="5890" width="6.28515625" style="2" bestFit="1" customWidth="1"/>
    <col min="5891" max="5891" width="7.140625" style="2" bestFit="1" customWidth="1"/>
    <col min="5892" max="5892" width="1.42578125" style="2" customWidth="1"/>
    <col min="5893" max="5894" width="6.28515625" style="2" bestFit="1" customWidth="1"/>
    <col min="5895" max="5895" width="7.5703125" style="2" bestFit="1" customWidth="1"/>
    <col min="5896" max="5896" width="6.28515625" style="2" bestFit="1" customWidth="1"/>
    <col min="5897" max="5897" width="7.5703125" style="2" bestFit="1" customWidth="1"/>
    <col min="5898" max="5898" width="1.42578125" style="2" customWidth="1"/>
    <col min="5899" max="5900" width="5.140625" style="2" bestFit="1" customWidth="1"/>
    <col min="5901" max="5901" width="6.85546875" style="2" bestFit="1" customWidth="1"/>
    <col min="5902" max="5902" width="6.28515625" style="2" bestFit="1" customWidth="1"/>
    <col min="5903" max="5903" width="7.140625" style="2" bestFit="1" customWidth="1"/>
    <col min="5904" max="5904" width="1.42578125" style="2" customWidth="1"/>
    <col min="5905" max="5907" width="10.7109375" style="2" customWidth="1"/>
    <col min="5908" max="5908" width="11.5703125" style="2" bestFit="1" customWidth="1"/>
    <col min="5909" max="6142" width="11.42578125" style="2"/>
    <col min="6143" max="6143" width="9.140625" style="2" bestFit="1" customWidth="1"/>
    <col min="6144" max="6145" width="6.85546875" style="2" bestFit="1" customWidth="1"/>
    <col min="6146" max="6146" width="6.28515625" style="2" bestFit="1" customWidth="1"/>
    <col min="6147" max="6147" width="7.140625" style="2" bestFit="1" customWidth="1"/>
    <col min="6148" max="6148" width="1.42578125" style="2" customWidth="1"/>
    <col min="6149" max="6150" width="6.28515625" style="2" bestFit="1" customWidth="1"/>
    <col min="6151" max="6151" width="7.5703125" style="2" bestFit="1" customWidth="1"/>
    <col min="6152" max="6152" width="6.28515625" style="2" bestFit="1" customWidth="1"/>
    <col min="6153" max="6153" width="7.5703125" style="2" bestFit="1" customWidth="1"/>
    <col min="6154" max="6154" width="1.42578125" style="2" customWidth="1"/>
    <col min="6155" max="6156" width="5.140625" style="2" bestFit="1" customWidth="1"/>
    <col min="6157" max="6157" width="6.85546875" style="2" bestFit="1" customWidth="1"/>
    <col min="6158" max="6158" width="6.28515625" style="2" bestFit="1" customWidth="1"/>
    <col min="6159" max="6159" width="7.140625" style="2" bestFit="1" customWidth="1"/>
    <col min="6160" max="6160" width="1.42578125" style="2" customWidth="1"/>
    <col min="6161" max="6163" width="10.7109375" style="2" customWidth="1"/>
    <col min="6164" max="6164" width="11.5703125" style="2" bestFit="1" customWidth="1"/>
    <col min="6165" max="6398" width="11.42578125" style="2"/>
    <col min="6399" max="6399" width="9.140625" style="2" bestFit="1" customWidth="1"/>
    <col min="6400" max="6401" width="6.85546875" style="2" bestFit="1" customWidth="1"/>
    <col min="6402" max="6402" width="6.28515625" style="2" bestFit="1" customWidth="1"/>
    <col min="6403" max="6403" width="7.140625" style="2" bestFit="1" customWidth="1"/>
    <col min="6404" max="6404" width="1.42578125" style="2" customWidth="1"/>
    <col min="6405" max="6406" width="6.28515625" style="2" bestFit="1" customWidth="1"/>
    <col min="6407" max="6407" width="7.5703125" style="2" bestFit="1" customWidth="1"/>
    <col min="6408" max="6408" width="6.28515625" style="2" bestFit="1" customWidth="1"/>
    <col min="6409" max="6409" width="7.5703125" style="2" bestFit="1" customWidth="1"/>
    <col min="6410" max="6410" width="1.42578125" style="2" customWidth="1"/>
    <col min="6411" max="6412" width="5.140625" style="2" bestFit="1" customWidth="1"/>
    <col min="6413" max="6413" width="6.85546875" style="2" bestFit="1" customWidth="1"/>
    <col min="6414" max="6414" width="6.28515625" style="2" bestFit="1" customWidth="1"/>
    <col min="6415" max="6415" width="7.140625" style="2" bestFit="1" customWidth="1"/>
    <col min="6416" max="6416" width="1.42578125" style="2" customWidth="1"/>
    <col min="6417" max="6419" width="10.7109375" style="2" customWidth="1"/>
    <col min="6420" max="6420" width="11.5703125" style="2" bestFit="1" customWidth="1"/>
    <col min="6421" max="6654" width="11.42578125" style="2"/>
    <col min="6655" max="6655" width="9.140625" style="2" bestFit="1" customWidth="1"/>
    <col min="6656" max="6657" width="6.85546875" style="2" bestFit="1" customWidth="1"/>
    <col min="6658" max="6658" width="6.28515625" style="2" bestFit="1" customWidth="1"/>
    <col min="6659" max="6659" width="7.140625" style="2" bestFit="1" customWidth="1"/>
    <col min="6660" max="6660" width="1.42578125" style="2" customWidth="1"/>
    <col min="6661" max="6662" width="6.28515625" style="2" bestFit="1" customWidth="1"/>
    <col min="6663" max="6663" width="7.5703125" style="2" bestFit="1" customWidth="1"/>
    <col min="6664" max="6664" width="6.28515625" style="2" bestFit="1" customWidth="1"/>
    <col min="6665" max="6665" width="7.5703125" style="2" bestFit="1" customWidth="1"/>
    <col min="6666" max="6666" width="1.42578125" style="2" customWidth="1"/>
    <col min="6667" max="6668" width="5.140625" style="2" bestFit="1" customWidth="1"/>
    <col min="6669" max="6669" width="6.85546875" style="2" bestFit="1" customWidth="1"/>
    <col min="6670" max="6670" width="6.28515625" style="2" bestFit="1" customWidth="1"/>
    <col min="6671" max="6671" width="7.140625" style="2" bestFit="1" customWidth="1"/>
    <col min="6672" max="6672" width="1.42578125" style="2" customWidth="1"/>
    <col min="6673" max="6675" width="10.7109375" style="2" customWidth="1"/>
    <col min="6676" max="6676" width="11.5703125" style="2" bestFit="1" customWidth="1"/>
    <col min="6677" max="6910" width="11.42578125" style="2"/>
    <col min="6911" max="6911" width="9.140625" style="2" bestFit="1" customWidth="1"/>
    <col min="6912" max="6913" width="6.85546875" style="2" bestFit="1" customWidth="1"/>
    <col min="6914" max="6914" width="6.28515625" style="2" bestFit="1" customWidth="1"/>
    <col min="6915" max="6915" width="7.140625" style="2" bestFit="1" customWidth="1"/>
    <col min="6916" max="6916" width="1.42578125" style="2" customWidth="1"/>
    <col min="6917" max="6918" width="6.28515625" style="2" bestFit="1" customWidth="1"/>
    <col min="6919" max="6919" width="7.5703125" style="2" bestFit="1" customWidth="1"/>
    <col min="6920" max="6920" width="6.28515625" style="2" bestFit="1" customWidth="1"/>
    <col min="6921" max="6921" width="7.5703125" style="2" bestFit="1" customWidth="1"/>
    <col min="6922" max="6922" width="1.42578125" style="2" customWidth="1"/>
    <col min="6923" max="6924" width="5.140625" style="2" bestFit="1" customWidth="1"/>
    <col min="6925" max="6925" width="6.85546875" style="2" bestFit="1" customWidth="1"/>
    <col min="6926" max="6926" width="6.28515625" style="2" bestFit="1" customWidth="1"/>
    <col min="6927" max="6927" width="7.140625" style="2" bestFit="1" customWidth="1"/>
    <col min="6928" max="6928" width="1.42578125" style="2" customWidth="1"/>
    <col min="6929" max="6931" width="10.7109375" style="2" customWidth="1"/>
    <col min="6932" max="6932" width="11.5703125" style="2" bestFit="1" customWidth="1"/>
    <col min="6933" max="7166" width="11.42578125" style="2"/>
    <col min="7167" max="7167" width="9.140625" style="2" bestFit="1" customWidth="1"/>
    <col min="7168" max="7169" width="6.85546875" style="2" bestFit="1" customWidth="1"/>
    <col min="7170" max="7170" width="6.28515625" style="2" bestFit="1" customWidth="1"/>
    <col min="7171" max="7171" width="7.140625" style="2" bestFit="1" customWidth="1"/>
    <col min="7172" max="7172" width="1.42578125" style="2" customWidth="1"/>
    <col min="7173" max="7174" width="6.28515625" style="2" bestFit="1" customWidth="1"/>
    <col min="7175" max="7175" width="7.5703125" style="2" bestFit="1" customWidth="1"/>
    <col min="7176" max="7176" width="6.28515625" style="2" bestFit="1" customWidth="1"/>
    <col min="7177" max="7177" width="7.5703125" style="2" bestFit="1" customWidth="1"/>
    <col min="7178" max="7178" width="1.42578125" style="2" customWidth="1"/>
    <col min="7179" max="7180" width="5.140625" style="2" bestFit="1" customWidth="1"/>
    <col min="7181" max="7181" width="6.85546875" style="2" bestFit="1" customWidth="1"/>
    <col min="7182" max="7182" width="6.28515625" style="2" bestFit="1" customWidth="1"/>
    <col min="7183" max="7183" width="7.140625" style="2" bestFit="1" customWidth="1"/>
    <col min="7184" max="7184" width="1.42578125" style="2" customWidth="1"/>
    <col min="7185" max="7187" width="10.7109375" style="2" customWidth="1"/>
    <col min="7188" max="7188" width="11.5703125" style="2" bestFit="1" customWidth="1"/>
    <col min="7189" max="7422" width="11.42578125" style="2"/>
    <col min="7423" max="7423" width="9.140625" style="2" bestFit="1" customWidth="1"/>
    <col min="7424" max="7425" width="6.85546875" style="2" bestFit="1" customWidth="1"/>
    <col min="7426" max="7426" width="6.28515625" style="2" bestFit="1" customWidth="1"/>
    <col min="7427" max="7427" width="7.140625" style="2" bestFit="1" customWidth="1"/>
    <col min="7428" max="7428" width="1.42578125" style="2" customWidth="1"/>
    <col min="7429" max="7430" width="6.28515625" style="2" bestFit="1" customWidth="1"/>
    <col min="7431" max="7431" width="7.5703125" style="2" bestFit="1" customWidth="1"/>
    <col min="7432" max="7432" width="6.28515625" style="2" bestFit="1" customWidth="1"/>
    <col min="7433" max="7433" width="7.5703125" style="2" bestFit="1" customWidth="1"/>
    <col min="7434" max="7434" width="1.42578125" style="2" customWidth="1"/>
    <col min="7435" max="7436" width="5.140625" style="2" bestFit="1" customWidth="1"/>
    <col min="7437" max="7437" width="6.85546875" style="2" bestFit="1" customWidth="1"/>
    <col min="7438" max="7438" width="6.28515625" style="2" bestFit="1" customWidth="1"/>
    <col min="7439" max="7439" width="7.140625" style="2" bestFit="1" customWidth="1"/>
    <col min="7440" max="7440" width="1.42578125" style="2" customWidth="1"/>
    <col min="7441" max="7443" width="10.7109375" style="2" customWidth="1"/>
    <col min="7444" max="7444" width="11.5703125" style="2" bestFit="1" customWidth="1"/>
    <col min="7445" max="7678" width="11.42578125" style="2"/>
    <col min="7679" max="7679" width="9.140625" style="2" bestFit="1" customWidth="1"/>
    <col min="7680" max="7681" width="6.85546875" style="2" bestFit="1" customWidth="1"/>
    <col min="7682" max="7682" width="6.28515625" style="2" bestFit="1" customWidth="1"/>
    <col min="7683" max="7683" width="7.140625" style="2" bestFit="1" customWidth="1"/>
    <col min="7684" max="7684" width="1.42578125" style="2" customWidth="1"/>
    <col min="7685" max="7686" width="6.28515625" style="2" bestFit="1" customWidth="1"/>
    <col min="7687" max="7687" width="7.5703125" style="2" bestFit="1" customWidth="1"/>
    <col min="7688" max="7688" width="6.28515625" style="2" bestFit="1" customWidth="1"/>
    <col min="7689" max="7689" width="7.5703125" style="2" bestFit="1" customWidth="1"/>
    <col min="7690" max="7690" width="1.42578125" style="2" customWidth="1"/>
    <col min="7691" max="7692" width="5.140625" style="2" bestFit="1" customWidth="1"/>
    <col min="7693" max="7693" width="6.85546875" style="2" bestFit="1" customWidth="1"/>
    <col min="7694" max="7694" width="6.28515625" style="2" bestFit="1" customWidth="1"/>
    <col min="7695" max="7695" width="7.140625" style="2" bestFit="1" customWidth="1"/>
    <col min="7696" max="7696" width="1.42578125" style="2" customWidth="1"/>
    <col min="7697" max="7699" width="10.7109375" style="2" customWidth="1"/>
    <col min="7700" max="7700" width="11.5703125" style="2" bestFit="1" customWidth="1"/>
    <col min="7701" max="7934" width="11.42578125" style="2"/>
    <col min="7935" max="7935" width="9.140625" style="2" bestFit="1" customWidth="1"/>
    <col min="7936" max="7937" width="6.85546875" style="2" bestFit="1" customWidth="1"/>
    <col min="7938" max="7938" width="6.28515625" style="2" bestFit="1" customWidth="1"/>
    <col min="7939" max="7939" width="7.140625" style="2" bestFit="1" customWidth="1"/>
    <col min="7940" max="7940" width="1.42578125" style="2" customWidth="1"/>
    <col min="7941" max="7942" width="6.28515625" style="2" bestFit="1" customWidth="1"/>
    <col min="7943" max="7943" width="7.5703125" style="2" bestFit="1" customWidth="1"/>
    <col min="7944" max="7944" width="6.28515625" style="2" bestFit="1" customWidth="1"/>
    <col min="7945" max="7945" width="7.5703125" style="2" bestFit="1" customWidth="1"/>
    <col min="7946" max="7946" width="1.42578125" style="2" customWidth="1"/>
    <col min="7947" max="7948" width="5.140625" style="2" bestFit="1" customWidth="1"/>
    <col min="7949" max="7949" width="6.85546875" style="2" bestFit="1" customWidth="1"/>
    <col min="7950" max="7950" width="6.28515625" style="2" bestFit="1" customWidth="1"/>
    <col min="7951" max="7951" width="7.140625" style="2" bestFit="1" customWidth="1"/>
    <col min="7952" max="7952" width="1.42578125" style="2" customWidth="1"/>
    <col min="7953" max="7955" width="10.7109375" style="2" customWidth="1"/>
    <col min="7956" max="7956" width="11.5703125" style="2" bestFit="1" customWidth="1"/>
    <col min="7957" max="8190" width="11.42578125" style="2"/>
    <col min="8191" max="8191" width="9.140625" style="2" bestFit="1" customWidth="1"/>
    <col min="8192" max="8193" width="6.85546875" style="2" bestFit="1" customWidth="1"/>
    <col min="8194" max="8194" width="6.28515625" style="2" bestFit="1" customWidth="1"/>
    <col min="8195" max="8195" width="7.140625" style="2" bestFit="1" customWidth="1"/>
    <col min="8196" max="8196" width="1.42578125" style="2" customWidth="1"/>
    <col min="8197" max="8198" width="6.28515625" style="2" bestFit="1" customWidth="1"/>
    <col min="8199" max="8199" width="7.5703125" style="2" bestFit="1" customWidth="1"/>
    <col min="8200" max="8200" width="6.28515625" style="2" bestFit="1" customWidth="1"/>
    <col min="8201" max="8201" width="7.5703125" style="2" bestFit="1" customWidth="1"/>
    <col min="8202" max="8202" width="1.42578125" style="2" customWidth="1"/>
    <col min="8203" max="8204" width="5.140625" style="2" bestFit="1" customWidth="1"/>
    <col min="8205" max="8205" width="6.85546875" style="2" bestFit="1" customWidth="1"/>
    <col min="8206" max="8206" width="6.28515625" style="2" bestFit="1" customWidth="1"/>
    <col min="8207" max="8207" width="7.140625" style="2" bestFit="1" customWidth="1"/>
    <col min="8208" max="8208" width="1.42578125" style="2" customWidth="1"/>
    <col min="8209" max="8211" width="10.7109375" style="2" customWidth="1"/>
    <col min="8212" max="8212" width="11.5703125" style="2" bestFit="1" customWidth="1"/>
    <col min="8213" max="8446" width="11.42578125" style="2"/>
    <col min="8447" max="8447" width="9.140625" style="2" bestFit="1" customWidth="1"/>
    <col min="8448" max="8449" width="6.85546875" style="2" bestFit="1" customWidth="1"/>
    <col min="8450" max="8450" width="6.28515625" style="2" bestFit="1" customWidth="1"/>
    <col min="8451" max="8451" width="7.140625" style="2" bestFit="1" customWidth="1"/>
    <col min="8452" max="8452" width="1.42578125" style="2" customWidth="1"/>
    <col min="8453" max="8454" width="6.28515625" style="2" bestFit="1" customWidth="1"/>
    <col min="8455" max="8455" width="7.5703125" style="2" bestFit="1" customWidth="1"/>
    <col min="8456" max="8456" width="6.28515625" style="2" bestFit="1" customWidth="1"/>
    <col min="8457" max="8457" width="7.5703125" style="2" bestFit="1" customWidth="1"/>
    <col min="8458" max="8458" width="1.42578125" style="2" customWidth="1"/>
    <col min="8459" max="8460" width="5.140625" style="2" bestFit="1" customWidth="1"/>
    <col min="8461" max="8461" width="6.85546875" style="2" bestFit="1" customWidth="1"/>
    <col min="8462" max="8462" width="6.28515625" style="2" bestFit="1" customWidth="1"/>
    <col min="8463" max="8463" width="7.140625" style="2" bestFit="1" customWidth="1"/>
    <col min="8464" max="8464" width="1.42578125" style="2" customWidth="1"/>
    <col min="8465" max="8467" width="10.7109375" style="2" customWidth="1"/>
    <col min="8468" max="8468" width="11.5703125" style="2" bestFit="1" customWidth="1"/>
    <col min="8469" max="8702" width="11.42578125" style="2"/>
    <col min="8703" max="8703" width="9.140625" style="2" bestFit="1" customWidth="1"/>
    <col min="8704" max="8705" width="6.85546875" style="2" bestFit="1" customWidth="1"/>
    <col min="8706" max="8706" width="6.28515625" style="2" bestFit="1" customWidth="1"/>
    <col min="8707" max="8707" width="7.140625" style="2" bestFit="1" customWidth="1"/>
    <col min="8708" max="8708" width="1.42578125" style="2" customWidth="1"/>
    <col min="8709" max="8710" width="6.28515625" style="2" bestFit="1" customWidth="1"/>
    <col min="8711" max="8711" width="7.5703125" style="2" bestFit="1" customWidth="1"/>
    <col min="8712" max="8712" width="6.28515625" style="2" bestFit="1" customWidth="1"/>
    <col min="8713" max="8713" width="7.5703125" style="2" bestFit="1" customWidth="1"/>
    <col min="8714" max="8714" width="1.42578125" style="2" customWidth="1"/>
    <col min="8715" max="8716" width="5.140625" style="2" bestFit="1" customWidth="1"/>
    <col min="8717" max="8717" width="6.85546875" style="2" bestFit="1" customWidth="1"/>
    <col min="8718" max="8718" width="6.28515625" style="2" bestFit="1" customWidth="1"/>
    <col min="8719" max="8719" width="7.140625" style="2" bestFit="1" customWidth="1"/>
    <col min="8720" max="8720" width="1.42578125" style="2" customWidth="1"/>
    <col min="8721" max="8723" width="10.7109375" style="2" customWidth="1"/>
    <col min="8724" max="8724" width="11.5703125" style="2" bestFit="1" customWidth="1"/>
    <col min="8725" max="8958" width="11.42578125" style="2"/>
    <col min="8959" max="8959" width="9.140625" style="2" bestFit="1" customWidth="1"/>
    <col min="8960" max="8961" width="6.85546875" style="2" bestFit="1" customWidth="1"/>
    <col min="8962" max="8962" width="6.28515625" style="2" bestFit="1" customWidth="1"/>
    <col min="8963" max="8963" width="7.140625" style="2" bestFit="1" customWidth="1"/>
    <col min="8964" max="8964" width="1.42578125" style="2" customWidth="1"/>
    <col min="8965" max="8966" width="6.28515625" style="2" bestFit="1" customWidth="1"/>
    <col min="8967" max="8967" width="7.5703125" style="2" bestFit="1" customWidth="1"/>
    <col min="8968" max="8968" width="6.28515625" style="2" bestFit="1" customWidth="1"/>
    <col min="8969" max="8969" width="7.5703125" style="2" bestFit="1" customWidth="1"/>
    <col min="8970" max="8970" width="1.42578125" style="2" customWidth="1"/>
    <col min="8971" max="8972" width="5.140625" style="2" bestFit="1" customWidth="1"/>
    <col min="8973" max="8973" width="6.85546875" style="2" bestFit="1" customWidth="1"/>
    <col min="8974" max="8974" width="6.28515625" style="2" bestFit="1" customWidth="1"/>
    <col min="8975" max="8975" width="7.140625" style="2" bestFit="1" customWidth="1"/>
    <col min="8976" max="8976" width="1.42578125" style="2" customWidth="1"/>
    <col min="8977" max="8979" width="10.7109375" style="2" customWidth="1"/>
    <col min="8980" max="8980" width="11.5703125" style="2" bestFit="1" customWidth="1"/>
    <col min="8981" max="9214" width="11.42578125" style="2"/>
    <col min="9215" max="9215" width="9.140625" style="2" bestFit="1" customWidth="1"/>
    <col min="9216" max="9217" width="6.85546875" style="2" bestFit="1" customWidth="1"/>
    <col min="9218" max="9218" width="6.28515625" style="2" bestFit="1" customWidth="1"/>
    <col min="9219" max="9219" width="7.140625" style="2" bestFit="1" customWidth="1"/>
    <col min="9220" max="9220" width="1.42578125" style="2" customWidth="1"/>
    <col min="9221" max="9222" width="6.28515625" style="2" bestFit="1" customWidth="1"/>
    <col min="9223" max="9223" width="7.5703125" style="2" bestFit="1" customWidth="1"/>
    <col min="9224" max="9224" width="6.28515625" style="2" bestFit="1" customWidth="1"/>
    <col min="9225" max="9225" width="7.5703125" style="2" bestFit="1" customWidth="1"/>
    <col min="9226" max="9226" width="1.42578125" style="2" customWidth="1"/>
    <col min="9227" max="9228" width="5.140625" style="2" bestFit="1" customWidth="1"/>
    <col min="9229" max="9229" width="6.85546875" style="2" bestFit="1" customWidth="1"/>
    <col min="9230" max="9230" width="6.28515625" style="2" bestFit="1" customWidth="1"/>
    <col min="9231" max="9231" width="7.140625" style="2" bestFit="1" customWidth="1"/>
    <col min="9232" max="9232" width="1.42578125" style="2" customWidth="1"/>
    <col min="9233" max="9235" width="10.7109375" style="2" customWidth="1"/>
    <col min="9236" max="9236" width="11.5703125" style="2" bestFit="1" customWidth="1"/>
    <col min="9237" max="9470" width="11.42578125" style="2"/>
    <col min="9471" max="9471" width="9.140625" style="2" bestFit="1" customWidth="1"/>
    <col min="9472" max="9473" width="6.85546875" style="2" bestFit="1" customWidth="1"/>
    <col min="9474" max="9474" width="6.28515625" style="2" bestFit="1" customWidth="1"/>
    <col min="9475" max="9475" width="7.140625" style="2" bestFit="1" customWidth="1"/>
    <col min="9476" max="9476" width="1.42578125" style="2" customWidth="1"/>
    <col min="9477" max="9478" width="6.28515625" style="2" bestFit="1" customWidth="1"/>
    <col min="9479" max="9479" width="7.5703125" style="2" bestFit="1" customWidth="1"/>
    <col min="9480" max="9480" width="6.28515625" style="2" bestFit="1" customWidth="1"/>
    <col min="9481" max="9481" width="7.5703125" style="2" bestFit="1" customWidth="1"/>
    <col min="9482" max="9482" width="1.42578125" style="2" customWidth="1"/>
    <col min="9483" max="9484" width="5.140625" style="2" bestFit="1" customWidth="1"/>
    <col min="9485" max="9485" width="6.85546875" style="2" bestFit="1" customWidth="1"/>
    <col min="9486" max="9486" width="6.28515625" style="2" bestFit="1" customWidth="1"/>
    <col min="9487" max="9487" width="7.140625" style="2" bestFit="1" customWidth="1"/>
    <col min="9488" max="9488" width="1.42578125" style="2" customWidth="1"/>
    <col min="9489" max="9491" width="10.7109375" style="2" customWidth="1"/>
    <col min="9492" max="9492" width="11.5703125" style="2" bestFit="1" customWidth="1"/>
    <col min="9493" max="9726" width="11.42578125" style="2"/>
    <col min="9727" max="9727" width="9.140625" style="2" bestFit="1" customWidth="1"/>
    <col min="9728" max="9729" width="6.85546875" style="2" bestFit="1" customWidth="1"/>
    <col min="9730" max="9730" width="6.28515625" style="2" bestFit="1" customWidth="1"/>
    <col min="9731" max="9731" width="7.140625" style="2" bestFit="1" customWidth="1"/>
    <col min="9732" max="9732" width="1.42578125" style="2" customWidth="1"/>
    <col min="9733" max="9734" width="6.28515625" style="2" bestFit="1" customWidth="1"/>
    <col min="9735" max="9735" width="7.5703125" style="2" bestFit="1" customWidth="1"/>
    <col min="9736" max="9736" width="6.28515625" style="2" bestFit="1" customWidth="1"/>
    <col min="9737" max="9737" width="7.5703125" style="2" bestFit="1" customWidth="1"/>
    <col min="9738" max="9738" width="1.42578125" style="2" customWidth="1"/>
    <col min="9739" max="9740" width="5.140625" style="2" bestFit="1" customWidth="1"/>
    <col min="9741" max="9741" width="6.85546875" style="2" bestFit="1" customWidth="1"/>
    <col min="9742" max="9742" width="6.28515625" style="2" bestFit="1" customWidth="1"/>
    <col min="9743" max="9743" width="7.140625" style="2" bestFit="1" customWidth="1"/>
    <col min="9744" max="9744" width="1.42578125" style="2" customWidth="1"/>
    <col min="9745" max="9747" width="10.7109375" style="2" customWidth="1"/>
    <col min="9748" max="9748" width="11.5703125" style="2" bestFit="1" customWidth="1"/>
    <col min="9749" max="9982" width="11.42578125" style="2"/>
    <col min="9983" max="9983" width="9.140625" style="2" bestFit="1" customWidth="1"/>
    <col min="9984" max="9985" width="6.85546875" style="2" bestFit="1" customWidth="1"/>
    <col min="9986" max="9986" width="6.28515625" style="2" bestFit="1" customWidth="1"/>
    <col min="9987" max="9987" width="7.140625" style="2" bestFit="1" customWidth="1"/>
    <col min="9988" max="9988" width="1.42578125" style="2" customWidth="1"/>
    <col min="9989" max="9990" width="6.28515625" style="2" bestFit="1" customWidth="1"/>
    <col min="9991" max="9991" width="7.5703125" style="2" bestFit="1" customWidth="1"/>
    <col min="9992" max="9992" width="6.28515625" style="2" bestFit="1" customWidth="1"/>
    <col min="9993" max="9993" width="7.5703125" style="2" bestFit="1" customWidth="1"/>
    <col min="9994" max="9994" width="1.42578125" style="2" customWidth="1"/>
    <col min="9995" max="9996" width="5.140625" style="2" bestFit="1" customWidth="1"/>
    <col min="9997" max="9997" width="6.85546875" style="2" bestFit="1" customWidth="1"/>
    <col min="9998" max="9998" width="6.28515625" style="2" bestFit="1" customWidth="1"/>
    <col min="9999" max="9999" width="7.140625" style="2" bestFit="1" customWidth="1"/>
    <col min="10000" max="10000" width="1.42578125" style="2" customWidth="1"/>
    <col min="10001" max="10003" width="10.7109375" style="2" customWidth="1"/>
    <col min="10004" max="10004" width="11.5703125" style="2" bestFit="1" customWidth="1"/>
    <col min="10005" max="10238" width="11.42578125" style="2"/>
    <col min="10239" max="10239" width="9.140625" style="2" bestFit="1" customWidth="1"/>
    <col min="10240" max="10241" width="6.85546875" style="2" bestFit="1" customWidth="1"/>
    <col min="10242" max="10242" width="6.28515625" style="2" bestFit="1" customWidth="1"/>
    <col min="10243" max="10243" width="7.140625" style="2" bestFit="1" customWidth="1"/>
    <col min="10244" max="10244" width="1.42578125" style="2" customWidth="1"/>
    <col min="10245" max="10246" width="6.28515625" style="2" bestFit="1" customWidth="1"/>
    <col min="10247" max="10247" width="7.5703125" style="2" bestFit="1" customWidth="1"/>
    <col min="10248" max="10248" width="6.28515625" style="2" bestFit="1" customWidth="1"/>
    <col min="10249" max="10249" width="7.5703125" style="2" bestFit="1" customWidth="1"/>
    <col min="10250" max="10250" width="1.42578125" style="2" customWidth="1"/>
    <col min="10251" max="10252" width="5.140625" style="2" bestFit="1" customWidth="1"/>
    <col min="10253" max="10253" width="6.85546875" style="2" bestFit="1" customWidth="1"/>
    <col min="10254" max="10254" width="6.28515625" style="2" bestFit="1" customWidth="1"/>
    <col min="10255" max="10255" width="7.140625" style="2" bestFit="1" customWidth="1"/>
    <col min="10256" max="10256" width="1.42578125" style="2" customWidth="1"/>
    <col min="10257" max="10259" width="10.7109375" style="2" customWidth="1"/>
    <col min="10260" max="10260" width="11.5703125" style="2" bestFit="1" customWidth="1"/>
    <col min="10261" max="10494" width="11.42578125" style="2"/>
    <col min="10495" max="10495" width="9.140625" style="2" bestFit="1" customWidth="1"/>
    <col min="10496" max="10497" width="6.85546875" style="2" bestFit="1" customWidth="1"/>
    <col min="10498" max="10498" width="6.28515625" style="2" bestFit="1" customWidth="1"/>
    <col min="10499" max="10499" width="7.140625" style="2" bestFit="1" customWidth="1"/>
    <col min="10500" max="10500" width="1.42578125" style="2" customWidth="1"/>
    <col min="10501" max="10502" width="6.28515625" style="2" bestFit="1" customWidth="1"/>
    <col min="10503" max="10503" width="7.5703125" style="2" bestFit="1" customWidth="1"/>
    <col min="10504" max="10504" width="6.28515625" style="2" bestFit="1" customWidth="1"/>
    <col min="10505" max="10505" width="7.5703125" style="2" bestFit="1" customWidth="1"/>
    <col min="10506" max="10506" width="1.42578125" style="2" customWidth="1"/>
    <col min="10507" max="10508" width="5.140625" style="2" bestFit="1" customWidth="1"/>
    <col min="10509" max="10509" width="6.85546875" style="2" bestFit="1" customWidth="1"/>
    <col min="10510" max="10510" width="6.28515625" style="2" bestFit="1" customWidth="1"/>
    <col min="10511" max="10511" width="7.140625" style="2" bestFit="1" customWidth="1"/>
    <col min="10512" max="10512" width="1.42578125" style="2" customWidth="1"/>
    <col min="10513" max="10515" width="10.7109375" style="2" customWidth="1"/>
    <col min="10516" max="10516" width="11.5703125" style="2" bestFit="1" customWidth="1"/>
    <col min="10517" max="10750" width="11.42578125" style="2"/>
    <col min="10751" max="10751" width="9.140625" style="2" bestFit="1" customWidth="1"/>
    <col min="10752" max="10753" width="6.85546875" style="2" bestFit="1" customWidth="1"/>
    <col min="10754" max="10754" width="6.28515625" style="2" bestFit="1" customWidth="1"/>
    <col min="10755" max="10755" width="7.140625" style="2" bestFit="1" customWidth="1"/>
    <col min="10756" max="10756" width="1.42578125" style="2" customWidth="1"/>
    <col min="10757" max="10758" width="6.28515625" style="2" bestFit="1" customWidth="1"/>
    <col min="10759" max="10759" width="7.5703125" style="2" bestFit="1" customWidth="1"/>
    <col min="10760" max="10760" width="6.28515625" style="2" bestFit="1" customWidth="1"/>
    <col min="10761" max="10761" width="7.5703125" style="2" bestFit="1" customWidth="1"/>
    <col min="10762" max="10762" width="1.42578125" style="2" customWidth="1"/>
    <col min="10763" max="10764" width="5.140625" style="2" bestFit="1" customWidth="1"/>
    <col min="10765" max="10765" width="6.85546875" style="2" bestFit="1" customWidth="1"/>
    <col min="10766" max="10766" width="6.28515625" style="2" bestFit="1" customWidth="1"/>
    <col min="10767" max="10767" width="7.140625" style="2" bestFit="1" customWidth="1"/>
    <col min="10768" max="10768" width="1.42578125" style="2" customWidth="1"/>
    <col min="10769" max="10771" width="10.7109375" style="2" customWidth="1"/>
    <col min="10772" max="10772" width="11.5703125" style="2" bestFit="1" customWidth="1"/>
    <col min="10773" max="11006" width="11.42578125" style="2"/>
    <col min="11007" max="11007" width="9.140625" style="2" bestFit="1" customWidth="1"/>
    <col min="11008" max="11009" width="6.85546875" style="2" bestFit="1" customWidth="1"/>
    <col min="11010" max="11010" width="6.28515625" style="2" bestFit="1" customWidth="1"/>
    <col min="11011" max="11011" width="7.140625" style="2" bestFit="1" customWidth="1"/>
    <col min="11012" max="11012" width="1.42578125" style="2" customWidth="1"/>
    <col min="11013" max="11014" width="6.28515625" style="2" bestFit="1" customWidth="1"/>
    <col min="11015" max="11015" width="7.5703125" style="2" bestFit="1" customWidth="1"/>
    <col min="11016" max="11016" width="6.28515625" style="2" bestFit="1" customWidth="1"/>
    <col min="11017" max="11017" width="7.5703125" style="2" bestFit="1" customWidth="1"/>
    <col min="11018" max="11018" width="1.42578125" style="2" customWidth="1"/>
    <col min="11019" max="11020" width="5.140625" style="2" bestFit="1" customWidth="1"/>
    <col min="11021" max="11021" width="6.85546875" style="2" bestFit="1" customWidth="1"/>
    <col min="11022" max="11022" width="6.28515625" style="2" bestFit="1" customWidth="1"/>
    <col min="11023" max="11023" width="7.140625" style="2" bestFit="1" customWidth="1"/>
    <col min="11024" max="11024" width="1.42578125" style="2" customWidth="1"/>
    <col min="11025" max="11027" width="10.7109375" style="2" customWidth="1"/>
    <col min="11028" max="11028" width="11.5703125" style="2" bestFit="1" customWidth="1"/>
    <col min="11029" max="11262" width="11.42578125" style="2"/>
    <col min="11263" max="11263" width="9.140625" style="2" bestFit="1" customWidth="1"/>
    <col min="11264" max="11265" width="6.85546875" style="2" bestFit="1" customWidth="1"/>
    <col min="11266" max="11266" width="6.28515625" style="2" bestFit="1" customWidth="1"/>
    <col min="11267" max="11267" width="7.140625" style="2" bestFit="1" customWidth="1"/>
    <col min="11268" max="11268" width="1.42578125" style="2" customWidth="1"/>
    <col min="11269" max="11270" width="6.28515625" style="2" bestFit="1" customWidth="1"/>
    <col min="11271" max="11271" width="7.5703125" style="2" bestFit="1" customWidth="1"/>
    <col min="11272" max="11272" width="6.28515625" style="2" bestFit="1" customWidth="1"/>
    <col min="11273" max="11273" width="7.5703125" style="2" bestFit="1" customWidth="1"/>
    <col min="11274" max="11274" width="1.42578125" style="2" customWidth="1"/>
    <col min="11275" max="11276" width="5.140625" style="2" bestFit="1" customWidth="1"/>
    <col min="11277" max="11277" width="6.85546875" style="2" bestFit="1" customWidth="1"/>
    <col min="11278" max="11278" width="6.28515625" style="2" bestFit="1" customWidth="1"/>
    <col min="11279" max="11279" width="7.140625" style="2" bestFit="1" customWidth="1"/>
    <col min="11280" max="11280" width="1.42578125" style="2" customWidth="1"/>
    <col min="11281" max="11283" width="10.7109375" style="2" customWidth="1"/>
    <col min="11284" max="11284" width="11.5703125" style="2" bestFit="1" customWidth="1"/>
    <col min="11285" max="11518" width="11.42578125" style="2"/>
    <col min="11519" max="11519" width="9.140625" style="2" bestFit="1" customWidth="1"/>
    <col min="11520" max="11521" width="6.85546875" style="2" bestFit="1" customWidth="1"/>
    <col min="11522" max="11522" width="6.28515625" style="2" bestFit="1" customWidth="1"/>
    <col min="11523" max="11523" width="7.140625" style="2" bestFit="1" customWidth="1"/>
    <col min="11524" max="11524" width="1.42578125" style="2" customWidth="1"/>
    <col min="11525" max="11526" width="6.28515625" style="2" bestFit="1" customWidth="1"/>
    <col min="11527" max="11527" width="7.5703125" style="2" bestFit="1" customWidth="1"/>
    <col min="11528" max="11528" width="6.28515625" style="2" bestFit="1" customWidth="1"/>
    <col min="11529" max="11529" width="7.5703125" style="2" bestFit="1" customWidth="1"/>
    <col min="11530" max="11530" width="1.42578125" style="2" customWidth="1"/>
    <col min="11531" max="11532" width="5.140625" style="2" bestFit="1" customWidth="1"/>
    <col min="11533" max="11533" width="6.85546875" style="2" bestFit="1" customWidth="1"/>
    <col min="11534" max="11534" width="6.28515625" style="2" bestFit="1" customWidth="1"/>
    <col min="11535" max="11535" width="7.140625" style="2" bestFit="1" customWidth="1"/>
    <col min="11536" max="11536" width="1.42578125" style="2" customWidth="1"/>
    <col min="11537" max="11539" width="10.7109375" style="2" customWidth="1"/>
    <col min="11540" max="11540" width="11.5703125" style="2" bestFit="1" customWidth="1"/>
    <col min="11541" max="11774" width="11.42578125" style="2"/>
    <col min="11775" max="11775" width="9.140625" style="2" bestFit="1" customWidth="1"/>
    <col min="11776" max="11777" width="6.85546875" style="2" bestFit="1" customWidth="1"/>
    <col min="11778" max="11778" width="6.28515625" style="2" bestFit="1" customWidth="1"/>
    <col min="11779" max="11779" width="7.140625" style="2" bestFit="1" customWidth="1"/>
    <col min="11780" max="11780" width="1.42578125" style="2" customWidth="1"/>
    <col min="11781" max="11782" width="6.28515625" style="2" bestFit="1" customWidth="1"/>
    <col min="11783" max="11783" width="7.5703125" style="2" bestFit="1" customWidth="1"/>
    <col min="11784" max="11784" width="6.28515625" style="2" bestFit="1" customWidth="1"/>
    <col min="11785" max="11785" width="7.5703125" style="2" bestFit="1" customWidth="1"/>
    <col min="11786" max="11786" width="1.42578125" style="2" customWidth="1"/>
    <col min="11787" max="11788" width="5.140625" style="2" bestFit="1" customWidth="1"/>
    <col min="11789" max="11789" width="6.85546875" style="2" bestFit="1" customWidth="1"/>
    <col min="11790" max="11790" width="6.28515625" style="2" bestFit="1" customWidth="1"/>
    <col min="11791" max="11791" width="7.140625" style="2" bestFit="1" customWidth="1"/>
    <col min="11792" max="11792" width="1.42578125" style="2" customWidth="1"/>
    <col min="11793" max="11795" width="10.7109375" style="2" customWidth="1"/>
    <col min="11796" max="11796" width="11.5703125" style="2" bestFit="1" customWidth="1"/>
    <col min="11797" max="12030" width="11.42578125" style="2"/>
    <col min="12031" max="12031" width="9.140625" style="2" bestFit="1" customWidth="1"/>
    <col min="12032" max="12033" width="6.85546875" style="2" bestFit="1" customWidth="1"/>
    <col min="12034" max="12034" width="6.28515625" style="2" bestFit="1" customWidth="1"/>
    <col min="12035" max="12035" width="7.140625" style="2" bestFit="1" customWidth="1"/>
    <col min="12036" max="12036" width="1.42578125" style="2" customWidth="1"/>
    <col min="12037" max="12038" width="6.28515625" style="2" bestFit="1" customWidth="1"/>
    <col min="12039" max="12039" width="7.5703125" style="2" bestFit="1" customWidth="1"/>
    <col min="12040" max="12040" width="6.28515625" style="2" bestFit="1" customWidth="1"/>
    <col min="12041" max="12041" width="7.5703125" style="2" bestFit="1" customWidth="1"/>
    <col min="12042" max="12042" width="1.42578125" style="2" customWidth="1"/>
    <col min="12043" max="12044" width="5.140625" style="2" bestFit="1" customWidth="1"/>
    <col min="12045" max="12045" width="6.85546875" style="2" bestFit="1" customWidth="1"/>
    <col min="12046" max="12046" width="6.28515625" style="2" bestFit="1" customWidth="1"/>
    <col min="12047" max="12047" width="7.140625" style="2" bestFit="1" customWidth="1"/>
    <col min="12048" max="12048" width="1.42578125" style="2" customWidth="1"/>
    <col min="12049" max="12051" width="10.7109375" style="2" customWidth="1"/>
    <col min="12052" max="12052" width="11.5703125" style="2" bestFit="1" customWidth="1"/>
    <col min="12053" max="12286" width="11.42578125" style="2"/>
    <col min="12287" max="12287" width="9.140625" style="2" bestFit="1" customWidth="1"/>
    <col min="12288" max="12289" width="6.85546875" style="2" bestFit="1" customWidth="1"/>
    <col min="12290" max="12290" width="6.28515625" style="2" bestFit="1" customWidth="1"/>
    <col min="12291" max="12291" width="7.140625" style="2" bestFit="1" customWidth="1"/>
    <col min="12292" max="12292" width="1.42578125" style="2" customWidth="1"/>
    <col min="12293" max="12294" width="6.28515625" style="2" bestFit="1" customWidth="1"/>
    <col min="12295" max="12295" width="7.5703125" style="2" bestFit="1" customWidth="1"/>
    <col min="12296" max="12296" width="6.28515625" style="2" bestFit="1" customWidth="1"/>
    <col min="12297" max="12297" width="7.5703125" style="2" bestFit="1" customWidth="1"/>
    <col min="12298" max="12298" width="1.42578125" style="2" customWidth="1"/>
    <col min="12299" max="12300" width="5.140625" style="2" bestFit="1" customWidth="1"/>
    <col min="12301" max="12301" width="6.85546875" style="2" bestFit="1" customWidth="1"/>
    <col min="12302" max="12302" width="6.28515625" style="2" bestFit="1" customWidth="1"/>
    <col min="12303" max="12303" width="7.140625" style="2" bestFit="1" customWidth="1"/>
    <col min="12304" max="12304" width="1.42578125" style="2" customWidth="1"/>
    <col min="12305" max="12307" width="10.7109375" style="2" customWidth="1"/>
    <col min="12308" max="12308" width="11.5703125" style="2" bestFit="1" customWidth="1"/>
    <col min="12309" max="12542" width="11.42578125" style="2"/>
    <col min="12543" max="12543" width="9.140625" style="2" bestFit="1" customWidth="1"/>
    <col min="12544" max="12545" width="6.85546875" style="2" bestFit="1" customWidth="1"/>
    <col min="12546" max="12546" width="6.28515625" style="2" bestFit="1" customWidth="1"/>
    <col min="12547" max="12547" width="7.140625" style="2" bestFit="1" customWidth="1"/>
    <col min="12548" max="12548" width="1.42578125" style="2" customWidth="1"/>
    <col min="12549" max="12550" width="6.28515625" style="2" bestFit="1" customWidth="1"/>
    <col min="12551" max="12551" width="7.5703125" style="2" bestFit="1" customWidth="1"/>
    <col min="12552" max="12552" width="6.28515625" style="2" bestFit="1" customWidth="1"/>
    <col min="12553" max="12553" width="7.5703125" style="2" bestFit="1" customWidth="1"/>
    <col min="12554" max="12554" width="1.42578125" style="2" customWidth="1"/>
    <col min="12555" max="12556" width="5.140625" style="2" bestFit="1" customWidth="1"/>
    <col min="12557" max="12557" width="6.85546875" style="2" bestFit="1" customWidth="1"/>
    <col min="12558" max="12558" width="6.28515625" style="2" bestFit="1" customWidth="1"/>
    <col min="12559" max="12559" width="7.140625" style="2" bestFit="1" customWidth="1"/>
    <col min="12560" max="12560" width="1.42578125" style="2" customWidth="1"/>
    <col min="12561" max="12563" width="10.7109375" style="2" customWidth="1"/>
    <col min="12564" max="12564" width="11.5703125" style="2" bestFit="1" customWidth="1"/>
    <col min="12565" max="12798" width="11.42578125" style="2"/>
    <col min="12799" max="12799" width="9.140625" style="2" bestFit="1" customWidth="1"/>
    <col min="12800" max="12801" width="6.85546875" style="2" bestFit="1" customWidth="1"/>
    <col min="12802" max="12802" width="6.28515625" style="2" bestFit="1" customWidth="1"/>
    <col min="12803" max="12803" width="7.140625" style="2" bestFit="1" customWidth="1"/>
    <col min="12804" max="12804" width="1.42578125" style="2" customWidth="1"/>
    <col min="12805" max="12806" width="6.28515625" style="2" bestFit="1" customWidth="1"/>
    <col min="12807" max="12807" width="7.5703125" style="2" bestFit="1" customWidth="1"/>
    <col min="12808" max="12808" width="6.28515625" style="2" bestFit="1" customWidth="1"/>
    <col min="12809" max="12809" width="7.5703125" style="2" bestFit="1" customWidth="1"/>
    <col min="12810" max="12810" width="1.42578125" style="2" customWidth="1"/>
    <col min="12811" max="12812" width="5.140625" style="2" bestFit="1" customWidth="1"/>
    <col min="12813" max="12813" width="6.85546875" style="2" bestFit="1" customWidth="1"/>
    <col min="12814" max="12814" width="6.28515625" style="2" bestFit="1" customWidth="1"/>
    <col min="12815" max="12815" width="7.140625" style="2" bestFit="1" customWidth="1"/>
    <col min="12816" max="12816" width="1.42578125" style="2" customWidth="1"/>
    <col min="12817" max="12819" width="10.7109375" style="2" customWidth="1"/>
    <col min="12820" max="12820" width="11.5703125" style="2" bestFit="1" customWidth="1"/>
    <col min="12821" max="13054" width="11.42578125" style="2"/>
    <col min="13055" max="13055" width="9.140625" style="2" bestFit="1" customWidth="1"/>
    <col min="13056" max="13057" width="6.85546875" style="2" bestFit="1" customWidth="1"/>
    <col min="13058" max="13058" width="6.28515625" style="2" bestFit="1" customWidth="1"/>
    <col min="13059" max="13059" width="7.140625" style="2" bestFit="1" customWidth="1"/>
    <col min="13060" max="13060" width="1.42578125" style="2" customWidth="1"/>
    <col min="13061" max="13062" width="6.28515625" style="2" bestFit="1" customWidth="1"/>
    <col min="13063" max="13063" width="7.5703125" style="2" bestFit="1" customWidth="1"/>
    <col min="13064" max="13064" width="6.28515625" style="2" bestFit="1" customWidth="1"/>
    <col min="13065" max="13065" width="7.5703125" style="2" bestFit="1" customWidth="1"/>
    <col min="13066" max="13066" width="1.42578125" style="2" customWidth="1"/>
    <col min="13067" max="13068" width="5.140625" style="2" bestFit="1" customWidth="1"/>
    <col min="13069" max="13069" width="6.85546875" style="2" bestFit="1" customWidth="1"/>
    <col min="13070" max="13070" width="6.28515625" style="2" bestFit="1" customWidth="1"/>
    <col min="13071" max="13071" width="7.140625" style="2" bestFit="1" customWidth="1"/>
    <col min="13072" max="13072" width="1.42578125" style="2" customWidth="1"/>
    <col min="13073" max="13075" width="10.7109375" style="2" customWidth="1"/>
    <col min="13076" max="13076" width="11.5703125" style="2" bestFit="1" customWidth="1"/>
    <col min="13077" max="13310" width="11.42578125" style="2"/>
    <col min="13311" max="13311" width="9.140625" style="2" bestFit="1" customWidth="1"/>
    <col min="13312" max="13313" width="6.85546875" style="2" bestFit="1" customWidth="1"/>
    <col min="13314" max="13314" width="6.28515625" style="2" bestFit="1" customWidth="1"/>
    <col min="13315" max="13315" width="7.140625" style="2" bestFit="1" customWidth="1"/>
    <col min="13316" max="13316" width="1.42578125" style="2" customWidth="1"/>
    <col min="13317" max="13318" width="6.28515625" style="2" bestFit="1" customWidth="1"/>
    <col min="13319" max="13319" width="7.5703125" style="2" bestFit="1" customWidth="1"/>
    <col min="13320" max="13320" width="6.28515625" style="2" bestFit="1" customWidth="1"/>
    <col min="13321" max="13321" width="7.5703125" style="2" bestFit="1" customWidth="1"/>
    <col min="13322" max="13322" width="1.42578125" style="2" customWidth="1"/>
    <col min="13323" max="13324" width="5.140625" style="2" bestFit="1" customWidth="1"/>
    <col min="13325" max="13325" width="6.85546875" style="2" bestFit="1" customWidth="1"/>
    <col min="13326" max="13326" width="6.28515625" style="2" bestFit="1" customWidth="1"/>
    <col min="13327" max="13327" width="7.140625" style="2" bestFit="1" customWidth="1"/>
    <col min="13328" max="13328" width="1.42578125" style="2" customWidth="1"/>
    <col min="13329" max="13331" width="10.7109375" style="2" customWidth="1"/>
    <col min="13332" max="13332" width="11.5703125" style="2" bestFit="1" customWidth="1"/>
    <col min="13333" max="13566" width="11.42578125" style="2"/>
    <col min="13567" max="13567" width="9.140625" style="2" bestFit="1" customWidth="1"/>
    <col min="13568" max="13569" width="6.85546875" style="2" bestFit="1" customWidth="1"/>
    <col min="13570" max="13570" width="6.28515625" style="2" bestFit="1" customWidth="1"/>
    <col min="13571" max="13571" width="7.140625" style="2" bestFit="1" customWidth="1"/>
    <col min="13572" max="13572" width="1.42578125" style="2" customWidth="1"/>
    <col min="13573" max="13574" width="6.28515625" style="2" bestFit="1" customWidth="1"/>
    <col min="13575" max="13575" width="7.5703125" style="2" bestFit="1" customWidth="1"/>
    <col min="13576" max="13576" width="6.28515625" style="2" bestFit="1" customWidth="1"/>
    <col min="13577" max="13577" width="7.5703125" style="2" bestFit="1" customWidth="1"/>
    <col min="13578" max="13578" width="1.42578125" style="2" customWidth="1"/>
    <col min="13579" max="13580" width="5.140625" style="2" bestFit="1" customWidth="1"/>
    <col min="13581" max="13581" width="6.85546875" style="2" bestFit="1" customWidth="1"/>
    <col min="13582" max="13582" width="6.28515625" style="2" bestFit="1" customWidth="1"/>
    <col min="13583" max="13583" width="7.140625" style="2" bestFit="1" customWidth="1"/>
    <col min="13584" max="13584" width="1.42578125" style="2" customWidth="1"/>
    <col min="13585" max="13587" width="10.7109375" style="2" customWidth="1"/>
    <col min="13588" max="13588" width="11.5703125" style="2" bestFit="1" customWidth="1"/>
    <col min="13589" max="13822" width="11.42578125" style="2"/>
    <col min="13823" max="13823" width="9.140625" style="2" bestFit="1" customWidth="1"/>
    <col min="13824" max="13825" width="6.85546875" style="2" bestFit="1" customWidth="1"/>
    <col min="13826" max="13826" width="6.28515625" style="2" bestFit="1" customWidth="1"/>
    <col min="13827" max="13827" width="7.140625" style="2" bestFit="1" customWidth="1"/>
    <col min="13828" max="13828" width="1.42578125" style="2" customWidth="1"/>
    <col min="13829" max="13830" width="6.28515625" style="2" bestFit="1" customWidth="1"/>
    <col min="13831" max="13831" width="7.5703125" style="2" bestFit="1" customWidth="1"/>
    <col min="13832" max="13832" width="6.28515625" style="2" bestFit="1" customWidth="1"/>
    <col min="13833" max="13833" width="7.5703125" style="2" bestFit="1" customWidth="1"/>
    <col min="13834" max="13834" width="1.42578125" style="2" customWidth="1"/>
    <col min="13835" max="13836" width="5.140625" style="2" bestFit="1" customWidth="1"/>
    <col min="13837" max="13837" width="6.85546875" style="2" bestFit="1" customWidth="1"/>
    <col min="13838" max="13838" width="6.28515625" style="2" bestFit="1" customWidth="1"/>
    <col min="13839" max="13839" width="7.140625" style="2" bestFit="1" customWidth="1"/>
    <col min="13840" max="13840" width="1.42578125" style="2" customWidth="1"/>
    <col min="13841" max="13843" width="10.7109375" style="2" customWidth="1"/>
    <col min="13844" max="13844" width="11.5703125" style="2" bestFit="1" customWidth="1"/>
    <col min="13845" max="14078" width="11.42578125" style="2"/>
    <col min="14079" max="14079" width="9.140625" style="2" bestFit="1" customWidth="1"/>
    <col min="14080" max="14081" width="6.85546875" style="2" bestFit="1" customWidth="1"/>
    <col min="14082" max="14082" width="6.28515625" style="2" bestFit="1" customWidth="1"/>
    <col min="14083" max="14083" width="7.140625" style="2" bestFit="1" customWidth="1"/>
    <col min="14084" max="14084" width="1.42578125" style="2" customWidth="1"/>
    <col min="14085" max="14086" width="6.28515625" style="2" bestFit="1" customWidth="1"/>
    <col min="14087" max="14087" width="7.5703125" style="2" bestFit="1" customWidth="1"/>
    <col min="14088" max="14088" width="6.28515625" style="2" bestFit="1" customWidth="1"/>
    <col min="14089" max="14089" width="7.5703125" style="2" bestFit="1" customWidth="1"/>
    <col min="14090" max="14090" width="1.42578125" style="2" customWidth="1"/>
    <col min="14091" max="14092" width="5.140625" style="2" bestFit="1" customWidth="1"/>
    <col min="14093" max="14093" width="6.85546875" style="2" bestFit="1" customWidth="1"/>
    <col min="14094" max="14094" width="6.28515625" style="2" bestFit="1" customWidth="1"/>
    <col min="14095" max="14095" width="7.140625" style="2" bestFit="1" customWidth="1"/>
    <col min="14096" max="14096" width="1.42578125" style="2" customWidth="1"/>
    <col min="14097" max="14099" width="10.7109375" style="2" customWidth="1"/>
    <col min="14100" max="14100" width="11.5703125" style="2" bestFit="1" customWidth="1"/>
    <col min="14101" max="14334" width="11.42578125" style="2"/>
    <col min="14335" max="14335" width="9.140625" style="2" bestFit="1" customWidth="1"/>
    <col min="14336" max="14337" width="6.85546875" style="2" bestFit="1" customWidth="1"/>
    <col min="14338" max="14338" width="6.28515625" style="2" bestFit="1" customWidth="1"/>
    <col min="14339" max="14339" width="7.140625" style="2" bestFit="1" customWidth="1"/>
    <col min="14340" max="14340" width="1.42578125" style="2" customWidth="1"/>
    <col min="14341" max="14342" width="6.28515625" style="2" bestFit="1" customWidth="1"/>
    <col min="14343" max="14343" width="7.5703125" style="2" bestFit="1" customWidth="1"/>
    <col min="14344" max="14344" width="6.28515625" style="2" bestFit="1" customWidth="1"/>
    <col min="14345" max="14345" width="7.5703125" style="2" bestFit="1" customWidth="1"/>
    <col min="14346" max="14346" width="1.42578125" style="2" customWidth="1"/>
    <col min="14347" max="14348" width="5.140625" style="2" bestFit="1" customWidth="1"/>
    <col min="14349" max="14349" width="6.85546875" style="2" bestFit="1" customWidth="1"/>
    <col min="14350" max="14350" width="6.28515625" style="2" bestFit="1" customWidth="1"/>
    <col min="14351" max="14351" width="7.140625" style="2" bestFit="1" customWidth="1"/>
    <col min="14352" max="14352" width="1.42578125" style="2" customWidth="1"/>
    <col min="14353" max="14355" width="10.7109375" style="2" customWidth="1"/>
    <col min="14356" max="14356" width="11.5703125" style="2" bestFit="1" customWidth="1"/>
    <col min="14357" max="14590" width="11.42578125" style="2"/>
    <col min="14591" max="14591" width="9.140625" style="2" bestFit="1" customWidth="1"/>
    <col min="14592" max="14593" width="6.85546875" style="2" bestFit="1" customWidth="1"/>
    <col min="14594" max="14594" width="6.28515625" style="2" bestFit="1" customWidth="1"/>
    <col min="14595" max="14595" width="7.140625" style="2" bestFit="1" customWidth="1"/>
    <col min="14596" max="14596" width="1.42578125" style="2" customWidth="1"/>
    <col min="14597" max="14598" width="6.28515625" style="2" bestFit="1" customWidth="1"/>
    <col min="14599" max="14599" width="7.5703125" style="2" bestFit="1" customWidth="1"/>
    <col min="14600" max="14600" width="6.28515625" style="2" bestFit="1" customWidth="1"/>
    <col min="14601" max="14601" width="7.5703125" style="2" bestFit="1" customWidth="1"/>
    <col min="14602" max="14602" width="1.42578125" style="2" customWidth="1"/>
    <col min="14603" max="14604" width="5.140625" style="2" bestFit="1" customWidth="1"/>
    <col min="14605" max="14605" width="6.85546875" style="2" bestFit="1" customWidth="1"/>
    <col min="14606" max="14606" width="6.28515625" style="2" bestFit="1" customWidth="1"/>
    <col min="14607" max="14607" width="7.140625" style="2" bestFit="1" customWidth="1"/>
    <col min="14608" max="14608" width="1.42578125" style="2" customWidth="1"/>
    <col min="14609" max="14611" width="10.7109375" style="2" customWidth="1"/>
    <col min="14612" max="14612" width="11.5703125" style="2" bestFit="1" customWidth="1"/>
    <col min="14613" max="14846" width="11.42578125" style="2"/>
    <col min="14847" max="14847" width="9.140625" style="2" bestFit="1" customWidth="1"/>
    <col min="14848" max="14849" width="6.85546875" style="2" bestFit="1" customWidth="1"/>
    <col min="14850" max="14850" width="6.28515625" style="2" bestFit="1" customWidth="1"/>
    <col min="14851" max="14851" width="7.140625" style="2" bestFit="1" customWidth="1"/>
    <col min="14852" max="14852" width="1.42578125" style="2" customWidth="1"/>
    <col min="14853" max="14854" width="6.28515625" style="2" bestFit="1" customWidth="1"/>
    <col min="14855" max="14855" width="7.5703125" style="2" bestFit="1" customWidth="1"/>
    <col min="14856" max="14856" width="6.28515625" style="2" bestFit="1" customWidth="1"/>
    <col min="14857" max="14857" width="7.5703125" style="2" bestFit="1" customWidth="1"/>
    <col min="14858" max="14858" width="1.42578125" style="2" customWidth="1"/>
    <col min="14859" max="14860" width="5.140625" style="2" bestFit="1" customWidth="1"/>
    <col min="14861" max="14861" width="6.85546875" style="2" bestFit="1" customWidth="1"/>
    <col min="14862" max="14862" width="6.28515625" style="2" bestFit="1" customWidth="1"/>
    <col min="14863" max="14863" width="7.140625" style="2" bestFit="1" customWidth="1"/>
    <col min="14864" max="14864" width="1.42578125" style="2" customWidth="1"/>
    <col min="14865" max="14867" width="10.7109375" style="2" customWidth="1"/>
    <col min="14868" max="14868" width="11.5703125" style="2" bestFit="1" customWidth="1"/>
    <col min="14869" max="15102" width="11.42578125" style="2"/>
    <col min="15103" max="15103" width="9.140625" style="2" bestFit="1" customWidth="1"/>
    <col min="15104" max="15105" width="6.85546875" style="2" bestFit="1" customWidth="1"/>
    <col min="15106" max="15106" width="6.28515625" style="2" bestFit="1" customWidth="1"/>
    <col min="15107" max="15107" width="7.140625" style="2" bestFit="1" customWidth="1"/>
    <col min="15108" max="15108" width="1.42578125" style="2" customWidth="1"/>
    <col min="15109" max="15110" width="6.28515625" style="2" bestFit="1" customWidth="1"/>
    <col min="15111" max="15111" width="7.5703125" style="2" bestFit="1" customWidth="1"/>
    <col min="15112" max="15112" width="6.28515625" style="2" bestFit="1" customWidth="1"/>
    <col min="15113" max="15113" width="7.5703125" style="2" bestFit="1" customWidth="1"/>
    <col min="15114" max="15114" width="1.42578125" style="2" customWidth="1"/>
    <col min="15115" max="15116" width="5.140625" style="2" bestFit="1" customWidth="1"/>
    <col min="15117" max="15117" width="6.85546875" style="2" bestFit="1" customWidth="1"/>
    <col min="15118" max="15118" width="6.28515625" style="2" bestFit="1" customWidth="1"/>
    <col min="15119" max="15119" width="7.140625" style="2" bestFit="1" customWidth="1"/>
    <col min="15120" max="15120" width="1.42578125" style="2" customWidth="1"/>
    <col min="15121" max="15123" width="10.7109375" style="2" customWidth="1"/>
    <col min="15124" max="15124" width="11.5703125" style="2" bestFit="1" customWidth="1"/>
    <col min="15125" max="15358" width="11.42578125" style="2"/>
    <col min="15359" max="15359" width="9.140625" style="2" bestFit="1" customWidth="1"/>
    <col min="15360" max="15361" width="6.85546875" style="2" bestFit="1" customWidth="1"/>
    <col min="15362" max="15362" width="6.28515625" style="2" bestFit="1" customWidth="1"/>
    <col min="15363" max="15363" width="7.140625" style="2" bestFit="1" customWidth="1"/>
    <col min="15364" max="15364" width="1.42578125" style="2" customWidth="1"/>
    <col min="15365" max="15366" width="6.28515625" style="2" bestFit="1" customWidth="1"/>
    <col min="15367" max="15367" width="7.5703125" style="2" bestFit="1" customWidth="1"/>
    <col min="15368" max="15368" width="6.28515625" style="2" bestFit="1" customWidth="1"/>
    <col min="15369" max="15369" width="7.5703125" style="2" bestFit="1" customWidth="1"/>
    <col min="15370" max="15370" width="1.42578125" style="2" customWidth="1"/>
    <col min="15371" max="15372" width="5.140625" style="2" bestFit="1" customWidth="1"/>
    <col min="15373" max="15373" width="6.85546875" style="2" bestFit="1" customWidth="1"/>
    <col min="15374" max="15374" width="6.28515625" style="2" bestFit="1" customWidth="1"/>
    <col min="15375" max="15375" width="7.140625" style="2" bestFit="1" customWidth="1"/>
    <col min="15376" max="15376" width="1.42578125" style="2" customWidth="1"/>
    <col min="15377" max="15379" width="10.7109375" style="2" customWidth="1"/>
    <col min="15380" max="15380" width="11.5703125" style="2" bestFit="1" customWidth="1"/>
    <col min="15381" max="15614" width="11.42578125" style="2"/>
    <col min="15615" max="15615" width="9.140625" style="2" bestFit="1" customWidth="1"/>
    <col min="15616" max="15617" width="6.85546875" style="2" bestFit="1" customWidth="1"/>
    <col min="15618" max="15618" width="6.28515625" style="2" bestFit="1" customWidth="1"/>
    <col min="15619" max="15619" width="7.140625" style="2" bestFit="1" customWidth="1"/>
    <col min="15620" max="15620" width="1.42578125" style="2" customWidth="1"/>
    <col min="15621" max="15622" width="6.28515625" style="2" bestFit="1" customWidth="1"/>
    <col min="15623" max="15623" width="7.5703125" style="2" bestFit="1" customWidth="1"/>
    <col min="15624" max="15624" width="6.28515625" style="2" bestFit="1" customWidth="1"/>
    <col min="15625" max="15625" width="7.5703125" style="2" bestFit="1" customWidth="1"/>
    <col min="15626" max="15626" width="1.42578125" style="2" customWidth="1"/>
    <col min="15627" max="15628" width="5.140625" style="2" bestFit="1" customWidth="1"/>
    <col min="15629" max="15629" width="6.85546875" style="2" bestFit="1" customWidth="1"/>
    <col min="15630" max="15630" width="6.28515625" style="2" bestFit="1" customWidth="1"/>
    <col min="15631" max="15631" width="7.140625" style="2" bestFit="1" customWidth="1"/>
    <col min="15632" max="15632" width="1.42578125" style="2" customWidth="1"/>
    <col min="15633" max="15635" width="10.7109375" style="2" customWidth="1"/>
    <col min="15636" max="15636" width="11.5703125" style="2" bestFit="1" customWidth="1"/>
    <col min="15637" max="15870" width="11.42578125" style="2"/>
    <col min="15871" max="15871" width="9.140625" style="2" bestFit="1" customWidth="1"/>
    <col min="15872" max="15873" width="6.85546875" style="2" bestFit="1" customWidth="1"/>
    <col min="15874" max="15874" width="6.28515625" style="2" bestFit="1" customWidth="1"/>
    <col min="15875" max="15875" width="7.140625" style="2" bestFit="1" customWidth="1"/>
    <col min="15876" max="15876" width="1.42578125" style="2" customWidth="1"/>
    <col min="15877" max="15878" width="6.28515625" style="2" bestFit="1" customWidth="1"/>
    <col min="15879" max="15879" width="7.5703125" style="2" bestFit="1" customWidth="1"/>
    <col min="15880" max="15880" width="6.28515625" style="2" bestFit="1" customWidth="1"/>
    <col min="15881" max="15881" width="7.5703125" style="2" bestFit="1" customWidth="1"/>
    <col min="15882" max="15882" width="1.42578125" style="2" customWidth="1"/>
    <col min="15883" max="15884" width="5.140625" style="2" bestFit="1" customWidth="1"/>
    <col min="15885" max="15885" width="6.85546875" style="2" bestFit="1" customWidth="1"/>
    <col min="15886" max="15886" width="6.28515625" style="2" bestFit="1" customWidth="1"/>
    <col min="15887" max="15887" width="7.140625" style="2" bestFit="1" customWidth="1"/>
    <col min="15888" max="15888" width="1.42578125" style="2" customWidth="1"/>
    <col min="15889" max="15891" width="10.7109375" style="2" customWidth="1"/>
    <col min="15892" max="15892" width="11.5703125" style="2" bestFit="1" customWidth="1"/>
    <col min="15893" max="16126" width="11.42578125" style="2"/>
    <col min="16127" max="16127" width="9.140625" style="2" bestFit="1" customWidth="1"/>
    <col min="16128" max="16129" width="6.85546875" style="2" bestFit="1" customWidth="1"/>
    <col min="16130" max="16130" width="6.28515625" style="2" bestFit="1" customWidth="1"/>
    <col min="16131" max="16131" width="7.140625" style="2" bestFit="1" customWidth="1"/>
    <col min="16132" max="16132" width="1.42578125" style="2" customWidth="1"/>
    <col min="16133" max="16134" width="6.28515625" style="2" bestFit="1" customWidth="1"/>
    <col min="16135" max="16135" width="7.5703125" style="2" bestFit="1" customWidth="1"/>
    <col min="16136" max="16136" width="6.28515625" style="2" bestFit="1" customWidth="1"/>
    <col min="16137" max="16137" width="7.5703125" style="2" bestFit="1" customWidth="1"/>
    <col min="16138" max="16138" width="1.42578125" style="2" customWidth="1"/>
    <col min="16139" max="16140" width="5.140625" style="2" bestFit="1" customWidth="1"/>
    <col min="16141" max="16141" width="6.85546875" style="2" bestFit="1" customWidth="1"/>
    <col min="16142" max="16142" width="6.28515625" style="2" bestFit="1" customWidth="1"/>
    <col min="16143" max="16143" width="7.140625" style="2" bestFit="1" customWidth="1"/>
    <col min="16144" max="16144" width="1.42578125" style="2" customWidth="1"/>
    <col min="16145" max="16147" width="10.7109375" style="2" customWidth="1"/>
    <col min="16148" max="16148" width="11.5703125" style="2" bestFit="1" customWidth="1"/>
    <col min="16149" max="16384" width="11.42578125" style="2"/>
  </cols>
  <sheetData>
    <row r="1" spans="1:25" ht="16.5" thickBot="1" x14ac:dyDescent="0.3">
      <c r="A1" s="226" t="s">
        <v>236</v>
      </c>
      <c r="B1" s="227"/>
      <c r="C1" s="227"/>
      <c r="D1" s="227"/>
      <c r="E1" s="227"/>
      <c r="F1" s="183"/>
      <c r="G1" s="228" t="s">
        <v>0</v>
      </c>
      <c r="H1" s="228"/>
      <c r="I1" s="228"/>
      <c r="J1" s="228"/>
      <c r="K1" s="228"/>
      <c r="L1" s="184"/>
      <c r="M1" s="216"/>
      <c r="N1" s="216"/>
      <c r="O1" s="216"/>
      <c r="P1" s="216"/>
      <c r="Q1" s="217"/>
      <c r="R1" s="180" t="s">
        <v>2</v>
      </c>
      <c r="S1" s="3" t="s">
        <v>1</v>
      </c>
      <c r="T1" s="4" t="s">
        <v>2</v>
      </c>
      <c r="U1" s="5" t="s">
        <v>3</v>
      </c>
      <c r="W1" s="6" t="s">
        <v>4</v>
      </c>
      <c r="Y1" s="7" t="s">
        <v>4</v>
      </c>
    </row>
    <row r="2" spans="1:25" ht="30.75" customHeight="1" x14ac:dyDescent="0.25">
      <c r="A2" s="218" t="s">
        <v>5</v>
      </c>
      <c r="B2" s="219"/>
      <c r="C2" s="219" t="s">
        <v>6</v>
      </c>
      <c r="D2" s="219"/>
      <c r="E2" s="8" t="s">
        <v>7</v>
      </c>
      <c r="F2" s="172"/>
      <c r="G2" s="220" t="s">
        <v>5</v>
      </c>
      <c r="H2" s="221"/>
      <c r="I2" s="220" t="s">
        <v>6</v>
      </c>
      <c r="J2" s="221"/>
      <c r="K2" s="9" t="s">
        <v>7</v>
      </c>
      <c r="L2" s="81"/>
      <c r="M2" s="222" t="s">
        <v>240</v>
      </c>
      <c r="N2" s="222"/>
      <c r="O2" s="223" t="s">
        <v>241</v>
      </c>
      <c r="P2" s="224"/>
      <c r="Q2" s="225"/>
      <c r="R2" s="181">
        <v>10</v>
      </c>
      <c r="S2" s="10" t="s">
        <v>8</v>
      </c>
      <c r="T2" s="11">
        <v>10</v>
      </c>
      <c r="U2" s="12" t="s">
        <v>9</v>
      </c>
      <c r="W2" s="13" t="s">
        <v>10</v>
      </c>
      <c r="Y2" s="14" t="s">
        <v>11</v>
      </c>
    </row>
    <row r="3" spans="1:25" ht="17.25" x14ac:dyDescent="0.25">
      <c r="A3" s="185">
        <v>1.5</v>
      </c>
      <c r="B3" s="15">
        <v>1.72</v>
      </c>
      <c r="C3" s="15">
        <v>40</v>
      </c>
      <c r="D3" s="15">
        <v>34.71</v>
      </c>
      <c r="E3" s="16">
        <v>7.01</v>
      </c>
      <c r="F3" s="172"/>
      <c r="G3" s="17">
        <v>2</v>
      </c>
      <c r="H3" s="17">
        <v>2.29</v>
      </c>
      <c r="I3" s="17">
        <v>30</v>
      </c>
      <c r="J3" s="17">
        <v>26.11</v>
      </c>
      <c r="K3" s="161">
        <v>7.69</v>
      </c>
      <c r="L3" s="81"/>
      <c r="M3" s="230">
        <v>1</v>
      </c>
      <c r="N3" s="230"/>
      <c r="O3" s="230">
        <v>1.5</v>
      </c>
      <c r="P3" s="230"/>
      <c r="Q3" s="231"/>
      <c r="R3" s="182">
        <v>10</v>
      </c>
      <c r="S3" s="18" t="s">
        <v>12</v>
      </c>
      <c r="T3" s="19">
        <v>10</v>
      </c>
      <c r="U3" s="20"/>
      <c r="W3" s="13" t="s">
        <v>13</v>
      </c>
      <c r="Y3" s="21" t="s">
        <v>14</v>
      </c>
    </row>
    <row r="4" spans="1:25" ht="18" thickBot="1" x14ac:dyDescent="0.3">
      <c r="A4" s="185">
        <v>7.73</v>
      </c>
      <c r="B4" s="15">
        <v>7.98</v>
      </c>
      <c r="C4" s="15">
        <v>34.700000000000003</v>
      </c>
      <c r="D4" s="15">
        <v>30.21</v>
      </c>
      <c r="E4" s="16">
        <v>8.06</v>
      </c>
      <c r="F4" s="172"/>
      <c r="G4" s="17">
        <v>2.2999999999999998</v>
      </c>
      <c r="H4" s="17">
        <v>2.64</v>
      </c>
      <c r="I4" s="17">
        <v>26.1</v>
      </c>
      <c r="J4" s="17">
        <v>22.61</v>
      </c>
      <c r="K4" s="161">
        <v>8.84</v>
      </c>
      <c r="L4" s="81"/>
      <c r="M4" s="81"/>
      <c r="N4" s="81"/>
      <c r="O4" s="81"/>
      <c r="P4" s="81"/>
      <c r="Q4" s="186"/>
      <c r="R4" s="182">
        <v>5</v>
      </c>
      <c r="S4" s="18" t="s">
        <v>15</v>
      </c>
      <c r="T4" s="19">
        <v>5</v>
      </c>
      <c r="U4" s="20"/>
      <c r="W4" s="22" t="s">
        <v>16</v>
      </c>
      <c r="Y4" s="23" t="s">
        <v>16</v>
      </c>
    </row>
    <row r="5" spans="1:25" ht="21.75" thickBot="1" x14ac:dyDescent="0.3">
      <c r="A5" s="185">
        <v>1.99</v>
      </c>
      <c r="B5" s="15">
        <v>2.2799999999999998</v>
      </c>
      <c r="C5" s="15">
        <v>30.2</v>
      </c>
      <c r="D5" s="15">
        <v>26.21</v>
      </c>
      <c r="E5" s="16">
        <v>9.27</v>
      </c>
      <c r="F5" s="172"/>
      <c r="G5" s="17">
        <v>2.65</v>
      </c>
      <c r="H5" s="17">
        <v>3.04</v>
      </c>
      <c r="I5" s="17">
        <v>22.6</v>
      </c>
      <c r="J5" s="17">
        <v>19.71</v>
      </c>
      <c r="K5" s="161">
        <v>10.16</v>
      </c>
      <c r="L5" s="81"/>
      <c r="M5" s="237" t="s">
        <v>226</v>
      </c>
      <c r="N5" s="238"/>
      <c r="O5" s="81"/>
      <c r="P5" s="81"/>
      <c r="Q5" s="186"/>
      <c r="R5" s="182">
        <v>5</v>
      </c>
      <c r="S5" s="18" t="s">
        <v>17</v>
      </c>
      <c r="T5" s="19">
        <v>5</v>
      </c>
      <c r="U5" s="20"/>
      <c r="W5" s="13" t="s">
        <v>18</v>
      </c>
      <c r="Y5" s="21" t="s">
        <v>19</v>
      </c>
    </row>
    <row r="6" spans="1:25" ht="18" thickBot="1" x14ac:dyDescent="0.3">
      <c r="A6" s="185">
        <v>2.29</v>
      </c>
      <c r="B6" s="15">
        <v>2.62</v>
      </c>
      <c r="C6" s="15">
        <v>26.2</v>
      </c>
      <c r="D6" s="15">
        <v>22.81</v>
      </c>
      <c r="E6" s="16">
        <v>10.66</v>
      </c>
      <c r="F6" s="172"/>
      <c r="G6" s="17">
        <v>3.05</v>
      </c>
      <c r="H6" s="17">
        <v>3.5</v>
      </c>
      <c r="I6" s="17">
        <v>19.7</v>
      </c>
      <c r="J6" s="17">
        <v>17.11</v>
      </c>
      <c r="K6" s="161">
        <v>11.69</v>
      </c>
      <c r="L6" s="81"/>
      <c r="M6" s="206"/>
      <c r="N6" s="206"/>
      <c r="O6" s="81"/>
      <c r="P6" s="81"/>
      <c r="Q6" s="186"/>
      <c r="R6" s="182">
        <v>2.5</v>
      </c>
      <c r="S6" s="18" t="s">
        <v>20</v>
      </c>
      <c r="T6" s="19">
        <v>2.5</v>
      </c>
      <c r="U6" s="20"/>
      <c r="W6" s="13" t="s">
        <v>21</v>
      </c>
      <c r="Y6" s="21" t="s">
        <v>22</v>
      </c>
    </row>
    <row r="7" spans="1:25" ht="18" thickBot="1" x14ac:dyDescent="0.3">
      <c r="A7" s="185">
        <v>2.63</v>
      </c>
      <c r="B7" s="15">
        <v>3.01</v>
      </c>
      <c r="C7" s="15">
        <v>22.8</v>
      </c>
      <c r="D7" s="15">
        <v>19.91</v>
      </c>
      <c r="E7" s="16">
        <v>12.26</v>
      </c>
      <c r="F7" s="172"/>
      <c r="G7" s="17">
        <v>3.51</v>
      </c>
      <c r="H7" s="17">
        <v>4.03</v>
      </c>
      <c r="I7" s="17">
        <v>17.100000000000001</v>
      </c>
      <c r="J7" s="17">
        <v>14.91</v>
      </c>
      <c r="K7" s="161">
        <v>13.44</v>
      </c>
      <c r="L7" s="81"/>
      <c r="M7" s="212" t="s">
        <v>227</v>
      </c>
      <c r="N7" s="213" t="s">
        <v>228</v>
      </c>
      <c r="O7" s="81"/>
      <c r="P7" s="81"/>
      <c r="Q7" s="186"/>
      <c r="R7" s="182">
        <v>14.5</v>
      </c>
      <c r="S7" s="18" t="s">
        <v>23</v>
      </c>
      <c r="T7" s="19">
        <v>14.5</v>
      </c>
      <c r="U7" s="20"/>
      <c r="W7" s="13" t="s">
        <v>24</v>
      </c>
      <c r="Y7" s="21" t="s">
        <v>25</v>
      </c>
    </row>
    <row r="8" spans="1:25" ht="32.25" thickBot="1" x14ac:dyDescent="0.3">
      <c r="A8" s="185">
        <v>3.02</v>
      </c>
      <c r="B8" s="15">
        <v>3.46</v>
      </c>
      <c r="C8" s="15">
        <v>19.899999999999999</v>
      </c>
      <c r="D8" s="15">
        <v>17.309999999999999</v>
      </c>
      <c r="E8" s="16">
        <v>14.1</v>
      </c>
      <c r="F8" s="172"/>
      <c r="G8" s="17">
        <v>4.04</v>
      </c>
      <c r="H8" s="17">
        <v>4.6399999999999997</v>
      </c>
      <c r="I8" s="17">
        <v>14.9</v>
      </c>
      <c r="J8" s="17">
        <v>12.91</v>
      </c>
      <c r="K8" s="161">
        <v>15.46</v>
      </c>
      <c r="L8" s="81"/>
      <c r="M8" s="210" t="s">
        <v>229</v>
      </c>
      <c r="N8" s="208" t="s">
        <v>233</v>
      </c>
      <c r="O8" s="81"/>
      <c r="P8" s="81"/>
      <c r="Q8" s="186"/>
      <c r="R8" s="182">
        <v>6</v>
      </c>
      <c r="S8" s="18" t="s">
        <v>26</v>
      </c>
      <c r="T8" s="19">
        <v>6</v>
      </c>
      <c r="U8" s="20"/>
      <c r="W8" s="13" t="s">
        <v>27</v>
      </c>
      <c r="Y8" s="21" t="s">
        <v>28</v>
      </c>
    </row>
    <row r="9" spans="1:25" ht="18" thickBot="1" x14ac:dyDescent="0.3">
      <c r="A9" s="185">
        <v>3.47</v>
      </c>
      <c r="B9" s="15">
        <v>3.98</v>
      </c>
      <c r="C9" s="15">
        <v>17.3</v>
      </c>
      <c r="D9" s="15">
        <v>15.01</v>
      </c>
      <c r="E9" s="16">
        <v>16.22</v>
      </c>
      <c r="F9" s="172"/>
      <c r="G9" s="17">
        <v>4.6500000000000004</v>
      </c>
      <c r="H9" s="17">
        <v>5.34</v>
      </c>
      <c r="I9" s="17">
        <v>12.9</v>
      </c>
      <c r="J9" s="17">
        <v>11.21</v>
      </c>
      <c r="K9" s="161">
        <v>17.78</v>
      </c>
      <c r="L9" s="81"/>
      <c r="M9" s="210" t="s">
        <v>230</v>
      </c>
      <c r="N9" s="207" t="s">
        <v>234</v>
      </c>
      <c r="O9" s="81"/>
      <c r="P9" s="81"/>
      <c r="Q9" s="186"/>
      <c r="R9" s="182">
        <v>6</v>
      </c>
      <c r="S9" s="18" t="s">
        <v>29</v>
      </c>
      <c r="T9" s="19">
        <v>6</v>
      </c>
      <c r="U9" s="20"/>
      <c r="W9" s="13" t="s">
        <v>30</v>
      </c>
      <c r="Y9" s="21" t="s">
        <v>31</v>
      </c>
    </row>
    <row r="10" spans="1:25" ht="18" thickBot="1" x14ac:dyDescent="0.3">
      <c r="A10" s="185">
        <v>3.99</v>
      </c>
      <c r="B10" s="15">
        <v>4.58</v>
      </c>
      <c r="C10" s="15">
        <v>15</v>
      </c>
      <c r="D10" s="15">
        <v>13.11</v>
      </c>
      <c r="E10" s="16">
        <v>18.649999999999999</v>
      </c>
      <c r="F10" s="172"/>
      <c r="G10" s="17">
        <v>5.35</v>
      </c>
      <c r="H10" s="17">
        <v>6.14</v>
      </c>
      <c r="I10" s="17">
        <v>11.2</v>
      </c>
      <c r="J10" s="17">
        <v>9.81</v>
      </c>
      <c r="K10" s="161">
        <v>20.440000000000001</v>
      </c>
      <c r="L10" s="81"/>
      <c r="M10" s="211" t="s">
        <v>231</v>
      </c>
      <c r="N10" s="209" t="s">
        <v>232</v>
      </c>
      <c r="O10" s="81"/>
      <c r="P10" s="81"/>
      <c r="Q10" s="186"/>
      <c r="R10" s="182">
        <v>6</v>
      </c>
      <c r="S10" s="18" t="s">
        <v>32</v>
      </c>
      <c r="T10" s="19">
        <v>6</v>
      </c>
      <c r="U10" s="20"/>
      <c r="W10" s="13" t="s">
        <v>33</v>
      </c>
      <c r="Y10" s="21" t="s">
        <v>34</v>
      </c>
    </row>
    <row r="11" spans="1:25" ht="17.25" x14ac:dyDescent="0.25">
      <c r="A11" s="185">
        <v>4.59</v>
      </c>
      <c r="B11" s="15">
        <v>5.27</v>
      </c>
      <c r="C11" s="214">
        <v>13.1</v>
      </c>
      <c r="D11" s="214">
        <v>11.41</v>
      </c>
      <c r="E11" s="215">
        <v>21.45</v>
      </c>
      <c r="F11" s="172"/>
      <c r="G11" s="17">
        <v>6.15</v>
      </c>
      <c r="H11" s="17">
        <v>4.0599999999999996</v>
      </c>
      <c r="I11" s="17">
        <v>9.8000000000000007</v>
      </c>
      <c r="J11" s="17">
        <v>8.51</v>
      </c>
      <c r="K11" s="161">
        <v>23.51</v>
      </c>
      <c r="L11" s="81"/>
      <c r="M11" s="81"/>
      <c r="N11" s="81"/>
      <c r="O11" s="81"/>
      <c r="P11" s="81"/>
      <c r="Q11" s="186"/>
      <c r="R11" s="182">
        <v>5</v>
      </c>
      <c r="S11" s="18" t="s">
        <v>35</v>
      </c>
      <c r="T11" s="19">
        <v>5</v>
      </c>
      <c r="U11" s="20"/>
      <c r="W11" s="13" t="s">
        <v>33</v>
      </c>
      <c r="Y11" s="24" t="s">
        <v>36</v>
      </c>
    </row>
    <row r="12" spans="1:25" ht="17.25" x14ac:dyDescent="0.25">
      <c r="A12" s="185">
        <v>5.28</v>
      </c>
      <c r="B12" s="15">
        <v>6.06</v>
      </c>
      <c r="C12" s="15">
        <v>11.4</v>
      </c>
      <c r="D12" s="15">
        <v>9.91</v>
      </c>
      <c r="E12" s="16">
        <v>24.67</v>
      </c>
      <c r="F12" s="172"/>
      <c r="G12" s="17">
        <v>7.07</v>
      </c>
      <c r="H12" s="17">
        <v>8.1199999999999992</v>
      </c>
      <c r="I12" s="17">
        <v>8.5</v>
      </c>
      <c r="J12" s="17">
        <v>7.41</v>
      </c>
      <c r="K12" s="161">
        <v>27.04</v>
      </c>
      <c r="L12" s="81"/>
      <c r="M12" s="81"/>
      <c r="N12" s="81"/>
      <c r="O12" s="81"/>
      <c r="P12" s="81"/>
      <c r="Q12" s="186"/>
      <c r="R12" s="182">
        <v>14</v>
      </c>
      <c r="S12" s="18" t="s">
        <v>37</v>
      </c>
      <c r="T12" s="19">
        <v>14</v>
      </c>
      <c r="U12" s="20"/>
      <c r="W12" s="25" t="s">
        <v>36</v>
      </c>
      <c r="Y12" s="21" t="s">
        <v>38</v>
      </c>
    </row>
    <row r="13" spans="1:25" ht="17.25" x14ac:dyDescent="0.25">
      <c r="A13" s="185">
        <v>6.07</v>
      </c>
      <c r="B13" s="15">
        <v>6.97</v>
      </c>
      <c r="C13" s="15">
        <v>9.9</v>
      </c>
      <c r="D13" s="15">
        <v>8.61</v>
      </c>
      <c r="E13" s="16">
        <v>28.37</v>
      </c>
      <c r="F13" s="172"/>
      <c r="G13" s="17">
        <v>8.1300000000000008</v>
      </c>
      <c r="H13" s="17">
        <v>9.34</v>
      </c>
      <c r="I13" s="17">
        <v>7.4</v>
      </c>
      <c r="J13" s="17">
        <v>6.41</v>
      </c>
      <c r="K13" s="161">
        <v>31.09</v>
      </c>
      <c r="L13" s="81"/>
      <c r="M13" s="81"/>
      <c r="N13" s="81"/>
      <c r="O13" s="81"/>
      <c r="P13" s="81"/>
      <c r="Q13" s="186"/>
      <c r="R13" s="182">
        <v>10</v>
      </c>
      <c r="S13" s="18" t="s">
        <v>39</v>
      </c>
      <c r="T13" s="19">
        <v>10</v>
      </c>
      <c r="U13" s="20"/>
      <c r="W13" s="25" t="s">
        <v>36</v>
      </c>
      <c r="Y13" s="23" t="s">
        <v>40</v>
      </c>
    </row>
    <row r="14" spans="1:25" ht="17.25" x14ac:dyDescent="0.25">
      <c r="A14" s="185">
        <v>6.98</v>
      </c>
      <c r="B14" s="15">
        <v>8.02</v>
      </c>
      <c r="C14" s="15">
        <v>8.6</v>
      </c>
      <c r="D14" s="15">
        <v>7.51</v>
      </c>
      <c r="E14" s="16">
        <v>32.619999999999997</v>
      </c>
      <c r="F14" s="172"/>
      <c r="G14" s="17">
        <v>9.35</v>
      </c>
      <c r="H14" s="17">
        <v>10.74</v>
      </c>
      <c r="I14" s="17">
        <v>6.4</v>
      </c>
      <c r="J14" s="17">
        <v>5.61</v>
      </c>
      <c r="K14" s="161">
        <v>35.76</v>
      </c>
      <c r="L14" s="81"/>
      <c r="M14" s="81"/>
      <c r="N14" s="81"/>
      <c r="O14" s="81"/>
      <c r="P14" s="81"/>
      <c r="Q14" s="186"/>
      <c r="R14" s="182">
        <v>20</v>
      </c>
      <c r="S14" s="18" t="s">
        <v>41</v>
      </c>
      <c r="T14" s="19">
        <v>20</v>
      </c>
      <c r="U14" s="20"/>
      <c r="W14" s="25" t="s">
        <v>36</v>
      </c>
      <c r="Y14" s="21" t="s">
        <v>42</v>
      </c>
    </row>
    <row r="15" spans="1:25" ht="18.75" x14ac:dyDescent="0.25">
      <c r="A15" s="185">
        <v>8.0299999999999994</v>
      </c>
      <c r="B15" s="15">
        <v>9.2200000000000006</v>
      </c>
      <c r="C15" s="15">
        <v>7.5</v>
      </c>
      <c r="D15" s="15">
        <v>6.51</v>
      </c>
      <c r="E15" s="16">
        <v>37.520000000000003</v>
      </c>
      <c r="F15" s="172"/>
      <c r="G15" s="17">
        <v>10.75</v>
      </c>
      <c r="H15" s="17">
        <v>12.35</v>
      </c>
      <c r="I15" s="17">
        <v>5.6</v>
      </c>
      <c r="J15" s="17">
        <v>4.91</v>
      </c>
      <c r="K15" s="161">
        <v>41.12</v>
      </c>
      <c r="L15" s="81"/>
      <c r="M15" s="81"/>
      <c r="N15" s="81"/>
      <c r="O15" s="81"/>
      <c r="P15" s="81"/>
      <c r="Q15" s="186"/>
      <c r="R15" s="182">
        <v>70</v>
      </c>
      <c r="S15" s="18" t="s">
        <v>43</v>
      </c>
      <c r="T15" s="19">
        <v>70</v>
      </c>
      <c r="U15" s="20"/>
      <c r="W15" s="25" t="s">
        <v>36</v>
      </c>
      <c r="Y15" s="26" t="s">
        <v>44</v>
      </c>
    </row>
    <row r="16" spans="1:25" ht="19.5" thickBot="1" x14ac:dyDescent="0.3">
      <c r="A16" s="187">
        <v>9.23</v>
      </c>
      <c r="B16" s="188">
        <v>10.6</v>
      </c>
      <c r="C16" s="188">
        <v>6.5</v>
      </c>
      <c r="D16" s="188">
        <v>5.7</v>
      </c>
      <c r="E16" s="189">
        <v>43.14</v>
      </c>
      <c r="F16" s="178"/>
      <c r="G16" s="190">
        <v>12.36</v>
      </c>
      <c r="H16" s="190">
        <v>14.2</v>
      </c>
      <c r="I16" s="190">
        <v>4.9000000000000004</v>
      </c>
      <c r="J16" s="190">
        <v>4.2</v>
      </c>
      <c r="K16" s="191">
        <v>47.29</v>
      </c>
      <c r="L16" s="179"/>
      <c r="M16" s="179"/>
      <c r="N16" s="192"/>
      <c r="O16" s="179"/>
      <c r="P16" s="179"/>
      <c r="Q16" s="193"/>
      <c r="R16" s="182">
        <v>10</v>
      </c>
      <c r="S16" s="18" t="s">
        <v>45</v>
      </c>
      <c r="T16" s="19">
        <v>10</v>
      </c>
      <c r="U16" s="20"/>
      <c r="W16" s="25" t="s">
        <v>36</v>
      </c>
      <c r="Y16" s="26" t="s">
        <v>46</v>
      </c>
    </row>
    <row r="17" spans="1:25" ht="18" thickBot="1" x14ac:dyDescent="0.3">
      <c r="N17" s="160"/>
      <c r="R17" s="19">
        <v>30</v>
      </c>
      <c r="S17" s="18" t="s">
        <v>47</v>
      </c>
      <c r="T17" s="19">
        <v>30</v>
      </c>
      <c r="U17" s="20"/>
      <c r="W17" s="13" t="s">
        <v>48</v>
      </c>
      <c r="Y17" s="21" t="s">
        <v>49</v>
      </c>
    </row>
    <row r="18" spans="1:25" ht="17.25" x14ac:dyDescent="0.25">
      <c r="A18" s="239" t="s">
        <v>235</v>
      </c>
      <c r="B18" s="240"/>
      <c r="C18" s="240"/>
      <c r="D18" s="240"/>
      <c r="E18" s="240"/>
      <c r="F18" s="183"/>
      <c r="G18" s="228" t="s">
        <v>50</v>
      </c>
      <c r="H18" s="228"/>
      <c r="I18" s="228"/>
      <c r="J18" s="228"/>
      <c r="K18" s="228"/>
      <c r="L18" s="184"/>
      <c r="M18" s="184"/>
      <c r="N18" s="204"/>
      <c r="O18" s="184"/>
      <c r="P18" s="184"/>
      <c r="Q18" s="205"/>
      <c r="R18" s="182">
        <v>40</v>
      </c>
      <c r="S18" s="18" t="s">
        <v>51</v>
      </c>
      <c r="T18" s="19">
        <v>40</v>
      </c>
      <c r="U18" s="20"/>
      <c r="W18" s="22" t="s">
        <v>52</v>
      </c>
      <c r="Y18" s="21" t="s">
        <v>53</v>
      </c>
    </row>
    <row r="19" spans="1:25" ht="29.25" customHeight="1" x14ac:dyDescent="0.25">
      <c r="A19" s="218" t="s">
        <v>5</v>
      </c>
      <c r="B19" s="219"/>
      <c r="C19" s="219" t="s">
        <v>6</v>
      </c>
      <c r="D19" s="219"/>
      <c r="E19" s="8" t="s">
        <v>7</v>
      </c>
      <c r="F19" s="172"/>
      <c r="G19" s="220" t="s">
        <v>5</v>
      </c>
      <c r="H19" s="221"/>
      <c r="I19" s="220" t="s">
        <v>6</v>
      </c>
      <c r="J19" s="221"/>
      <c r="K19" s="9" t="s">
        <v>7</v>
      </c>
      <c r="L19" s="81"/>
      <c r="O19" s="81"/>
      <c r="P19" s="81"/>
      <c r="Q19" s="186"/>
      <c r="R19" s="182">
        <v>20</v>
      </c>
      <c r="S19" s="18" t="s">
        <v>54</v>
      </c>
      <c r="T19" s="19">
        <v>20</v>
      </c>
      <c r="U19" s="20"/>
      <c r="W19" s="13" t="s">
        <v>55</v>
      </c>
      <c r="Y19" s="23" t="s">
        <v>56</v>
      </c>
    </row>
    <row r="20" spans="1:25" ht="18.75" x14ac:dyDescent="0.25">
      <c r="A20" s="185">
        <v>2</v>
      </c>
      <c r="B20" s="15">
        <v>2.29</v>
      </c>
      <c r="C20" s="15">
        <v>30</v>
      </c>
      <c r="D20" s="15">
        <v>26.11</v>
      </c>
      <c r="E20" s="16">
        <v>8</v>
      </c>
      <c r="F20" s="172"/>
      <c r="G20" s="17">
        <v>0.6</v>
      </c>
      <c r="H20" s="17">
        <v>0.68</v>
      </c>
      <c r="I20" s="17">
        <v>100</v>
      </c>
      <c r="J20" s="17">
        <v>87.01</v>
      </c>
      <c r="K20" s="161">
        <v>25.05</v>
      </c>
      <c r="L20" s="81"/>
      <c r="O20" s="81"/>
      <c r="P20" s="81"/>
      <c r="Q20" s="186"/>
      <c r="R20" s="182">
        <v>112</v>
      </c>
      <c r="S20" s="18" t="s">
        <v>57</v>
      </c>
      <c r="T20" s="19">
        <v>112</v>
      </c>
      <c r="U20" s="20"/>
      <c r="W20" s="28" t="s">
        <v>52</v>
      </c>
      <c r="Y20" s="21" t="s">
        <v>58</v>
      </c>
    </row>
    <row r="21" spans="1:25" ht="18.75" x14ac:dyDescent="0.25">
      <c r="A21" s="185">
        <v>2.2999999999999998</v>
      </c>
      <c r="B21" s="15">
        <v>2.64</v>
      </c>
      <c r="C21" s="15">
        <v>26.1</v>
      </c>
      <c r="D21" s="15">
        <v>22.61</v>
      </c>
      <c r="E21" s="16">
        <v>9.2100000000000009</v>
      </c>
      <c r="F21" s="172"/>
      <c r="G21" s="17">
        <v>0.69</v>
      </c>
      <c r="H21" s="17">
        <v>0.78</v>
      </c>
      <c r="I21" s="17">
        <v>87</v>
      </c>
      <c r="J21" s="17">
        <v>75.91</v>
      </c>
      <c r="K21" s="161">
        <v>28.81</v>
      </c>
      <c r="L21" s="81"/>
      <c r="O21" s="81"/>
      <c r="P21" s="81"/>
      <c r="Q21" s="186"/>
      <c r="R21" s="182">
        <v>7</v>
      </c>
      <c r="S21" s="18" t="s">
        <v>59</v>
      </c>
      <c r="T21" s="19">
        <v>7</v>
      </c>
      <c r="U21" s="20"/>
      <c r="W21" s="29" t="s">
        <v>60</v>
      </c>
      <c r="Y21" s="21" t="s">
        <v>61</v>
      </c>
    </row>
    <row r="22" spans="1:25" ht="18.75" x14ac:dyDescent="0.25">
      <c r="A22" s="185">
        <v>2.65</v>
      </c>
      <c r="B22" s="15">
        <v>30.4</v>
      </c>
      <c r="C22" s="15">
        <v>22.6</v>
      </c>
      <c r="D22" s="15">
        <v>19.71</v>
      </c>
      <c r="E22" s="16">
        <v>10.59</v>
      </c>
      <c r="F22" s="172"/>
      <c r="G22" s="17">
        <v>0.79</v>
      </c>
      <c r="H22" s="17">
        <v>0.9</v>
      </c>
      <c r="I22" s="17">
        <v>75.900000000000006</v>
      </c>
      <c r="J22" s="17">
        <v>65.91</v>
      </c>
      <c r="K22" s="161">
        <v>33.130000000000003</v>
      </c>
      <c r="L22" s="81"/>
      <c r="O22" s="81"/>
      <c r="P22" s="81"/>
      <c r="Q22" s="186"/>
      <c r="R22" s="194">
        <v>10</v>
      </c>
      <c r="S22" s="30" t="s">
        <v>62</v>
      </c>
      <c r="T22" s="31">
        <v>10</v>
      </c>
      <c r="U22" s="32"/>
      <c r="W22" s="29" t="s">
        <v>63</v>
      </c>
      <c r="Y22" s="21" t="s">
        <v>64</v>
      </c>
    </row>
    <row r="23" spans="1:25" ht="18.75" x14ac:dyDescent="0.25">
      <c r="A23" s="185">
        <v>3.05</v>
      </c>
      <c r="B23" s="15">
        <v>3.5</v>
      </c>
      <c r="C23" s="15">
        <v>19.7</v>
      </c>
      <c r="D23" s="15">
        <v>17.11</v>
      </c>
      <c r="E23" s="16">
        <v>12.17</v>
      </c>
      <c r="F23" s="172"/>
      <c r="G23" s="17">
        <v>0.91</v>
      </c>
      <c r="H23" s="17">
        <v>1.04</v>
      </c>
      <c r="I23" s="17">
        <v>65.900000000000006</v>
      </c>
      <c r="J23" s="17">
        <v>57.11</v>
      </c>
      <c r="K23" s="161">
        <v>38.1</v>
      </c>
      <c r="L23" s="81"/>
      <c r="O23" s="81"/>
      <c r="P23" s="81"/>
      <c r="Q23" s="186"/>
      <c r="R23" s="195">
        <v>10</v>
      </c>
      <c r="S23" s="33" t="s">
        <v>65</v>
      </c>
      <c r="T23" s="34">
        <v>10</v>
      </c>
      <c r="U23" s="35" t="s">
        <v>66</v>
      </c>
      <c r="W23" s="29" t="s">
        <v>60</v>
      </c>
      <c r="Y23" s="21" t="s">
        <v>67</v>
      </c>
    </row>
    <row r="24" spans="1:25" ht="17.25" x14ac:dyDescent="0.25">
      <c r="A24" s="185">
        <v>3.51</v>
      </c>
      <c r="B24" s="15">
        <v>4.03</v>
      </c>
      <c r="C24" s="15">
        <v>17.100000000000001</v>
      </c>
      <c r="D24" s="15">
        <v>14.91</v>
      </c>
      <c r="E24" s="16">
        <v>14</v>
      </c>
      <c r="F24" s="172"/>
      <c r="G24" s="17">
        <v>1.05</v>
      </c>
      <c r="H24" s="17">
        <v>1.2</v>
      </c>
      <c r="I24" s="17">
        <v>57.1</v>
      </c>
      <c r="J24" s="17">
        <v>49.61</v>
      </c>
      <c r="K24" s="161">
        <v>43.81</v>
      </c>
      <c r="L24" s="81"/>
      <c r="O24" s="81"/>
      <c r="P24" s="81"/>
      <c r="Q24" s="186"/>
      <c r="R24" s="196">
        <v>10</v>
      </c>
      <c r="S24" s="36" t="s">
        <v>68</v>
      </c>
      <c r="T24" s="37">
        <v>10</v>
      </c>
      <c r="U24" s="38"/>
      <c r="W24" s="13" t="s">
        <v>69</v>
      </c>
      <c r="Y24" s="21" t="s">
        <v>70</v>
      </c>
    </row>
    <row r="25" spans="1:25" ht="17.25" x14ac:dyDescent="0.25">
      <c r="A25" s="185">
        <v>4.04</v>
      </c>
      <c r="B25" s="15">
        <v>4.6399999999999997</v>
      </c>
      <c r="C25" s="15">
        <v>14.9</v>
      </c>
      <c r="D25" s="15">
        <v>12.91</v>
      </c>
      <c r="E25" s="16">
        <v>16.100000000000001</v>
      </c>
      <c r="F25" s="172"/>
      <c r="G25" s="17">
        <v>1.21</v>
      </c>
      <c r="H25" s="17">
        <v>1.38</v>
      </c>
      <c r="I25" s="17">
        <v>49.6</v>
      </c>
      <c r="J25" s="17">
        <v>43.21</v>
      </c>
      <c r="K25" s="161">
        <v>50.38</v>
      </c>
      <c r="L25" s="81"/>
      <c r="M25" s="81"/>
      <c r="N25" s="81"/>
      <c r="O25" s="81"/>
      <c r="P25" s="81"/>
      <c r="Q25" s="186"/>
      <c r="R25" s="196">
        <v>12</v>
      </c>
      <c r="S25" s="36" t="s">
        <v>71</v>
      </c>
      <c r="T25" s="37">
        <v>12</v>
      </c>
      <c r="U25" s="38"/>
      <c r="W25" s="13" t="s">
        <v>72</v>
      </c>
      <c r="Y25" s="21" t="s">
        <v>73</v>
      </c>
    </row>
    <row r="26" spans="1:25" ht="17.25" x14ac:dyDescent="0.25">
      <c r="A26" s="185">
        <v>4.6500000000000004</v>
      </c>
      <c r="B26" s="15">
        <v>5.34</v>
      </c>
      <c r="C26" s="15">
        <v>12.9</v>
      </c>
      <c r="D26" s="15">
        <v>11.21</v>
      </c>
      <c r="E26" s="16">
        <v>18.52</v>
      </c>
      <c r="F26" s="172"/>
      <c r="G26" s="17">
        <v>1.39</v>
      </c>
      <c r="H26" s="17">
        <v>1.59</v>
      </c>
      <c r="I26" s="17">
        <v>43.2</v>
      </c>
      <c r="J26" s="17">
        <v>37.51</v>
      </c>
      <c r="K26" s="161">
        <v>57.94</v>
      </c>
      <c r="L26" s="81"/>
      <c r="M26" s="81"/>
      <c r="N26" s="81"/>
      <c r="O26" s="81"/>
      <c r="P26" s="81"/>
      <c r="Q26" s="186"/>
      <c r="R26" s="197">
        <v>14</v>
      </c>
      <c r="S26" s="39" t="s">
        <v>36</v>
      </c>
      <c r="T26" s="40">
        <v>14</v>
      </c>
      <c r="U26" s="41"/>
      <c r="W26" s="13" t="s">
        <v>30</v>
      </c>
      <c r="Y26" s="21" t="s">
        <v>74</v>
      </c>
    </row>
    <row r="27" spans="1:25" ht="17.25" x14ac:dyDescent="0.25">
      <c r="A27" s="185">
        <v>5.35</v>
      </c>
      <c r="B27" s="15">
        <v>6.14</v>
      </c>
      <c r="C27" s="15">
        <v>11.2</v>
      </c>
      <c r="D27" s="15">
        <v>9.81</v>
      </c>
      <c r="E27" s="16">
        <v>21.29</v>
      </c>
      <c r="F27" s="172"/>
      <c r="G27" s="17">
        <v>1.6</v>
      </c>
      <c r="H27" s="17">
        <v>1.83</v>
      </c>
      <c r="I27" s="17">
        <v>37.5</v>
      </c>
      <c r="J27" s="17">
        <v>32.61</v>
      </c>
      <c r="K27" s="161">
        <v>66.63</v>
      </c>
      <c r="L27" s="81"/>
      <c r="M27" s="81"/>
      <c r="N27" s="81"/>
      <c r="O27" s="81"/>
      <c r="P27" s="81"/>
      <c r="Q27" s="186"/>
      <c r="R27" s="198">
        <v>56</v>
      </c>
      <c r="S27" s="42" t="s">
        <v>75</v>
      </c>
      <c r="T27" s="43">
        <v>56</v>
      </c>
      <c r="U27" s="44" t="s">
        <v>76</v>
      </c>
      <c r="W27" s="13" t="s">
        <v>33</v>
      </c>
      <c r="Y27" s="21" t="s">
        <v>77</v>
      </c>
    </row>
    <row r="28" spans="1:25" ht="17.25" x14ac:dyDescent="0.25">
      <c r="A28" s="185">
        <v>6.15</v>
      </c>
      <c r="B28" s="15">
        <v>7.06</v>
      </c>
      <c r="C28" s="15">
        <v>9.8000000000000007</v>
      </c>
      <c r="D28" s="15">
        <v>8.51</v>
      </c>
      <c r="E28" s="16">
        <v>24.49</v>
      </c>
      <c r="F28" s="172"/>
      <c r="G28" s="17">
        <v>1.81</v>
      </c>
      <c r="H28" s="17">
        <v>2.11</v>
      </c>
      <c r="I28" s="17">
        <v>32.6</v>
      </c>
      <c r="J28" s="17">
        <v>28.31</v>
      </c>
      <c r="K28" s="161">
        <v>76.62</v>
      </c>
      <c r="L28" s="81"/>
      <c r="M28" s="81"/>
      <c r="N28" s="81"/>
      <c r="O28" s="81"/>
      <c r="P28" s="81"/>
      <c r="Q28" s="186"/>
      <c r="R28" s="199">
        <v>16</v>
      </c>
      <c r="S28" s="45" t="s">
        <v>78</v>
      </c>
      <c r="T28" s="46">
        <v>16</v>
      </c>
      <c r="U28" s="47"/>
      <c r="W28" s="13" t="s">
        <v>33</v>
      </c>
      <c r="Y28" s="21" t="s">
        <v>79</v>
      </c>
    </row>
    <row r="29" spans="1:25" ht="17.25" x14ac:dyDescent="0.25">
      <c r="A29" s="185">
        <v>7.07</v>
      </c>
      <c r="B29" s="15">
        <v>8.1199999999999992</v>
      </c>
      <c r="C29" s="15">
        <v>8.5</v>
      </c>
      <c r="D29" s="15">
        <v>7.41</v>
      </c>
      <c r="E29" s="16">
        <v>28.16</v>
      </c>
      <c r="F29" s="172"/>
      <c r="G29" s="17">
        <v>2.12</v>
      </c>
      <c r="H29" s="17">
        <v>2.4300000000000002</v>
      </c>
      <c r="I29" s="17">
        <v>28.3</v>
      </c>
      <c r="J29" s="17">
        <v>24.61</v>
      </c>
      <c r="K29" s="161">
        <v>88.12</v>
      </c>
      <c r="L29" s="81"/>
      <c r="M29" s="81"/>
      <c r="N29" s="81"/>
      <c r="O29" s="81"/>
      <c r="P29" s="81"/>
      <c r="Q29" s="186"/>
      <c r="R29" s="199">
        <v>11.5</v>
      </c>
      <c r="S29" s="45" t="s">
        <v>80</v>
      </c>
      <c r="T29" s="46">
        <v>11.5</v>
      </c>
      <c r="U29" s="47"/>
      <c r="W29" s="22" t="s">
        <v>81</v>
      </c>
      <c r="Y29" s="21" t="s">
        <v>82</v>
      </c>
    </row>
    <row r="30" spans="1:25" ht="17.25" x14ac:dyDescent="0.25">
      <c r="A30" s="185">
        <v>8.1300000000000008</v>
      </c>
      <c r="B30" s="15">
        <v>9.34</v>
      </c>
      <c r="C30" s="15">
        <v>7.4</v>
      </c>
      <c r="D30" s="15">
        <v>6.41</v>
      </c>
      <c r="E30" s="16">
        <v>32.380000000000003</v>
      </c>
      <c r="F30" s="172"/>
      <c r="G30" s="17">
        <v>2.44</v>
      </c>
      <c r="H30" s="17">
        <v>2.8</v>
      </c>
      <c r="I30" s="17">
        <v>24.6</v>
      </c>
      <c r="J30" s="17">
        <v>21.41</v>
      </c>
      <c r="K30" s="161">
        <v>101.34</v>
      </c>
      <c r="L30" s="81"/>
      <c r="M30" s="81"/>
      <c r="N30" s="81"/>
      <c r="O30" s="81"/>
      <c r="P30" s="81"/>
      <c r="Q30" s="186"/>
      <c r="R30" s="200">
        <v>23.47</v>
      </c>
      <c r="S30" s="48" t="s">
        <v>83</v>
      </c>
      <c r="T30" s="49">
        <v>23.47</v>
      </c>
      <c r="U30" s="50"/>
      <c r="W30" s="22" t="s">
        <v>52</v>
      </c>
      <c r="Y30" s="21" t="s">
        <v>84</v>
      </c>
    </row>
    <row r="31" spans="1:25" ht="18.75" x14ac:dyDescent="0.25">
      <c r="A31" s="185">
        <v>9.35</v>
      </c>
      <c r="B31" s="15">
        <v>10.74</v>
      </c>
      <c r="C31" s="15">
        <v>6.4</v>
      </c>
      <c r="D31" s="15">
        <v>5.61</v>
      </c>
      <c r="E31" s="16">
        <v>37.24</v>
      </c>
      <c r="F31" s="172"/>
      <c r="G31" s="17">
        <v>2.81</v>
      </c>
      <c r="H31" s="17">
        <v>3.22</v>
      </c>
      <c r="I31" s="17">
        <v>21.4</v>
      </c>
      <c r="J31" s="17">
        <v>18.61</v>
      </c>
      <c r="K31" s="161">
        <v>116.54</v>
      </c>
      <c r="L31" s="81"/>
      <c r="M31" s="81"/>
      <c r="N31" s="81"/>
      <c r="O31" s="81"/>
      <c r="P31" s="81"/>
      <c r="Q31" s="186"/>
      <c r="R31" s="201">
        <v>40</v>
      </c>
      <c r="S31" s="51" t="s">
        <v>85</v>
      </c>
      <c r="T31" s="52">
        <v>40</v>
      </c>
      <c r="U31" s="53" t="s">
        <v>86</v>
      </c>
      <c r="W31" s="28" t="s">
        <v>81</v>
      </c>
      <c r="Y31" s="21" t="s">
        <v>87</v>
      </c>
    </row>
    <row r="32" spans="1:25" ht="18.75" x14ac:dyDescent="0.25">
      <c r="A32" s="185">
        <v>10.75</v>
      </c>
      <c r="B32" s="15">
        <v>12.35</v>
      </c>
      <c r="C32" s="15">
        <v>5.6</v>
      </c>
      <c r="D32" s="15">
        <v>4.91</v>
      </c>
      <c r="E32" s="16">
        <v>42.83</v>
      </c>
      <c r="F32" s="172"/>
      <c r="G32" s="17">
        <v>3.23</v>
      </c>
      <c r="H32" s="17">
        <v>3.7</v>
      </c>
      <c r="I32" s="17">
        <v>18.600000000000001</v>
      </c>
      <c r="J32" s="17">
        <v>16.21</v>
      </c>
      <c r="K32" s="161">
        <v>134.02000000000001</v>
      </c>
      <c r="L32" s="81"/>
      <c r="M32" s="81"/>
      <c r="N32" s="81"/>
      <c r="O32" s="81"/>
      <c r="P32" s="81"/>
      <c r="Q32" s="186"/>
      <c r="R32" s="202">
        <v>185.71</v>
      </c>
      <c r="S32" s="54" t="s">
        <v>88</v>
      </c>
      <c r="T32" s="55">
        <v>185.71</v>
      </c>
      <c r="U32" s="56"/>
      <c r="W32" s="28" t="s">
        <v>81</v>
      </c>
      <c r="Y32" s="21" t="s">
        <v>89</v>
      </c>
    </row>
    <row r="33" spans="1:29" ht="19.5" thickBot="1" x14ac:dyDescent="0.3">
      <c r="A33" s="187">
        <v>12.36</v>
      </c>
      <c r="B33" s="188">
        <v>14.2</v>
      </c>
      <c r="C33" s="188">
        <v>4.9000000000000004</v>
      </c>
      <c r="D33" s="188">
        <v>4.2</v>
      </c>
      <c r="E33" s="189">
        <v>49.25</v>
      </c>
      <c r="F33" s="178"/>
      <c r="G33" s="190">
        <v>3.71</v>
      </c>
      <c r="H33" s="190">
        <v>4.26</v>
      </c>
      <c r="I33" s="190">
        <v>16.2</v>
      </c>
      <c r="J33" s="190">
        <v>14.1</v>
      </c>
      <c r="K33" s="191">
        <v>154.12</v>
      </c>
      <c r="L33" s="179"/>
      <c r="M33" s="179"/>
      <c r="N33" s="179"/>
      <c r="O33" s="179"/>
      <c r="P33" s="179"/>
      <c r="Q33" s="193"/>
      <c r="R33" s="203">
        <v>20</v>
      </c>
      <c r="S33" s="57" t="s">
        <v>90</v>
      </c>
      <c r="T33" s="58">
        <v>20</v>
      </c>
      <c r="U33" s="59"/>
      <c r="W33" s="29" t="s">
        <v>60</v>
      </c>
      <c r="Y33" s="21" t="s">
        <v>91</v>
      </c>
    </row>
    <row r="34" spans="1:29" ht="18" thickBot="1" x14ac:dyDescent="0.3">
      <c r="R34" s="61">
        <v>6</v>
      </c>
      <c r="S34" s="60" t="s">
        <v>92</v>
      </c>
      <c r="T34" s="61">
        <v>6</v>
      </c>
      <c r="U34" s="62" t="s">
        <v>76</v>
      </c>
      <c r="W34" s="13" t="s">
        <v>60</v>
      </c>
      <c r="Y34" s="21" t="s">
        <v>93</v>
      </c>
    </row>
    <row r="35" spans="1:29" ht="17.25" x14ac:dyDescent="0.25">
      <c r="A35" s="232" t="s">
        <v>94</v>
      </c>
      <c r="B35" s="233"/>
      <c r="C35" s="233"/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4"/>
      <c r="R35" s="164">
        <v>10</v>
      </c>
      <c r="S35" s="63" t="s">
        <v>95</v>
      </c>
      <c r="T35" s="64">
        <v>10</v>
      </c>
      <c r="U35" s="65"/>
      <c r="W35" s="13" t="s">
        <v>81</v>
      </c>
      <c r="Y35" s="66" t="s">
        <v>96</v>
      </c>
    </row>
    <row r="36" spans="1:29" ht="17.25" x14ac:dyDescent="0.25">
      <c r="A36" s="235" t="s">
        <v>237</v>
      </c>
      <c r="B36" s="236"/>
      <c r="C36" s="236"/>
      <c r="D36" s="236"/>
      <c r="E36" s="236"/>
      <c r="F36" s="172"/>
      <c r="G36" s="235" t="s">
        <v>238</v>
      </c>
      <c r="H36" s="236"/>
      <c r="I36" s="236"/>
      <c r="J36" s="236"/>
      <c r="K36" s="236"/>
      <c r="L36" s="81"/>
      <c r="M36" s="235" t="s">
        <v>239</v>
      </c>
      <c r="N36" s="236"/>
      <c r="O36" s="236"/>
      <c r="P36" s="236"/>
      <c r="Q36" s="236"/>
      <c r="R36" s="164">
        <v>10</v>
      </c>
      <c r="S36" s="63" t="s">
        <v>97</v>
      </c>
      <c r="T36" s="64">
        <v>10</v>
      </c>
      <c r="U36" s="65"/>
      <c r="W36" s="13" t="s">
        <v>52</v>
      </c>
      <c r="Y36" s="21" t="s">
        <v>98</v>
      </c>
    </row>
    <row r="37" spans="1:29" ht="34.5" customHeight="1" x14ac:dyDescent="0.25">
      <c r="A37" s="218" t="s">
        <v>99</v>
      </c>
      <c r="B37" s="219"/>
      <c r="C37" s="219" t="s">
        <v>100</v>
      </c>
      <c r="D37" s="219"/>
      <c r="E37" s="162" t="s">
        <v>7</v>
      </c>
      <c r="F37" s="173"/>
      <c r="G37" s="220" t="s">
        <v>101</v>
      </c>
      <c r="H37" s="221"/>
      <c r="I37" s="220" t="s">
        <v>100</v>
      </c>
      <c r="J37" s="221"/>
      <c r="K37" s="67" t="s">
        <v>7</v>
      </c>
      <c r="L37" s="81"/>
      <c r="M37" s="220" t="s">
        <v>101</v>
      </c>
      <c r="N37" s="221"/>
      <c r="O37" s="220" t="s">
        <v>100</v>
      </c>
      <c r="P37" s="221"/>
      <c r="Q37" s="174" t="s">
        <v>7</v>
      </c>
      <c r="R37" s="164">
        <v>2.5</v>
      </c>
      <c r="S37" s="63" t="s">
        <v>102</v>
      </c>
      <c r="T37" s="64">
        <v>2.5</v>
      </c>
      <c r="U37" s="65"/>
      <c r="W37" s="13" t="s">
        <v>52</v>
      </c>
      <c r="Y37" s="21" t="s">
        <v>103</v>
      </c>
    </row>
    <row r="38" spans="1:29" ht="15" customHeight="1" x14ac:dyDescent="0.25">
      <c r="A38" s="175">
        <v>0.75</v>
      </c>
      <c r="B38" s="16">
        <v>0.85</v>
      </c>
      <c r="C38" s="16">
        <v>80</v>
      </c>
      <c r="D38" s="16">
        <v>69.81</v>
      </c>
      <c r="E38" s="68">
        <v>13.62</v>
      </c>
      <c r="F38" s="176"/>
      <c r="G38" s="161">
        <v>0.87</v>
      </c>
      <c r="H38" s="161">
        <v>0.99</v>
      </c>
      <c r="I38" s="161">
        <v>69</v>
      </c>
      <c r="J38" s="161">
        <v>60.1</v>
      </c>
      <c r="K38" s="70">
        <v>13.62</v>
      </c>
      <c r="L38" s="81"/>
      <c r="M38" s="161">
        <v>1.35</v>
      </c>
      <c r="N38" s="161">
        <v>1.54</v>
      </c>
      <c r="O38" s="161">
        <v>44.4</v>
      </c>
      <c r="P38" s="161">
        <v>38.71</v>
      </c>
      <c r="Q38" s="177">
        <v>6.8</v>
      </c>
      <c r="R38" s="164">
        <v>15</v>
      </c>
      <c r="S38" s="63" t="s">
        <v>104</v>
      </c>
      <c r="T38" s="64">
        <v>15</v>
      </c>
      <c r="U38" s="65"/>
      <c r="W38" s="13" t="s">
        <v>30</v>
      </c>
      <c r="Y38" s="21" t="s">
        <v>105</v>
      </c>
    </row>
    <row r="39" spans="1:29" ht="17.25" x14ac:dyDescent="0.25">
      <c r="A39" s="175">
        <v>0.86</v>
      </c>
      <c r="B39" s="16">
        <v>0.98</v>
      </c>
      <c r="C39" s="16">
        <v>69.8</v>
      </c>
      <c r="D39" s="16">
        <v>60.61</v>
      </c>
      <c r="E39" s="68">
        <v>15.66</v>
      </c>
      <c r="F39" s="176"/>
      <c r="G39" s="161">
        <v>1</v>
      </c>
      <c r="H39" s="161">
        <v>1.1399999999999999</v>
      </c>
      <c r="I39" s="161">
        <v>60.09</v>
      </c>
      <c r="J39" s="161">
        <v>52.21</v>
      </c>
      <c r="K39" s="70">
        <v>15.66</v>
      </c>
      <c r="L39" s="81"/>
      <c r="M39" s="161">
        <v>1.55</v>
      </c>
      <c r="N39" s="161">
        <v>1.77</v>
      </c>
      <c r="O39" s="161">
        <v>38.700000000000003</v>
      </c>
      <c r="P39" s="161">
        <v>33.71</v>
      </c>
      <c r="Q39" s="177">
        <v>7.82</v>
      </c>
      <c r="R39" s="164">
        <v>14</v>
      </c>
      <c r="S39" s="63" t="s">
        <v>106</v>
      </c>
      <c r="T39" s="64">
        <v>14</v>
      </c>
      <c r="U39" s="65"/>
      <c r="W39" s="13" t="s">
        <v>52</v>
      </c>
      <c r="Y39" s="21" t="s">
        <v>107</v>
      </c>
    </row>
    <row r="40" spans="1:29" ht="18.75" x14ac:dyDescent="0.25">
      <c r="A40" s="175">
        <v>0.99</v>
      </c>
      <c r="B40" s="16">
        <v>1.1299999999999999</v>
      </c>
      <c r="C40" s="16">
        <v>60.6</v>
      </c>
      <c r="D40" s="16">
        <v>52.61</v>
      </c>
      <c r="E40" s="68">
        <v>18.010000000000002</v>
      </c>
      <c r="F40" s="176"/>
      <c r="G40" s="161">
        <v>1.1499999999999999</v>
      </c>
      <c r="H40" s="161">
        <v>1.31</v>
      </c>
      <c r="I40" s="161">
        <v>52.2</v>
      </c>
      <c r="J40" s="161">
        <v>45.51</v>
      </c>
      <c r="K40" s="70">
        <v>18.010000000000002</v>
      </c>
      <c r="L40" s="81"/>
      <c r="M40" s="161">
        <v>1.78</v>
      </c>
      <c r="N40" s="161">
        <v>2.04</v>
      </c>
      <c r="O40" s="161">
        <v>33.700000000000003</v>
      </c>
      <c r="P40" s="161">
        <v>29.31</v>
      </c>
      <c r="Q40" s="177">
        <v>9</v>
      </c>
      <c r="R40" s="164">
        <v>5</v>
      </c>
      <c r="S40" s="63" t="s">
        <v>108</v>
      </c>
      <c r="T40" s="64">
        <v>5</v>
      </c>
      <c r="U40" s="65"/>
      <c r="W40" s="13" t="s">
        <v>18</v>
      </c>
      <c r="Y40" s="26" t="s">
        <v>109</v>
      </c>
    </row>
    <row r="41" spans="1:29" ht="17.25" x14ac:dyDescent="0.25">
      <c r="A41" s="175">
        <v>1.1399999999999999</v>
      </c>
      <c r="B41" s="16">
        <v>1.3</v>
      </c>
      <c r="C41" s="16">
        <v>52.6</v>
      </c>
      <c r="D41" s="16">
        <v>45.81</v>
      </c>
      <c r="E41" s="68">
        <v>20.71</v>
      </c>
      <c r="F41" s="176"/>
      <c r="G41" s="161">
        <v>1.32</v>
      </c>
      <c r="H41" s="161">
        <v>1.51</v>
      </c>
      <c r="I41" s="161">
        <v>45.5</v>
      </c>
      <c r="J41" s="161">
        <v>39.51</v>
      </c>
      <c r="K41" s="70">
        <v>20.71</v>
      </c>
      <c r="L41" s="81"/>
      <c r="M41" s="161">
        <v>2.0499999999999998</v>
      </c>
      <c r="N41" s="161">
        <v>2.3580000000000001</v>
      </c>
      <c r="O41" s="161">
        <v>29.3</v>
      </c>
      <c r="P41" s="161">
        <v>25.41</v>
      </c>
      <c r="Q41" s="177">
        <v>10.35</v>
      </c>
      <c r="R41" s="164">
        <v>5</v>
      </c>
      <c r="S41" s="63" t="s">
        <v>110</v>
      </c>
      <c r="T41" s="64">
        <v>5</v>
      </c>
      <c r="U41" s="65"/>
      <c r="W41" s="13" t="s">
        <v>111</v>
      </c>
      <c r="Y41" s="21" t="s">
        <v>112</v>
      </c>
    </row>
    <row r="42" spans="1:29" ht="17.25" x14ac:dyDescent="0.25">
      <c r="A42" s="175">
        <v>1.31</v>
      </c>
      <c r="B42" s="16">
        <v>1.5</v>
      </c>
      <c r="C42" s="16">
        <v>45.8</v>
      </c>
      <c r="D42" s="16">
        <v>39.71</v>
      </c>
      <c r="E42" s="68">
        <v>23.82</v>
      </c>
      <c r="F42" s="176"/>
      <c r="G42" s="161">
        <v>1.52</v>
      </c>
      <c r="H42" s="161">
        <v>1.74</v>
      </c>
      <c r="I42" s="161">
        <v>39.5</v>
      </c>
      <c r="J42" s="161">
        <v>34.31</v>
      </c>
      <c r="K42" s="70">
        <v>23.82</v>
      </c>
      <c r="L42" s="81"/>
      <c r="M42" s="161">
        <v>2.36</v>
      </c>
      <c r="N42" s="161">
        <v>2.7</v>
      </c>
      <c r="O42" s="161">
        <v>25.4</v>
      </c>
      <c r="P42" s="161">
        <v>22.11</v>
      </c>
      <c r="Q42" s="177">
        <v>1.9</v>
      </c>
      <c r="R42" s="164">
        <v>7.5</v>
      </c>
      <c r="S42" s="63" t="s">
        <v>113</v>
      </c>
      <c r="T42" s="64">
        <v>7.5</v>
      </c>
      <c r="U42" s="65"/>
      <c r="W42" s="13" t="s">
        <v>18</v>
      </c>
      <c r="Y42" s="21" t="s">
        <v>114</v>
      </c>
    </row>
    <row r="43" spans="1:29" ht="17.25" x14ac:dyDescent="0.25">
      <c r="A43" s="175">
        <v>1.51</v>
      </c>
      <c r="B43" s="16">
        <v>1.73</v>
      </c>
      <c r="C43" s="16">
        <v>39.700000000000003</v>
      </c>
      <c r="D43" s="16">
        <v>34.51</v>
      </c>
      <c r="E43" s="68">
        <v>27.39</v>
      </c>
      <c r="F43" s="176"/>
      <c r="G43" s="161">
        <v>1.75</v>
      </c>
      <c r="H43" s="161">
        <v>2</v>
      </c>
      <c r="I43" s="161">
        <v>34.299999999999997</v>
      </c>
      <c r="J43" s="161">
        <v>29.91</v>
      </c>
      <c r="K43" s="70">
        <v>27.39</v>
      </c>
      <c r="L43" s="81"/>
      <c r="M43" s="161">
        <v>2.71</v>
      </c>
      <c r="N43" s="161">
        <v>3.11</v>
      </c>
      <c r="O43" s="161">
        <v>22.1</v>
      </c>
      <c r="P43" s="161">
        <v>19.21</v>
      </c>
      <c r="Q43" s="177">
        <v>13.68</v>
      </c>
      <c r="R43" s="164">
        <v>10</v>
      </c>
      <c r="S43" s="63" t="s">
        <v>115</v>
      </c>
      <c r="T43" s="64">
        <v>10</v>
      </c>
      <c r="U43" s="65"/>
      <c r="W43" s="13" t="s">
        <v>116</v>
      </c>
      <c r="Y43" s="71" t="s">
        <v>117</v>
      </c>
    </row>
    <row r="44" spans="1:29" ht="17.25" x14ac:dyDescent="0.25">
      <c r="A44" s="175">
        <v>1.74</v>
      </c>
      <c r="B44" s="16">
        <v>1.99</v>
      </c>
      <c r="C44" s="16">
        <v>34.5</v>
      </c>
      <c r="D44" s="16">
        <v>30.01</v>
      </c>
      <c r="E44" s="68">
        <v>31.5</v>
      </c>
      <c r="F44" s="176"/>
      <c r="G44" s="161">
        <v>2.0099999999999998</v>
      </c>
      <c r="H44" s="161">
        <v>2.2999999999999998</v>
      </c>
      <c r="I44" s="161">
        <v>29.9</v>
      </c>
      <c r="J44" s="161">
        <v>26.01</v>
      </c>
      <c r="K44" s="70">
        <v>31.5</v>
      </c>
      <c r="L44" s="81"/>
      <c r="M44" s="161">
        <v>3.12</v>
      </c>
      <c r="N44" s="161">
        <v>3.58</v>
      </c>
      <c r="O44" s="161">
        <v>19.2</v>
      </c>
      <c r="P44" s="161">
        <v>16.71</v>
      </c>
      <c r="Q44" s="177">
        <v>15.74</v>
      </c>
      <c r="R44" s="164">
        <v>6</v>
      </c>
      <c r="S44" s="63" t="s">
        <v>118</v>
      </c>
      <c r="T44" s="64">
        <v>6</v>
      </c>
      <c r="U44" s="65"/>
      <c r="W44" s="13" t="s">
        <v>119</v>
      </c>
      <c r="Y44" s="72" t="s">
        <v>120</v>
      </c>
      <c r="AA44" s="229"/>
      <c r="AB44" s="229"/>
      <c r="AC44" s="229"/>
    </row>
    <row r="45" spans="1:29" ht="17.25" x14ac:dyDescent="0.25">
      <c r="A45" s="175">
        <v>2</v>
      </c>
      <c r="B45" s="16">
        <v>2.29</v>
      </c>
      <c r="C45" s="16">
        <v>30</v>
      </c>
      <c r="D45" s="16">
        <v>26.11</v>
      </c>
      <c r="E45" s="68">
        <v>36.22</v>
      </c>
      <c r="F45" s="176"/>
      <c r="G45" s="161">
        <v>2.31</v>
      </c>
      <c r="H45" s="161">
        <v>2.65</v>
      </c>
      <c r="I45" s="161">
        <v>26</v>
      </c>
      <c r="J45" s="161">
        <v>22.61</v>
      </c>
      <c r="K45" s="70">
        <v>36.22</v>
      </c>
      <c r="L45" s="81"/>
      <c r="M45" s="161">
        <v>3.59</v>
      </c>
      <c r="N45" s="161">
        <v>4.12</v>
      </c>
      <c r="O45" s="161">
        <v>16.7</v>
      </c>
      <c r="P45" s="161">
        <v>14.51</v>
      </c>
      <c r="Q45" s="177">
        <v>18.100000000000001</v>
      </c>
      <c r="R45" s="164">
        <v>0</v>
      </c>
      <c r="S45" s="63" t="s">
        <v>121</v>
      </c>
      <c r="T45" s="64">
        <v>0</v>
      </c>
      <c r="U45" s="65"/>
      <c r="W45" s="13" t="s">
        <v>111</v>
      </c>
      <c r="Y45" s="72" t="s">
        <v>122</v>
      </c>
      <c r="AA45" s="229"/>
      <c r="AB45" s="229"/>
      <c r="AC45" s="229"/>
    </row>
    <row r="46" spans="1:29" ht="17.25" x14ac:dyDescent="0.25">
      <c r="A46" s="175">
        <v>2.2999999999999998</v>
      </c>
      <c r="B46" s="16">
        <v>3.64</v>
      </c>
      <c r="C46" s="16">
        <v>26.1</v>
      </c>
      <c r="D46" s="16">
        <v>22.61</v>
      </c>
      <c r="E46" s="68">
        <v>41.65</v>
      </c>
      <c r="F46" s="176"/>
      <c r="G46" s="161">
        <v>2.66</v>
      </c>
      <c r="H46" s="161">
        <v>3.05</v>
      </c>
      <c r="I46" s="161">
        <v>22.6</v>
      </c>
      <c r="J46" s="161">
        <v>19.61</v>
      </c>
      <c r="K46" s="70">
        <v>41.65</v>
      </c>
      <c r="L46" s="81"/>
      <c r="M46" s="161">
        <v>4.13</v>
      </c>
      <c r="N46" s="161">
        <v>4.72</v>
      </c>
      <c r="O46" s="161">
        <v>14.5</v>
      </c>
      <c r="P46" s="161">
        <v>12.61</v>
      </c>
      <c r="Q46" s="177">
        <v>20.81</v>
      </c>
      <c r="R46" s="165">
        <v>6</v>
      </c>
      <c r="S46" s="73" t="s">
        <v>123</v>
      </c>
      <c r="T46" s="74">
        <v>6</v>
      </c>
      <c r="U46" s="75"/>
      <c r="W46" s="13" t="s">
        <v>18</v>
      </c>
      <c r="Y46" s="72" t="s">
        <v>124</v>
      </c>
      <c r="AA46" s="229"/>
      <c r="AB46" s="229"/>
      <c r="AC46" s="229"/>
    </row>
    <row r="47" spans="1:29" ht="17.25" x14ac:dyDescent="0.25">
      <c r="A47" s="175">
        <v>3.65</v>
      </c>
      <c r="B47" s="16">
        <v>3.04</v>
      </c>
      <c r="C47" s="16">
        <v>22.6</v>
      </c>
      <c r="D47" s="16">
        <v>19.71</v>
      </c>
      <c r="E47" s="68">
        <v>47.9</v>
      </c>
      <c r="F47" s="176"/>
      <c r="G47" s="161">
        <v>3.06</v>
      </c>
      <c r="H47" s="161">
        <v>3.51</v>
      </c>
      <c r="I47" s="161">
        <v>19.600000000000001</v>
      </c>
      <c r="J47" s="161">
        <v>17.010000000000002</v>
      </c>
      <c r="K47" s="70">
        <v>47.9</v>
      </c>
      <c r="L47" s="81"/>
      <c r="M47" s="161">
        <v>4.75</v>
      </c>
      <c r="N47" s="161">
        <v>5.45</v>
      </c>
      <c r="O47" s="161">
        <v>12.6</v>
      </c>
      <c r="P47" s="161">
        <v>11.01</v>
      </c>
      <c r="Q47" s="177">
        <v>23.93</v>
      </c>
      <c r="S47" s="2" t="s">
        <v>75</v>
      </c>
      <c r="T47" s="69">
        <v>56</v>
      </c>
      <c r="W47" s="13" t="s">
        <v>52</v>
      </c>
      <c r="Y47" s="72">
        <v>0</v>
      </c>
      <c r="AA47" s="229"/>
      <c r="AB47" s="229"/>
      <c r="AC47" s="229"/>
    </row>
    <row r="48" spans="1:29" ht="17.25" x14ac:dyDescent="0.25">
      <c r="A48" s="175">
        <v>3.05</v>
      </c>
      <c r="B48" s="16">
        <v>3.5</v>
      </c>
      <c r="C48" s="16">
        <v>19.7</v>
      </c>
      <c r="D48" s="16">
        <v>17.11</v>
      </c>
      <c r="E48" s="68">
        <v>55.09</v>
      </c>
      <c r="F48" s="176"/>
      <c r="G48" s="161">
        <v>3.52</v>
      </c>
      <c r="H48" s="161">
        <v>4.04</v>
      </c>
      <c r="I48" s="161">
        <v>17</v>
      </c>
      <c r="J48" s="161">
        <v>14.81</v>
      </c>
      <c r="K48" s="70">
        <v>55.09</v>
      </c>
      <c r="L48" s="81"/>
      <c r="M48" s="161">
        <v>5.46</v>
      </c>
      <c r="N48" s="161">
        <v>6.27</v>
      </c>
      <c r="O48" s="161">
        <v>11</v>
      </c>
      <c r="P48" s="161">
        <v>9.61</v>
      </c>
      <c r="Q48" s="177">
        <v>27.52</v>
      </c>
      <c r="S48" s="2" t="s">
        <v>225</v>
      </c>
      <c r="T48" s="69">
        <v>56</v>
      </c>
      <c r="W48" s="13" t="s">
        <v>125</v>
      </c>
      <c r="Y48" s="72">
        <v>0</v>
      </c>
      <c r="AA48" s="229"/>
      <c r="AB48" s="229"/>
      <c r="AC48" s="229"/>
    </row>
    <row r="49" spans="1:29" ht="17.25" x14ac:dyDescent="0.25">
      <c r="A49" s="175">
        <v>3.51</v>
      </c>
      <c r="B49" s="16">
        <v>4.03</v>
      </c>
      <c r="C49" s="16">
        <v>17.100000000000001</v>
      </c>
      <c r="D49" s="16">
        <v>14.91</v>
      </c>
      <c r="E49" s="68">
        <v>63.35</v>
      </c>
      <c r="F49" s="176"/>
      <c r="G49" s="161">
        <v>4.05</v>
      </c>
      <c r="H49" s="161">
        <v>4.6500000000000004</v>
      </c>
      <c r="I49" s="161">
        <v>14.8</v>
      </c>
      <c r="J49" s="161">
        <v>12.91</v>
      </c>
      <c r="K49" s="70">
        <v>63.35</v>
      </c>
      <c r="L49" s="81"/>
      <c r="M49" s="161">
        <v>6.28</v>
      </c>
      <c r="N49" s="161">
        <v>7.21</v>
      </c>
      <c r="O49" s="161">
        <v>9.6</v>
      </c>
      <c r="P49" s="161">
        <v>8.31</v>
      </c>
      <c r="Q49" s="177">
        <v>31.65</v>
      </c>
      <c r="S49" s="76"/>
      <c r="W49" s="13" t="s">
        <v>111</v>
      </c>
      <c r="Y49" s="72">
        <v>0</v>
      </c>
      <c r="AA49" s="229"/>
      <c r="AB49" s="229"/>
      <c r="AC49" s="229"/>
    </row>
    <row r="50" spans="1:29" ht="17.25" x14ac:dyDescent="0.25">
      <c r="A50" s="175">
        <v>4.04</v>
      </c>
      <c r="B50" s="16">
        <v>4.6399999999999997</v>
      </c>
      <c r="C50" s="16">
        <v>14.9</v>
      </c>
      <c r="D50" s="16">
        <v>12.91</v>
      </c>
      <c r="E50" s="68">
        <v>72.849999999999994</v>
      </c>
      <c r="F50" s="176"/>
      <c r="G50" s="161">
        <v>4.66</v>
      </c>
      <c r="H50" s="161">
        <v>5.35</v>
      </c>
      <c r="I50" s="161">
        <v>12.9</v>
      </c>
      <c r="J50" s="161">
        <v>11.21</v>
      </c>
      <c r="K50" s="70">
        <v>72.849999999999994</v>
      </c>
      <c r="L50" s="81"/>
      <c r="M50" s="161">
        <v>7.22</v>
      </c>
      <c r="N50" s="161">
        <v>8.2899999999999991</v>
      </c>
      <c r="O50" s="161">
        <v>8.3000000000000007</v>
      </c>
      <c r="P50" s="161">
        <v>7.21</v>
      </c>
      <c r="Q50" s="177">
        <v>36.4</v>
      </c>
      <c r="W50" s="13" t="s">
        <v>18</v>
      </c>
      <c r="Y50" s="72">
        <v>0</v>
      </c>
      <c r="AA50" s="229"/>
      <c r="AB50" s="229"/>
      <c r="AC50" s="229"/>
    </row>
    <row r="51" spans="1:29" ht="17.25" x14ac:dyDescent="0.25">
      <c r="A51" s="175">
        <v>4.6500000000000004</v>
      </c>
      <c r="B51" s="16">
        <v>5.34</v>
      </c>
      <c r="C51" s="16">
        <v>12.9</v>
      </c>
      <c r="D51" s="16">
        <v>11.2</v>
      </c>
      <c r="E51" s="68">
        <v>83.78</v>
      </c>
      <c r="F51" s="176"/>
      <c r="G51" s="161">
        <v>5.36</v>
      </c>
      <c r="H51" s="161">
        <v>6.15</v>
      </c>
      <c r="I51" s="161">
        <v>11.2</v>
      </c>
      <c r="J51" s="161">
        <v>9.8000000000000007</v>
      </c>
      <c r="K51" s="70">
        <v>83.78</v>
      </c>
      <c r="L51" s="81"/>
      <c r="M51" s="161">
        <v>8.3000000000000007</v>
      </c>
      <c r="N51" s="161">
        <v>9.5399999999999991</v>
      </c>
      <c r="O51" s="161">
        <v>7.2</v>
      </c>
      <c r="P51" s="161">
        <v>6.3</v>
      </c>
      <c r="Q51" s="177">
        <v>41.86</v>
      </c>
      <c r="W51" s="13" t="s">
        <v>127</v>
      </c>
      <c r="Y51" s="72">
        <v>0</v>
      </c>
      <c r="AA51" s="229"/>
      <c r="AB51" s="229"/>
      <c r="AC51" s="229"/>
    </row>
    <row r="52" spans="1:29" ht="18" thickBot="1" x14ac:dyDescent="0.3">
      <c r="A52" s="241" t="s">
        <v>128</v>
      </c>
      <c r="B52" s="242"/>
      <c r="C52" s="242"/>
      <c r="D52" s="242"/>
      <c r="E52" s="243"/>
      <c r="F52" s="178"/>
      <c r="G52" s="244" t="s">
        <v>129</v>
      </c>
      <c r="H52" s="244"/>
      <c r="I52" s="244"/>
      <c r="J52" s="244"/>
      <c r="K52" s="244"/>
      <c r="L52" s="179"/>
      <c r="M52" s="245" t="s">
        <v>130</v>
      </c>
      <c r="N52" s="246"/>
      <c r="O52" s="246"/>
      <c r="P52" s="246"/>
      <c r="Q52" s="247"/>
      <c r="S52" s="163"/>
      <c r="W52" s="22" t="s">
        <v>81</v>
      </c>
      <c r="Y52" s="72">
        <v>0</v>
      </c>
      <c r="AA52" s="229"/>
      <c r="AB52" s="229"/>
      <c r="AC52" s="229"/>
    </row>
    <row r="53" spans="1:29" ht="18" thickBot="1" x14ac:dyDescent="0.3">
      <c r="A53" s="166" t="s">
        <v>131</v>
      </c>
      <c r="B53" s="167" t="s">
        <v>132</v>
      </c>
      <c r="C53" s="168"/>
      <c r="D53" s="168"/>
      <c r="E53" s="168"/>
      <c r="F53" s="168"/>
      <c r="G53" s="168"/>
      <c r="H53" s="169"/>
      <c r="K53" s="2"/>
      <c r="L53" s="170" t="s">
        <v>133</v>
      </c>
      <c r="M53" s="171" t="s">
        <v>149</v>
      </c>
      <c r="R53" s="78"/>
      <c r="S53" s="69"/>
      <c r="T53" s="77">
        <v>3</v>
      </c>
      <c r="U53" s="249" t="s">
        <v>126</v>
      </c>
      <c r="V53" s="22" t="s">
        <v>52</v>
      </c>
      <c r="X53" s="72">
        <v>0</v>
      </c>
    </row>
    <row r="54" spans="1:29" ht="18" customHeight="1" x14ac:dyDescent="0.25">
      <c r="A54" s="142">
        <v>38519</v>
      </c>
      <c r="B54" s="143" t="s">
        <v>134</v>
      </c>
      <c r="C54" s="144"/>
      <c r="D54" s="144"/>
      <c r="E54" s="144"/>
      <c r="F54" s="144"/>
      <c r="G54" s="144"/>
      <c r="H54" s="145"/>
      <c r="I54" s="79"/>
      <c r="J54" s="79"/>
      <c r="K54" s="80"/>
      <c r="L54" s="132" t="s">
        <v>135</v>
      </c>
      <c r="M54" s="132" t="s">
        <v>152</v>
      </c>
      <c r="Q54" s="126">
        <v>1</v>
      </c>
      <c r="R54" s="82" t="str">
        <f>B54</f>
        <v>Lara Gonzales Jose Candelario</v>
      </c>
      <c r="S54" s="127">
        <f t="shared" ref="S54:S74" si="0">A54</f>
        <v>38519</v>
      </c>
      <c r="T54" s="83">
        <v>4</v>
      </c>
      <c r="U54" s="249"/>
      <c r="V54" s="13" t="s">
        <v>55</v>
      </c>
      <c r="X54" s="72">
        <v>0</v>
      </c>
    </row>
    <row r="55" spans="1:29" ht="18" customHeight="1" x14ac:dyDescent="0.25">
      <c r="A55" s="142">
        <v>39936</v>
      </c>
      <c r="B55" s="146" t="s">
        <v>136</v>
      </c>
      <c r="C55" s="147"/>
      <c r="D55" s="147"/>
      <c r="E55" s="147"/>
      <c r="F55" s="147"/>
      <c r="G55" s="147"/>
      <c r="H55" s="148"/>
      <c r="I55" s="79"/>
      <c r="J55" s="79"/>
      <c r="K55" s="80"/>
      <c r="L55" s="132" t="s">
        <v>137</v>
      </c>
      <c r="M55" s="132" t="s">
        <v>154</v>
      </c>
      <c r="Q55" s="126">
        <v>2</v>
      </c>
      <c r="R55" s="84" t="str">
        <f t="shared" ref="R55:R74" si="1">B55</f>
        <v>Muñoz Garcia Francisco Javier</v>
      </c>
      <c r="S55" s="128">
        <f t="shared" si="0"/>
        <v>39936</v>
      </c>
      <c r="T55" s="83">
        <v>5</v>
      </c>
      <c r="U55" s="77">
        <v>1</v>
      </c>
      <c r="V55" s="85" t="s">
        <v>138</v>
      </c>
      <c r="X55" s="72">
        <v>0</v>
      </c>
    </row>
    <row r="56" spans="1:29" ht="18" customHeight="1" x14ac:dyDescent="0.25">
      <c r="A56" s="142">
        <v>7132</v>
      </c>
      <c r="B56" s="146" t="s">
        <v>139</v>
      </c>
      <c r="C56" s="147"/>
      <c r="D56" s="147"/>
      <c r="E56" s="147"/>
      <c r="F56" s="147"/>
      <c r="G56" s="147"/>
      <c r="H56" s="148"/>
      <c r="I56" s="79"/>
      <c r="J56" s="79"/>
      <c r="K56" s="80"/>
      <c r="L56" s="132" t="s">
        <v>140</v>
      </c>
      <c r="M56" s="132" t="s">
        <v>157</v>
      </c>
      <c r="Q56" s="126">
        <v>3</v>
      </c>
      <c r="R56" s="84" t="str">
        <f t="shared" si="1"/>
        <v>Álvarez Díaz Andrés</v>
      </c>
      <c r="S56" s="128">
        <f t="shared" si="0"/>
        <v>7132</v>
      </c>
      <c r="T56" s="83">
        <v>6</v>
      </c>
      <c r="U56" s="77">
        <v>2</v>
      </c>
      <c r="V56" s="22" t="s">
        <v>52</v>
      </c>
      <c r="X56" s="72">
        <v>0</v>
      </c>
    </row>
    <row r="57" spans="1:29" ht="18" customHeight="1" x14ac:dyDescent="0.25">
      <c r="A57" s="142">
        <v>40195</v>
      </c>
      <c r="B57" s="146" t="s">
        <v>141</v>
      </c>
      <c r="C57" s="147"/>
      <c r="D57" s="147"/>
      <c r="E57" s="147"/>
      <c r="F57" s="147"/>
      <c r="G57" s="147"/>
      <c r="H57" s="148"/>
      <c r="I57" s="79"/>
      <c r="J57" s="79"/>
      <c r="K57" s="80"/>
      <c r="L57" s="132" t="s">
        <v>142</v>
      </c>
      <c r="M57" s="132" t="s">
        <v>159</v>
      </c>
      <c r="O57" s="80"/>
      <c r="Q57" s="126">
        <v>4</v>
      </c>
      <c r="R57" s="84" t="str">
        <f t="shared" si="1"/>
        <v>Aguas Ramirez Ramos</v>
      </c>
      <c r="S57" s="128">
        <f t="shared" si="0"/>
        <v>40195</v>
      </c>
      <c r="T57" s="83">
        <v>7</v>
      </c>
      <c r="V57" s="13" t="s">
        <v>55</v>
      </c>
      <c r="X57" s="72">
        <v>0</v>
      </c>
    </row>
    <row r="58" spans="1:29" ht="18" customHeight="1" x14ac:dyDescent="0.25">
      <c r="A58" s="142">
        <v>7314</v>
      </c>
      <c r="B58" s="146" t="s">
        <v>143</v>
      </c>
      <c r="C58" s="147"/>
      <c r="D58" s="147"/>
      <c r="E58" s="147"/>
      <c r="F58" s="147"/>
      <c r="G58" s="147"/>
      <c r="H58" s="148"/>
      <c r="I58" s="79"/>
      <c r="J58" s="79"/>
      <c r="K58" s="80"/>
      <c r="L58" s="132" t="s">
        <v>144</v>
      </c>
      <c r="M58" s="132" t="s">
        <v>160</v>
      </c>
      <c r="O58" s="69"/>
      <c r="Q58" s="126">
        <v>5</v>
      </c>
      <c r="R58" s="84" t="str">
        <f t="shared" si="1"/>
        <v>Camacho Valadez Luis Francisco</v>
      </c>
      <c r="S58" s="128">
        <f t="shared" si="0"/>
        <v>7314</v>
      </c>
      <c r="T58" s="83">
        <v>8</v>
      </c>
      <c r="V58" s="22" t="s">
        <v>52</v>
      </c>
      <c r="X58" s="72">
        <v>0</v>
      </c>
    </row>
    <row r="59" spans="1:29" ht="18" customHeight="1" x14ac:dyDescent="0.25">
      <c r="A59" s="142">
        <v>31788</v>
      </c>
      <c r="B59" s="146" t="s">
        <v>145</v>
      </c>
      <c r="C59" s="147"/>
      <c r="D59" s="147"/>
      <c r="E59" s="147"/>
      <c r="F59" s="147"/>
      <c r="G59" s="147"/>
      <c r="H59" s="148"/>
      <c r="I59" s="79"/>
      <c r="J59" s="79"/>
      <c r="K59" s="80"/>
      <c r="L59" s="132" t="s">
        <v>146</v>
      </c>
      <c r="M59" s="132" t="s">
        <v>161</v>
      </c>
      <c r="O59" s="69"/>
      <c r="Q59" s="126">
        <v>6</v>
      </c>
      <c r="R59" s="84" t="str">
        <f t="shared" si="1"/>
        <v>Camacho Velázquez José de Jesús</v>
      </c>
      <c r="S59" s="128">
        <f t="shared" si="0"/>
        <v>31788</v>
      </c>
      <c r="T59" s="83">
        <v>9</v>
      </c>
      <c r="V59" s="13" t="s">
        <v>60</v>
      </c>
      <c r="X59" s="72">
        <v>0</v>
      </c>
    </row>
    <row r="60" spans="1:29" ht="18" customHeight="1" thickBot="1" x14ac:dyDescent="0.3">
      <c r="A60" s="142">
        <v>36793</v>
      </c>
      <c r="B60" s="149" t="s">
        <v>147</v>
      </c>
      <c r="C60" s="150"/>
      <c r="D60" s="150"/>
      <c r="E60" s="150"/>
      <c r="F60" s="150"/>
      <c r="G60" s="150"/>
      <c r="H60" s="151"/>
      <c r="K60" s="80"/>
      <c r="L60" s="132"/>
      <c r="M60" s="132" t="s">
        <v>162</v>
      </c>
      <c r="O60" s="69"/>
      <c r="Q60" s="126">
        <v>7</v>
      </c>
      <c r="R60" s="84" t="str">
        <f t="shared" si="1"/>
        <v>Ramos Carbajal David</v>
      </c>
      <c r="S60" s="128">
        <f t="shared" si="0"/>
        <v>36793</v>
      </c>
      <c r="T60" s="83">
        <v>10</v>
      </c>
      <c r="V60" s="22" t="s">
        <v>52</v>
      </c>
      <c r="X60" s="86">
        <v>0</v>
      </c>
    </row>
    <row r="61" spans="1:29" ht="18" customHeight="1" x14ac:dyDescent="0.25">
      <c r="A61" s="142">
        <v>32751</v>
      </c>
      <c r="B61" s="149" t="s">
        <v>148</v>
      </c>
      <c r="C61" s="150"/>
      <c r="D61" s="150"/>
      <c r="E61" s="150"/>
      <c r="F61" s="150"/>
      <c r="G61" s="150"/>
      <c r="H61" s="151"/>
      <c r="I61" s="79"/>
      <c r="J61" s="79"/>
      <c r="K61" s="80"/>
      <c r="L61" s="80"/>
      <c r="N61" s="131"/>
      <c r="O61" s="69"/>
      <c r="Q61" s="126">
        <v>8</v>
      </c>
      <c r="R61" s="84" t="str">
        <f t="shared" si="1"/>
        <v>Ezquibel Vidrio Roberto</v>
      </c>
      <c r="S61" s="128">
        <f t="shared" si="0"/>
        <v>32751</v>
      </c>
      <c r="T61" s="83">
        <v>11</v>
      </c>
      <c r="V61" s="13" t="s">
        <v>150</v>
      </c>
    </row>
    <row r="62" spans="1:29" ht="18" customHeight="1" x14ac:dyDescent="0.25">
      <c r="A62" s="142">
        <v>96451</v>
      </c>
      <c r="B62" s="146" t="s">
        <v>151</v>
      </c>
      <c r="C62" s="147"/>
      <c r="D62" s="147"/>
      <c r="E62" s="147"/>
      <c r="F62" s="147"/>
      <c r="G62" s="147"/>
      <c r="H62" s="148"/>
      <c r="I62" s="79"/>
      <c r="J62" s="79"/>
      <c r="K62" s="80"/>
      <c r="L62" s="80"/>
      <c r="M62" s="2" t="s">
        <v>223</v>
      </c>
      <c r="N62" s="130"/>
      <c r="O62" s="69"/>
      <c r="Q62" s="126">
        <v>9</v>
      </c>
      <c r="R62" s="84" t="str">
        <f t="shared" si="1"/>
        <v>Anguiano Garcia Jorge</v>
      </c>
      <c r="S62" s="128">
        <f t="shared" si="0"/>
        <v>96451</v>
      </c>
      <c r="T62" s="83">
        <v>12</v>
      </c>
      <c r="V62" s="13" t="s">
        <v>138</v>
      </c>
    </row>
    <row r="63" spans="1:29" ht="18" customHeight="1" x14ac:dyDescent="0.25">
      <c r="A63" s="142">
        <v>25764</v>
      </c>
      <c r="B63" s="149" t="s">
        <v>153</v>
      </c>
      <c r="C63" s="150"/>
      <c r="D63" s="150"/>
      <c r="E63" s="150"/>
      <c r="F63" s="150"/>
      <c r="G63" s="150"/>
      <c r="H63" s="151"/>
      <c r="I63" s="79"/>
      <c r="J63" s="79"/>
      <c r="K63" s="80"/>
      <c r="L63" s="80"/>
      <c r="M63" s="2">
        <v>2.5</v>
      </c>
      <c r="N63" s="130"/>
      <c r="O63" s="69"/>
      <c r="Q63" s="126">
        <v>10</v>
      </c>
      <c r="R63" s="84" t="str">
        <f t="shared" si="1"/>
        <v xml:space="preserve">Lopez Tozcano Cristian Ivan </v>
      </c>
      <c r="S63" s="128">
        <f t="shared" si="0"/>
        <v>25764</v>
      </c>
      <c r="T63" s="83">
        <v>13</v>
      </c>
      <c r="V63" s="13" t="s">
        <v>155</v>
      </c>
    </row>
    <row r="64" spans="1:29" ht="18" customHeight="1" x14ac:dyDescent="0.25">
      <c r="A64" s="142">
        <v>33297</v>
      </c>
      <c r="B64" s="149" t="s">
        <v>156</v>
      </c>
      <c r="C64" s="150"/>
      <c r="D64" s="150"/>
      <c r="E64" s="150"/>
      <c r="F64" s="150"/>
      <c r="G64" s="150"/>
      <c r="H64" s="151"/>
      <c r="I64" s="79"/>
      <c r="J64" s="79"/>
      <c r="K64" s="80"/>
      <c r="L64" s="80"/>
      <c r="M64" s="2" t="s">
        <v>224</v>
      </c>
      <c r="N64" s="130"/>
      <c r="O64" s="80"/>
      <c r="Q64" s="126">
        <v>11</v>
      </c>
      <c r="R64" s="84" t="str">
        <f t="shared" si="1"/>
        <v>Rivera Ulloa Luis Alberto</v>
      </c>
      <c r="S64" s="128">
        <f t="shared" si="0"/>
        <v>33297</v>
      </c>
      <c r="T64" s="83">
        <v>14</v>
      </c>
      <c r="V64" s="13" t="s">
        <v>81</v>
      </c>
    </row>
    <row r="65" spans="1:23" ht="18" customHeight="1" x14ac:dyDescent="0.25">
      <c r="A65" s="142">
        <v>33300</v>
      </c>
      <c r="B65" s="149" t="s">
        <v>158</v>
      </c>
      <c r="C65" s="150"/>
      <c r="D65" s="150"/>
      <c r="E65" s="150"/>
      <c r="F65" s="150"/>
      <c r="G65" s="150"/>
      <c r="H65" s="151"/>
      <c r="I65" s="79"/>
      <c r="J65" s="79"/>
      <c r="K65" s="80"/>
      <c r="L65" s="80"/>
      <c r="N65" s="130">
        <f>22*2.5</f>
        <v>55</v>
      </c>
      <c r="O65" s="80"/>
      <c r="Q65" s="126">
        <v>12</v>
      </c>
      <c r="R65" s="84" t="str">
        <f t="shared" si="1"/>
        <v>Robles Espinoza Víctor Alfonso</v>
      </c>
      <c r="S65" s="128">
        <f t="shared" si="0"/>
        <v>33300</v>
      </c>
      <c r="T65" s="83">
        <v>15</v>
      </c>
      <c r="V65" s="13" t="s">
        <v>52</v>
      </c>
    </row>
    <row r="66" spans="1:23" ht="18" customHeight="1" x14ac:dyDescent="0.25">
      <c r="A66" s="152">
        <v>0</v>
      </c>
      <c r="B66" s="153">
        <v>0</v>
      </c>
      <c r="C66" s="154"/>
      <c r="D66" s="154"/>
      <c r="E66" s="154"/>
      <c r="F66" s="154"/>
      <c r="G66" s="154"/>
      <c r="H66" s="155"/>
      <c r="I66" s="79"/>
      <c r="J66" s="79"/>
      <c r="K66" s="80"/>
      <c r="L66" s="80"/>
      <c r="N66" s="130">
        <f>2.5*41.65</f>
        <v>104.125</v>
      </c>
      <c r="O66" s="80"/>
      <c r="Q66" s="126">
        <v>13</v>
      </c>
      <c r="R66" s="84">
        <f>B66</f>
        <v>0</v>
      </c>
      <c r="S66" s="128">
        <f t="shared" si="0"/>
        <v>0</v>
      </c>
      <c r="T66" s="83">
        <v>16</v>
      </c>
      <c r="V66" s="13" t="s">
        <v>52</v>
      </c>
    </row>
    <row r="67" spans="1:23" ht="18" customHeight="1" x14ac:dyDescent="0.25">
      <c r="A67" s="152">
        <v>0</v>
      </c>
      <c r="B67" s="153">
        <v>0</v>
      </c>
      <c r="C67" s="154"/>
      <c r="D67" s="154"/>
      <c r="E67" s="154"/>
      <c r="F67" s="154"/>
      <c r="G67" s="154"/>
      <c r="H67" s="155"/>
      <c r="I67" s="79"/>
      <c r="J67" s="79"/>
      <c r="K67" s="80"/>
      <c r="L67" s="80"/>
      <c r="N67" s="130">
        <v>41.65</v>
      </c>
      <c r="O67" s="80"/>
      <c r="Q67" s="126">
        <v>14</v>
      </c>
      <c r="R67" s="84">
        <f t="shared" si="1"/>
        <v>0</v>
      </c>
      <c r="S67" s="128">
        <f t="shared" si="0"/>
        <v>0</v>
      </c>
      <c r="T67" s="83">
        <v>17</v>
      </c>
      <c r="V67" s="13" t="s">
        <v>30</v>
      </c>
    </row>
    <row r="68" spans="1:23" ht="18" customHeight="1" x14ac:dyDescent="0.25">
      <c r="A68" s="152">
        <v>0</v>
      </c>
      <c r="B68" s="153">
        <v>0</v>
      </c>
      <c r="C68" s="154"/>
      <c r="D68" s="154"/>
      <c r="E68" s="154"/>
      <c r="F68" s="154"/>
      <c r="G68" s="154"/>
      <c r="H68" s="155"/>
      <c r="I68" s="79"/>
      <c r="J68" s="79"/>
      <c r="K68" s="2"/>
      <c r="N68" s="130">
        <f>55*22</f>
        <v>1210</v>
      </c>
      <c r="Q68" s="126">
        <v>15</v>
      </c>
      <c r="R68" s="84">
        <f t="shared" si="1"/>
        <v>0</v>
      </c>
      <c r="S68" s="128">
        <f t="shared" si="0"/>
        <v>0</v>
      </c>
      <c r="T68" s="83">
        <v>18</v>
      </c>
      <c r="V68" s="13" t="s">
        <v>52</v>
      </c>
    </row>
    <row r="69" spans="1:23" ht="18" customHeight="1" x14ac:dyDescent="0.25">
      <c r="A69" s="156">
        <v>0</v>
      </c>
      <c r="B69" s="157">
        <v>0</v>
      </c>
      <c r="C69" s="158"/>
      <c r="D69" s="158"/>
      <c r="E69" s="158"/>
      <c r="F69" s="158"/>
      <c r="G69" s="158"/>
      <c r="H69" s="159"/>
      <c r="I69" s="79"/>
      <c r="J69" s="79"/>
      <c r="K69" s="2"/>
      <c r="N69" s="2">
        <f>55/22</f>
        <v>2.5</v>
      </c>
      <c r="Q69" s="126">
        <v>16</v>
      </c>
      <c r="R69" s="84">
        <f t="shared" si="1"/>
        <v>0</v>
      </c>
      <c r="S69" s="128">
        <f t="shared" si="0"/>
        <v>0</v>
      </c>
      <c r="T69" s="83">
        <v>19</v>
      </c>
      <c r="V69" s="13" t="s">
        <v>18</v>
      </c>
    </row>
    <row r="70" spans="1:23" ht="18" customHeight="1" x14ac:dyDescent="0.25">
      <c r="A70" s="156">
        <v>0</v>
      </c>
      <c r="B70" s="157">
        <v>0</v>
      </c>
      <c r="C70" s="158"/>
      <c r="D70" s="158"/>
      <c r="E70" s="158"/>
      <c r="F70" s="158"/>
      <c r="G70" s="158"/>
      <c r="H70" s="159"/>
      <c r="K70" s="2"/>
      <c r="Q70" s="126">
        <v>17</v>
      </c>
      <c r="R70" s="84">
        <f t="shared" si="1"/>
        <v>0</v>
      </c>
      <c r="S70" s="128">
        <f t="shared" si="0"/>
        <v>0</v>
      </c>
      <c r="T70" s="83">
        <v>20</v>
      </c>
      <c r="V70" s="13" t="s">
        <v>116</v>
      </c>
    </row>
    <row r="71" spans="1:23" ht="18" customHeight="1" x14ac:dyDescent="0.25">
      <c r="A71" s="156">
        <v>0</v>
      </c>
      <c r="B71" s="157">
        <v>0</v>
      </c>
      <c r="C71" s="158"/>
      <c r="D71" s="158"/>
      <c r="E71" s="158"/>
      <c r="F71" s="158"/>
      <c r="G71" s="158"/>
      <c r="H71" s="159"/>
      <c r="J71" s="2" t="s">
        <v>163</v>
      </c>
      <c r="K71" s="2"/>
      <c r="Q71" s="126">
        <v>18</v>
      </c>
      <c r="R71" s="84">
        <f t="shared" si="1"/>
        <v>0</v>
      </c>
      <c r="S71" s="128">
        <f t="shared" si="0"/>
        <v>0</v>
      </c>
      <c r="T71" s="83">
        <v>21</v>
      </c>
      <c r="V71" s="13" t="s">
        <v>116</v>
      </c>
    </row>
    <row r="72" spans="1:23" ht="18" customHeight="1" x14ac:dyDescent="0.25">
      <c r="A72" s="156">
        <v>0</v>
      </c>
      <c r="B72" s="157">
        <v>0</v>
      </c>
      <c r="C72" s="158"/>
      <c r="D72" s="158"/>
      <c r="E72" s="158"/>
      <c r="F72" s="158"/>
      <c r="G72" s="158"/>
      <c r="H72" s="159"/>
      <c r="K72" s="2"/>
      <c r="Q72" s="126">
        <v>19</v>
      </c>
      <c r="R72" s="84">
        <f t="shared" si="1"/>
        <v>0</v>
      </c>
      <c r="S72" s="128">
        <f t="shared" si="0"/>
        <v>0</v>
      </c>
      <c r="T72" s="83">
        <v>22</v>
      </c>
      <c r="V72" s="13" t="s">
        <v>119</v>
      </c>
    </row>
    <row r="73" spans="1:23" ht="18" customHeight="1" x14ac:dyDescent="0.25">
      <c r="A73" s="156">
        <v>0</v>
      </c>
      <c r="B73" s="157">
        <v>0</v>
      </c>
      <c r="C73" s="158"/>
      <c r="D73" s="158"/>
      <c r="E73" s="158"/>
      <c r="F73" s="158"/>
      <c r="G73" s="158"/>
      <c r="H73" s="159"/>
      <c r="K73" s="2"/>
      <c r="Q73" s="126">
        <v>20</v>
      </c>
      <c r="R73" s="84">
        <f t="shared" si="1"/>
        <v>0</v>
      </c>
      <c r="S73" s="128">
        <f t="shared" si="0"/>
        <v>0</v>
      </c>
      <c r="T73" s="83">
        <v>23</v>
      </c>
      <c r="V73" s="13" t="s">
        <v>164</v>
      </c>
    </row>
    <row r="74" spans="1:23" ht="18" customHeight="1" thickBot="1" x14ac:dyDescent="0.3">
      <c r="A74" s="156">
        <v>0</v>
      </c>
      <c r="B74" s="157">
        <v>0</v>
      </c>
      <c r="C74" s="158"/>
      <c r="D74" s="158"/>
      <c r="E74" s="158"/>
      <c r="F74" s="158"/>
      <c r="G74" s="158"/>
      <c r="H74" s="159"/>
      <c r="K74" s="2"/>
      <c r="Q74" s="126">
        <v>21</v>
      </c>
      <c r="R74" s="87">
        <f t="shared" si="1"/>
        <v>0</v>
      </c>
      <c r="S74" s="129">
        <f t="shared" si="0"/>
        <v>0</v>
      </c>
      <c r="T74" s="83">
        <v>24</v>
      </c>
      <c r="V74" s="13" t="s">
        <v>165</v>
      </c>
    </row>
    <row r="75" spans="1:23" ht="17.25" x14ac:dyDescent="0.25">
      <c r="A75" s="88"/>
      <c r="B75" s="88" t="s">
        <v>166</v>
      </c>
      <c r="C75" s="88"/>
      <c r="D75" s="88"/>
      <c r="U75" s="77">
        <v>25</v>
      </c>
      <c r="W75" s="13" t="s">
        <v>165</v>
      </c>
    </row>
    <row r="76" spans="1:23" ht="17.25" x14ac:dyDescent="0.25">
      <c r="A76" s="89" t="s">
        <v>167</v>
      </c>
      <c r="B76" s="90"/>
      <c r="C76" s="90"/>
      <c r="D76" s="90"/>
      <c r="U76" s="77">
        <v>26</v>
      </c>
      <c r="W76" s="13" t="s">
        <v>119</v>
      </c>
    </row>
    <row r="77" spans="1:23" ht="17.25" x14ac:dyDescent="0.25">
      <c r="A77" s="250" t="s">
        <v>168</v>
      </c>
      <c r="B77" s="250"/>
      <c r="C77" s="250"/>
      <c r="U77" s="77">
        <v>27</v>
      </c>
      <c r="W77" s="13" t="s">
        <v>52</v>
      </c>
    </row>
    <row r="78" spans="1:23" ht="17.25" x14ac:dyDescent="0.25">
      <c r="A78" s="248" t="s">
        <v>81</v>
      </c>
      <c r="B78" s="248"/>
      <c r="C78" s="248"/>
      <c r="U78" s="77">
        <v>28</v>
      </c>
      <c r="W78" s="13" t="s">
        <v>125</v>
      </c>
    </row>
    <row r="79" spans="1:23" ht="17.25" x14ac:dyDescent="0.25">
      <c r="A79" s="248" t="s">
        <v>30</v>
      </c>
      <c r="B79" s="248"/>
      <c r="C79" s="248"/>
      <c r="U79" s="77">
        <v>29</v>
      </c>
      <c r="W79" s="13" t="s">
        <v>111</v>
      </c>
    </row>
    <row r="80" spans="1:23" ht="17.25" x14ac:dyDescent="0.25">
      <c r="A80" s="248" t="s">
        <v>120</v>
      </c>
      <c r="B80" s="248"/>
      <c r="C80" s="248"/>
      <c r="U80" s="77">
        <v>30</v>
      </c>
      <c r="W80" s="13" t="s">
        <v>18</v>
      </c>
    </row>
    <row r="81" spans="1:23" ht="17.25" x14ac:dyDescent="0.25">
      <c r="A81" s="248" t="s">
        <v>16</v>
      </c>
      <c r="B81" s="248"/>
      <c r="C81" s="248"/>
      <c r="U81" s="77">
        <v>31</v>
      </c>
      <c r="W81" s="13" t="s">
        <v>169</v>
      </c>
    </row>
    <row r="82" spans="1:23" ht="17.25" x14ac:dyDescent="0.25">
      <c r="A82" s="248" t="s">
        <v>52</v>
      </c>
      <c r="B82" s="248"/>
      <c r="C82" s="248"/>
      <c r="U82" s="77">
        <v>32</v>
      </c>
      <c r="W82" s="22" t="s">
        <v>81</v>
      </c>
    </row>
    <row r="83" spans="1:23" ht="17.25" x14ac:dyDescent="0.25">
      <c r="A83" s="248" t="s">
        <v>111</v>
      </c>
      <c r="B83" s="248"/>
      <c r="C83" s="248"/>
      <c r="U83" s="77">
        <v>33</v>
      </c>
      <c r="W83" s="22" t="s">
        <v>52</v>
      </c>
    </row>
    <row r="84" spans="1:23" ht="17.25" x14ac:dyDescent="0.25">
      <c r="A84" s="248" t="s">
        <v>122</v>
      </c>
      <c r="B84" s="248"/>
      <c r="C84" s="248"/>
      <c r="U84" s="77">
        <v>34</v>
      </c>
      <c r="W84" s="13" t="s">
        <v>55</v>
      </c>
    </row>
    <row r="85" spans="1:23" ht="17.25" x14ac:dyDescent="0.25">
      <c r="A85" s="248" t="s">
        <v>116</v>
      </c>
      <c r="B85" s="248"/>
      <c r="C85" s="248"/>
      <c r="U85" s="77">
        <v>35</v>
      </c>
      <c r="W85" s="13" t="s">
        <v>43</v>
      </c>
    </row>
    <row r="86" spans="1:23" ht="17.25" x14ac:dyDescent="0.25">
      <c r="A86" s="248" t="s">
        <v>124</v>
      </c>
      <c r="B86" s="248"/>
      <c r="C86" s="248"/>
      <c r="U86" s="77">
        <v>36</v>
      </c>
      <c r="W86" s="22" t="s">
        <v>52</v>
      </c>
    </row>
    <row r="87" spans="1:23" ht="17.25" x14ac:dyDescent="0.25">
      <c r="A87" s="91"/>
      <c r="U87" s="77">
        <v>37</v>
      </c>
      <c r="W87" s="13" t="s">
        <v>55</v>
      </c>
    </row>
    <row r="88" spans="1:23" ht="17.25" x14ac:dyDescent="0.25">
      <c r="A88" s="92"/>
      <c r="U88" s="77">
        <v>38</v>
      </c>
      <c r="W88" s="22" t="s">
        <v>52</v>
      </c>
    </row>
    <row r="89" spans="1:23" ht="17.25" x14ac:dyDescent="0.25">
      <c r="A89" s="91"/>
      <c r="U89" s="77">
        <v>39</v>
      </c>
      <c r="W89" s="13" t="s">
        <v>18</v>
      </c>
    </row>
    <row r="90" spans="1:23" ht="17.25" x14ac:dyDescent="0.25">
      <c r="A90" s="92"/>
      <c r="U90" s="77">
        <v>40</v>
      </c>
      <c r="W90" s="22" t="s">
        <v>52</v>
      </c>
    </row>
    <row r="91" spans="1:23" ht="17.25" x14ac:dyDescent="0.25">
      <c r="A91" s="91"/>
      <c r="U91" s="77">
        <v>41</v>
      </c>
      <c r="W91" s="13" t="s">
        <v>170</v>
      </c>
    </row>
    <row r="92" spans="1:23" ht="17.25" x14ac:dyDescent="0.25">
      <c r="A92" s="92"/>
      <c r="U92" s="77">
        <v>42</v>
      </c>
      <c r="W92" s="13" t="s">
        <v>171</v>
      </c>
    </row>
    <row r="93" spans="1:23" ht="17.25" x14ac:dyDescent="0.25">
      <c r="A93" s="91"/>
      <c r="U93" s="77">
        <v>43</v>
      </c>
      <c r="W93" s="13" t="s">
        <v>81</v>
      </c>
    </row>
    <row r="94" spans="1:23" ht="17.25" x14ac:dyDescent="0.25">
      <c r="A94" s="92"/>
      <c r="U94" s="77">
        <v>44</v>
      </c>
      <c r="W94" s="13" t="s">
        <v>52</v>
      </c>
    </row>
    <row r="95" spans="1:23" ht="17.25" x14ac:dyDescent="0.25">
      <c r="A95" s="91"/>
      <c r="U95" s="77">
        <v>45</v>
      </c>
      <c r="W95" s="13" t="s">
        <v>52</v>
      </c>
    </row>
    <row r="96" spans="1:23" ht="17.25" x14ac:dyDescent="0.25">
      <c r="A96" s="92"/>
      <c r="U96" s="77">
        <v>46</v>
      </c>
      <c r="W96" s="13" t="s">
        <v>52</v>
      </c>
    </row>
    <row r="97" spans="1:23" ht="17.25" x14ac:dyDescent="0.25">
      <c r="A97" s="91"/>
      <c r="U97" s="77">
        <v>47</v>
      </c>
      <c r="W97" s="13" t="s">
        <v>18</v>
      </c>
    </row>
    <row r="98" spans="1:23" ht="17.25" x14ac:dyDescent="0.25">
      <c r="A98" s="92"/>
      <c r="U98" s="77">
        <v>48</v>
      </c>
      <c r="W98" s="13" t="s">
        <v>116</v>
      </c>
    </row>
    <row r="99" spans="1:23" ht="17.25" x14ac:dyDescent="0.25">
      <c r="A99" s="91"/>
      <c r="U99" s="77">
        <v>49</v>
      </c>
      <c r="W99" s="13" t="s">
        <v>119</v>
      </c>
    </row>
    <row r="100" spans="1:23" ht="17.25" x14ac:dyDescent="0.25">
      <c r="A100" s="92"/>
      <c r="U100" s="77">
        <v>50</v>
      </c>
      <c r="W100" s="13" t="s">
        <v>111</v>
      </c>
    </row>
    <row r="101" spans="1:23" ht="17.25" x14ac:dyDescent="0.25">
      <c r="A101" s="91"/>
      <c r="U101" s="77">
        <v>51</v>
      </c>
      <c r="W101" s="13" t="s">
        <v>18</v>
      </c>
    </row>
    <row r="102" spans="1:23" ht="17.25" x14ac:dyDescent="0.25">
      <c r="A102" s="92"/>
      <c r="U102" s="77">
        <v>52</v>
      </c>
      <c r="W102" s="13" t="s">
        <v>52</v>
      </c>
    </row>
    <row r="103" spans="1:23" ht="17.25" x14ac:dyDescent="0.25">
      <c r="A103" s="91"/>
      <c r="U103" s="77">
        <v>53</v>
      </c>
      <c r="W103" s="13" t="s">
        <v>125</v>
      </c>
    </row>
    <row r="104" spans="1:23" ht="17.25" x14ac:dyDescent="0.25">
      <c r="A104" s="92"/>
      <c r="W104" s="13" t="s">
        <v>111</v>
      </c>
    </row>
    <row r="105" spans="1:23" ht="17.25" x14ac:dyDescent="0.25">
      <c r="A105" s="91"/>
      <c r="W105" s="13" t="s">
        <v>18</v>
      </c>
    </row>
    <row r="106" spans="1:23" ht="17.25" x14ac:dyDescent="0.25">
      <c r="A106" s="92"/>
      <c r="W106" s="13" t="s">
        <v>169</v>
      </c>
    </row>
    <row r="107" spans="1:23" ht="17.25" x14ac:dyDescent="0.25">
      <c r="A107" s="91"/>
      <c r="W107" s="22" t="s">
        <v>81</v>
      </c>
    </row>
    <row r="108" spans="1:23" ht="17.25" x14ac:dyDescent="0.25">
      <c r="A108" s="92"/>
      <c r="W108" s="13" t="s">
        <v>171</v>
      </c>
    </row>
    <row r="109" spans="1:23" ht="17.25" x14ac:dyDescent="0.25">
      <c r="A109" s="91"/>
      <c r="W109" s="13" t="s">
        <v>171</v>
      </c>
    </row>
    <row r="110" spans="1:23" ht="17.25" x14ac:dyDescent="0.25">
      <c r="A110" s="92"/>
      <c r="W110" s="22" t="s">
        <v>52</v>
      </c>
    </row>
    <row r="111" spans="1:23" ht="17.25" x14ac:dyDescent="0.25">
      <c r="A111" s="91"/>
      <c r="W111" s="13" t="s">
        <v>18</v>
      </c>
    </row>
    <row r="112" spans="1:23" ht="17.25" x14ac:dyDescent="0.25">
      <c r="A112" s="92"/>
      <c r="W112" s="22" t="s">
        <v>52</v>
      </c>
    </row>
    <row r="113" spans="1:23" ht="17.25" x14ac:dyDescent="0.25">
      <c r="A113" s="91"/>
      <c r="W113" s="13" t="s">
        <v>60</v>
      </c>
    </row>
    <row r="114" spans="1:23" ht="17.25" x14ac:dyDescent="0.25">
      <c r="A114" s="92"/>
      <c r="W114" s="22" t="s">
        <v>52</v>
      </c>
    </row>
    <row r="115" spans="1:23" ht="17.25" x14ac:dyDescent="0.25">
      <c r="A115" s="91"/>
      <c r="W115" s="13" t="s">
        <v>60</v>
      </c>
    </row>
    <row r="116" spans="1:23" ht="17.25" x14ac:dyDescent="0.25">
      <c r="A116" s="92"/>
      <c r="W116" s="13" t="s">
        <v>172</v>
      </c>
    </row>
    <row r="117" spans="1:23" ht="17.25" x14ac:dyDescent="0.25">
      <c r="A117" s="91"/>
      <c r="W117" s="13" t="s">
        <v>81</v>
      </c>
    </row>
    <row r="118" spans="1:23" ht="17.25" x14ac:dyDescent="0.25">
      <c r="A118" s="92"/>
      <c r="W118" s="13" t="s">
        <v>173</v>
      </c>
    </row>
    <row r="119" spans="1:23" ht="17.25" x14ac:dyDescent="0.25">
      <c r="A119" s="91"/>
      <c r="W119" s="13" t="s">
        <v>111</v>
      </c>
    </row>
    <row r="120" spans="1:23" ht="17.25" x14ac:dyDescent="0.25">
      <c r="A120" s="92"/>
      <c r="W120" s="13" t="s">
        <v>111</v>
      </c>
    </row>
    <row r="121" spans="1:23" ht="17.25" x14ac:dyDescent="0.25">
      <c r="A121" s="91"/>
      <c r="W121" s="13" t="s">
        <v>18</v>
      </c>
    </row>
    <row r="122" spans="1:23" ht="17.25" x14ac:dyDescent="0.25">
      <c r="A122" s="92"/>
      <c r="W122" s="13" t="s">
        <v>30</v>
      </c>
    </row>
    <row r="123" spans="1:23" ht="17.25" x14ac:dyDescent="0.25">
      <c r="A123" s="91"/>
      <c r="W123" s="13" t="s">
        <v>111</v>
      </c>
    </row>
    <row r="124" spans="1:23" ht="17.25" x14ac:dyDescent="0.25">
      <c r="A124" s="92"/>
      <c r="W124" s="13" t="s">
        <v>18</v>
      </c>
    </row>
    <row r="125" spans="1:23" ht="17.25" x14ac:dyDescent="0.25">
      <c r="A125" s="91"/>
      <c r="W125" s="13" t="s">
        <v>111</v>
      </c>
    </row>
    <row r="126" spans="1:23" ht="17.25" x14ac:dyDescent="0.25">
      <c r="A126" s="92"/>
      <c r="W126" s="13" t="s">
        <v>111</v>
      </c>
    </row>
    <row r="127" spans="1:23" ht="17.25" x14ac:dyDescent="0.25">
      <c r="A127" s="91"/>
      <c r="W127" s="13" t="s">
        <v>18</v>
      </c>
    </row>
    <row r="128" spans="1:23" ht="17.25" x14ac:dyDescent="0.25">
      <c r="A128" s="92"/>
      <c r="W128" s="13" t="s">
        <v>52</v>
      </c>
    </row>
    <row r="129" spans="1:23" ht="17.25" x14ac:dyDescent="0.25">
      <c r="A129" s="91"/>
      <c r="W129" s="13" t="s">
        <v>125</v>
      </c>
    </row>
    <row r="130" spans="1:23" ht="17.25" x14ac:dyDescent="0.25">
      <c r="A130" s="92"/>
      <c r="W130" s="13" t="s">
        <v>111</v>
      </c>
    </row>
    <row r="131" spans="1:23" ht="17.25" x14ac:dyDescent="0.25">
      <c r="A131" s="91"/>
      <c r="W131" s="13" t="s">
        <v>18</v>
      </c>
    </row>
    <row r="132" spans="1:23" ht="17.25" x14ac:dyDescent="0.25">
      <c r="A132" s="92"/>
      <c r="W132" s="13" t="s">
        <v>169</v>
      </c>
    </row>
    <row r="133" spans="1:23" ht="17.25" x14ac:dyDescent="0.25">
      <c r="A133" s="91"/>
      <c r="W133" s="22" t="s">
        <v>81</v>
      </c>
    </row>
    <row r="134" spans="1:23" ht="17.25" x14ac:dyDescent="0.25">
      <c r="A134" s="92"/>
      <c r="W134" s="13" t="s">
        <v>174</v>
      </c>
    </row>
    <row r="135" spans="1:23" ht="17.25" x14ac:dyDescent="0.25">
      <c r="A135" s="91"/>
      <c r="W135" s="22" t="s">
        <v>52</v>
      </c>
    </row>
    <row r="136" spans="1:23" ht="17.25" x14ac:dyDescent="0.25">
      <c r="A136" s="92"/>
      <c r="W136" s="13" t="s">
        <v>55</v>
      </c>
    </row>
    <row r="137" spans="1:23" ht="17.25" x14ac:dyDescent="0.25">
      <c r="A137" s="91"/>
      <c r="W137" s="22" t="s">
        <v>52</v>
      </c>
    </row>
    <row r="138" spans="1:23" ht="17.25" x14ac:dyDescent="0.25">
      <c r="A138" s="92"/>
      <c r="W138" s="13" t="s">
        <v>60</v>
      </c>
    </row>
    <row r="139" spans="1:23" ht="17.25" x14ac:dyDescent="0.25">
      <c r="A139" s="91"/>
      <c r="W139" s="22" t="s">
        <v>52</v>
      </c>
    </row>
    <row r="140" spans="1:23" ht="17.25" x14ac:dyDescent="0.25">
      <c r="A140" s="92"/>
      <c r="W140" s="13" t="s">
        <v>171</v>
      </c>
    </row>
    <row r="141" spans="1:23" ht="17.25" x14ac:dyDescent="0.25">
      <c r="A141" s="91"/>
      <c r="W141" s="13" t="s">
        <v>175</v>
      </c>
    </row>
    <row r="142" spans="1:23" ht="17.25" x14ac:dyDescent="0.25">
      <c r="A142" s="92"/>
      <c r="W142" s="13" t="s">
        <v>171</v>
      </c>
    </row>
    <row r="143" spans="1:23" ht="17.25" x14ac:dyDescent="0.25">
      <c r="A143" s="91"/>
      <c r="W143" s="13" t="s">
        <v>81</v>
      </c>
    </row>
    <row r="144" spans="1:23" ht="17.25" x14ac:dyDescent="0.25">
      <c r="A144" s="92"/>
      <c r="W144" s="13" t="s">
        <v>52</v>
      </c>
    </row>
    <row r="145" spans="1:23" ht="17.25" x14ac:dyDescent="0.25">
      <c r="A145" s="91"/>
      <c r="W145" s="13" t="s">
        <v>52</v>
      </c>
    </row>
    <row r="146" spans="1:23" ht="17.25" x14ac:dyDescent="0.25">
      <c r="A146" s="92"/>
      <c r="W146" s="13" t="s">
        <v>52</v>
      </c>
    </row>
    <row r="147" spans="1:23" ht="17.25" x14ac:dyDescent="0.25">
      <c r="A147" s="91"/>
      <c r="W147" s="13" t="s">
        <v>18</v>
      </c>
    </row>
    <row r="148" spans="1:23" ht="17.25" x14ac:dyDescent="0.25">
      <c r="A148" s="92"/>
      <c r="W148" s="13" t="s">
        <v>116</v>
      </c>
    </row>
    <row r="149" spans="1:23" ht="17.25" x14ac:dyDescent="0.25">
      <c r="A149" s="91"/>
      <c r="W149" s="13" t="s">
        <v>119</v>
      </c>
    </row>
    <row r="150" spans="1:23" ht="17.25" x14ac:dyDescent="0.25">
      <c r="A150" s="92"/>
      <c r="W150" s="13" t="s">
        <v>111</v>
      </c>
    </row>
    <row r="151" spans="1:23" ht="17.25" x14ac:dyDescent="0.25">
      <c r="A151" s="91"/>
      <c r="W151" s="13" t="s">
        <v>18</v>
      </c>
    </row>
    <row r="152" spans="1:23" ht="17.25" x14ac:dyDescent="0.25">
      <c r="A152" s="92"/>
      <c r="W152" s="13" t="s">
        <v>52</v>
      </c>
    </row>
    <row r="153" spans="1:23" ht="17.25" x14ac:dyDescent="0.25">
      <c r="A153" s="91"/>
      <c r="W153" s="13" t="s">
        <v>125</v>
      </c>
    </row>
    <row r="154" spans="1:23" ht="17.25" x14ac:dyDescent="0.25">
      <c r="A154" s="92"/>
      <c r="W154" s="13" t="s">
        <v>111</v>
      </c>
    </row>
    <row r="155" spans="1:23" ht="17.25" x14ac:dyDescent="0.25">
      <c r="A155" s="91"/>
      <c r="W155" s="13" t="s">
        <v>18</v>
      </c>
    </row>
    <row r="156" spans="1:23" ht="17.25" x14ac:dyDescent="0.25">
      <c r="A156" s="92"/>
      <c r="W156" s="13" t="s">
        <v>127</v>
      </c>
    </row>
    <row r="157" spans="1:23" ht="17.25" x14ac:dyDescent="0.25">
      <c r="A157" s="91"/>
      <c r="W157" s="13" t="s">
        <v>176</v>
      </c>
    </row>
    <row r="158" spans="1:23" ht="17.25" x14ac:dyDescent="0.25">
      <c r="A158" s="92"/>
      <c r="W158" s="13" t="s">
        <v>177</v>
      </c>
    </row>
    <row r="159" spans="1:23" ht="17.25" x14ac:dyDescent="0.25">
      <c r="A159" s="91"/>
      <c r="W159" s="22" t="s">
        <v>52</v>
      </c>
    </row>
    <row r="160" spans="1:23" ht="17.25" x14ac:dyDescent="0.25">
      <c r="A160" s="92"/>
      <c r="W160" s="13" t="s">
        <v>55</v>
      </c>
    </row>
    <row r="161" spans="1:23" ht="17.25" x14ac:dyDescent="0.25">
      <c r="A161" s="91"/>
      <c r="W161" s="22" t="s">
        <v>52</v>
      </c>
    </row>
    <row r="162" spans="1:23" ht="17.25" x14ac:dyDescent="0.25">
      <c r="A162" s="92"/>
      <c r="W162" s="13" t="s">
        <v>178</v>
      </c>
    </row>
    <row r="163" spans="1:23" ht="17.25" x14ac:dyDescent="0.25">
      <c r="A163" s="91"/>
      <c r="W163" s="13" t="s">
        <v>179</v>
      </c>
    </row>
    <row r="164" spans="1:23" ht="17.25" x14ac:dyDescent="0.25">
      <c r="A164" s="92"/>
      <c r="W164" s="13" t="s">
        <v>72</v>
      </c>
    </row>
    <row r="165" spans="1:23" ht="17.25" x14ac:dyDescent="0.25">
      <c r="A165" s="91"/>
      <c r="W165" s="13" t="s">
        <v>30</v>
      </c>
    </row>
    <row r="166" spans="1:23" ht="17.25" x14ac:dyDescent="0.25">
      <c r="A166" s="92"/>
      <c r="W166" s="13" t="s">
        <v>33</v>
      </c>
    </row>
    <row r="167" spans="1:23" ht="17.25" x14ac:dyDescent="0.25">
      <c r="A167" s="91"/>
      <c r="W167" s="13" t="s">
        <v>33</v>
      </c>
    </row>
    <row r="168" spans="1:23" ht="18.75" x14ac:dyDescent="0.25">
      <c r="A168" s="92"/>
      <c r="W168" s="29" t="s">
        <v>180</v>
      </c>
    </row>
    <row r="169" spans="1:23" ht="18.75" x14ac:dyDescent="0.25">
      <c r="A169" s="91"/>
      <c r="W169" s="29" t="s">
        <v>138</v>
      </c>
    </row>
    <row r="170" spans="1:23" ht="18.75" x14ac:dyDescent="0.25">
      <c r="A170" s="92"/>
      <c r="W170" s="29" t="s">
        <v>180</v>
      </c>
    </row>
    <row r="171" spans="1:23" ht="17.25" x14ac:dyDescent="0.25">
      <c r="A171" s="91"/>
      <c r="W171" s="13" t="s">
        <v>180</v>
      </c>
    </row>
    <row r="172" spans="1:23" ht="17.25" x14ac:dyDescent="0.25">
      <c r="A172" s="92"/>
      <c r="W172" s="13" t="s">
        <v>180</v>
      </c>
    </row>
    <row r="173" spans="1:23" ht="17.25" x14ac:dyDescent="0.25">
      <c r="A173" s="91"/>
      <c r="W173" s="13" t="s">
        <v>180</v>
      </c>
    </row>
    <row r="174" spans="1:23" ht="17.25" x14ac:dyDescent="0.25">
      <c r="A174" s="92"/>
      <c r="W174" s="13" t="s">
        <v>181</v>
      </c>
    </row>
    <row r="175" spans="1:23" ht="17.25" x14ac:dyDescent="0.25">
      <c r="A175" s="91"/>
      <c r="W175" s="13" t="s">
        <v>165</v>
      </c>
    </row>
    <row r="176" spans="1:23" ht="17.25" x14ac:dyDescent="0.25">
      <c r="A176" s="92"/>
      <c r="W176" s="13" t="s">
        <v>165</v>
      </c>
    </row>
    <row r="177" spans="1:23" ht="17.25" x14ac:dyDescent="0.25">
      <c r="A177" s="91"/>
      <c r="W177" s="13" t="s">
        <v>180</v>
      </c>
    </row>
    <row r="178" spans="1:23" ht="17.25" x14ac:dyDescent="0.25">
      <c r="A178" s="92"/>
      <c r="W178" s="13" t="s">
        <v>180</v>
      </c>
    </row>
    <row r="179" spans="1:23" ht="17.25" x14ac:dyDescent="0.25">
      <c r="A179" s="91"/>
      <c r="W179" s="13" t="s">
        <v>180</v>
      </c>
    </row>
    <row r="180" spans="1:23" ht="18.75" x14ac:dyDescent="0.25">
      <c r="A180" s="92"/>
      <c r="W180" s="28" t="s">
        <v>81</v>
      </c>
    </row>
    <row r="181" spans="1:23" ht="18.75" x14ac:dyDescent="0.25">
      <c r="A181" s="91"/>
      <c r="W181" s="29" t="s">
        <v>174</v>
      </c>
    </row>
    <row r="182" spans="1:23" ht="18.75" x14ac:dyDescent="0.25">
      <c r="A182" s="92"/>
      <c r="W182" s="28" t="s">
        <v>52</v>
      </c>
    </row>
    <row r="183" spans="1:23" ht="18.75" x14ac:dyDescent="0.25">
      <c r="A183" s="91"/>
      <c r="W183" s="29" t="s">
        <v>55</v>
      </c>
    </row>
    <row r="184" spans="1:23" ht="17.25" x14ac:dyDescent="0.25">
      <c r="A184" s="92"/>
      <c r="W184" s="22" t="s">
        <v>52</v>
      </c>
    </row>
    <row r="185" spans="1:23" ht="17.25" x14ac:dyDescent="0.25">
      <c r="A185" s="91"/>
      <c r="W185" s="13" t="s">
        <v>60</v>
      </c>
    </row>
    <row r="186" spans="1:23" ht="17.25" x14ac:dyDescent="0.25">
      <c r="A186" s="92"/>
      <c r="W186" s="22" t="s">
        <v>81</v>
      </c>
    </row>
    <row r="187" spans="1:23" ht="17.25" x14ac:dyDescent="0.25">
      <c r="A187" s="91"/>
      <c r="W187" s="13" t="s">
        <v>60</v>
      </c>
    </row>
    <row r="188" spans="1:23" ht="17.25" x14ac:dyDescent="0.25">
      <c r="A188" s="92"/>
      <c r="W188" s="13" t="s">
        <v>171</v>
      </c>
    </row>
    <row r="189" spans="1:23" ht="17.25" x14ac:dyDescent="0.25">
      <c r="A189" s="91"/>
      <c r="W189" s="13" t="s">
        <v>81</v>
      </c>
    </row>
    <row r="190" spans="1:23" ht="17.25" x14ac:dyDescent="0.25">
      <c r="A190" s="92"/>
      <c r="W190" s="13" t="s">
        <v>52</v>
      </c>
    </row>
    <row r="191" spans="1:23" ht="17.25" x14ac:dyDescent="0.25">
      <c r="A191" s="91"/>
      <c r="W191" s="13" t="s">
        <v>52</v>
      </c>
    </row>
    <row r="192" spans="1:23" ht="17.25" x14ac:dyDescent="0.25">
      <c r="A192" s="92"/>
      <c r="W192" s="13" t="s">
        <v>52</v>
      </c>
    </row>
    <row r="193" spans="1:23" ht="17.25" x14ac:dyDescent="0.25">
      <c r="A193" s="91"/>
      <c r="W193" s="13" t="s">
        <v>182</v>
      </c>
    </row>
    <row r="194" spans="1:23" ht="17.25" x14ac:dyDescent="0.25">
      <c r="A194" s="92"/>
      <c r="W194" s="13" t="s">
        <v>164</v>
      </c>
    </row>
    <row r="195" spans="1:23" ht="17.25" x14ac:dyDescent="0.25">
      <c r="A195" s="91"/>
      <c r="W195" s="13" t="s">
        <v>52</v>
      </c>
    </row>
    <row r="196" spans="1:23" ht="17.25" x14ac:dyDescent="0.25">
      <c r="A196" s="92"/>
      <c r="W196" s="13" t="s">
        <v>18</v>
      </c>
    </row>
    <row r="197" spans="1:23" ht="17.25" x14ac:dyDescent="0.25">
      <c r="A197" s="91"/>
      <c r="W197" s="13" t="s">
        <v>52</v>
      </c>
    </row>
    <row r="198" spans="1:23" ht="17.25" x14ac:dyDescent="0.25">
      <c r="A198" s="92"/>
      <c r="W198" s="13" t="s">
        <v>111</v>
      </c>
    </row>
    <row r="199" spans="1:23" ht="17.25" x14ac:dyDescent="0.25">
      <c r="A199" s="91"/>
      <c r="W199" s="13" t="s">
        <v>18</v>
      </c>
    </row>
    <row r="200" spans="1:23" ht="17.25" x14ac:dyDescent="0.25">
      <c r="A200" s="92"/>
      <c r="W200" s="13" t="s">
        <v>169</v>
      </c>
    </row>
    <row r="201" spans="1:23" ht="18.75" x14ac:dyDescent="0.25">
      <c r="A201" s="91"/>
      <c r="W201" s="28" t="s">
        <v>81</v>
      </c>
    </row>
    <row r="202" spans="1:23" ht="18.75" x14ac:dyDescent="0.25">
      <c r="A202" s="92"/>
      <c r="W202" s="28" t="s">
        <v>52</v>
      </c>
    </row>
    <row r="203" spans="1:23" ht="18.75" x14ac:dyDescent="0.25">
      <c r="A203" s="91"/>
      <c r="W203" s="29" t="s">
        <v>55</v>
      </c>
    </row>
    <row r="204" spans="1:23" ht="18.75" x14ac:dyDescent="0.25">
      <c r="A204" s="92"/>
      <c r="W204" s="29" t="s">
        <v>43</v>
      </c>
    </row>
    <row r="205" spans="1:23" ht="18.75" x14ac:dyDescent="0.25">
      <c r="A205" s="91"/>
      <c r="W205" s="28" t="s">
        <v>52</v>
      </c>
    </row>
    <row r="206" spans="1:23" ht="18.75" x14ac:dyDescent="0.25">
      <c r="A206" s="92"/>
      <c r="W206" s="29" t="s">
        <v>55</v>
      </c>
    </row>
    <row r="207" spans="1:23" ht="17.25" x14ac:dyDescent="0.25">
      <c r="A207" s="91"/>
      <c r="W207" s="22" t="s">
        <v>52</v>
      </c>
    </row>
    <row r="208" spans="1:23" ht="17.25" x14ac:dyDescent="0.25">
      <c r="A208" s="92"/>
      <c r="W208" s="13" t="s">
        <v>60</v>
      </c>
    </row>
    <row r="209" spans="1:23" ht="17.25" x14ac:dyDescent="0.25">
      <c r="A209" s="91"/>
      <c r="W209" s="85" t="s">
        <v>183</v>
      </c>
    </row>
    <row r="210" spans="1:23" ht="17.25" x14ac:dyDescent="0.25">
      <c r="A210" s="92"/>
      <c r="W210" s="22" t="s">
        <v>52</v>
      </c>
    </row>
    <row r="211" spans="1:23" ht="17.25" x14ac:dyDescent="0.25">
      <c r="A211" s="91"/>
      <c r="W211" s="13" t="s">
        <v>60</v>
      </c>
    </row>
    <row r="212" spans="1:23" ht="17.25" x14ac:dyDescent="0.25">
      <c r="A212" s="92"/>
      <c r="W212" s="22" t="s">
        <v>52</v>
      </c>
    </row>
    <row r="213" spans="1:23" ht="17.25" x14ac:dyDescent="0.25">
      <c r="A213" s="91"/>
      <c r="W213" s="13" t="s">
        <v>60</v>
      </c>
    </row>
    <row r="214" spans="1:23" ht="17.25" x14ac:dyDescent="0.25">
      <c r="A214" s="92"/>
      <c r="W214" s="13" t="s">
        <v>155</v>
      </c>
    </row>
    <row r="215" spans="1:23" ht="17.25" x14ac:dyDescent="0.25">
      <c r="A215" s="91"/>
      <c r="W215" s="13" t="s">
        <v>81</v>
      </c>
    </row>
    <row r="216" spans="1:23" ht="17.25" x14ac:dyDescent="0.25">
      <c r="A216" s="92"/>
      <c r="W216" s="13" t="s">
        <v>183</v>
      </c>
    </row>
    <row r="217" spans="1:23" ht="17.25" x14ac:dyDescent="0.25">
      <c r="A217" s="91"/>
      <c r="W217" s="13" t="s">
        <v>52</v>
      </c>
    </row>
    <row r="218" spans="1:23" ht="17.25" x14ac:dyDescent="0.25">
      <c r="A218" s="92"/>
      <c r="W218" s="13" t="s">
        <v>171</v>
      </c>
    </row>
    <row r="219" spans="1:23" ht="17.25" x14ac:dyDescent="0.25">
      <c r="A219" s="91"/>
      <c r="W219" s="13" t="s">
        <v>52</v>
      </c>
    </row>
    <row r="220" spans="1:23" ht="17.25" x14ac:dyDescent="0.25">
      <c r="A220" s="92"/>
      <c r="W220" s="13" t="s">
        <v>52</v>
      </c>
    </row>
    <row r="221" spans="1:23" ht="17.25" x14ac:dyDescent="0.25">
      <c r="A221" s="91"/>
      <c r="W221" s="13" t="s">
        <v>18</v>
      </c>
    </row>
    <row r="222" spans="1:23" ht="17.25" x14ac:dyDescent="0.25">
      <c r="A222" s="92"/>
      <c r="W222" s="13" t="s">
        <v>111</v>
      </c>
    </row>
    <row r="223" spans="1:23" ht="17.25" x14ac:dyDescent="0.25">
      <c r="A223" s="91"/>
      <c r="W223" s="13" t="s">
        <v>18</v>
      </c>
    </row>
    <row r="224" spans="1:23" ht="17.25" x14ac:dyDescent="0.25">
      <c r="A224" s="92"/>
      <c r="W224" s="13" t="s">
        <v>111</v>
      </c>
    </row>
    <row r="225" spans="1:23" ht="17.25" x14ac:dyDescent="0.25">
      <c r="A225" s="91"/>
      <c r="W225" s="13" t="s">
        <v>18</v>
      </c>
    </row>
    <row r="226" spans="1:23" ht="17.25" x14ac:dyDescent="0.25">
      <c r="A226" s="92"/>
      <c r="W226" s="13" t="s">
        <v>52</v>
      </c>
    </row>
    <row r="227" spans="1:23" ht="17.25" x14ac:dyDescent="0.25">
      <c r="A227" s="91"/>
      <c r="W227" s="13" t="s">
        <v>125</v>
      </c>
    </row>
    <row r="228" spans="1:23" ht="17.25" x14ac:dyDescent="0.25">
      <c r="A228" s="92"/>
      <c r="W228" s="13" t="s">
        <v>111</v>
      </c>
    </row>
    <row r="229" spans="1:23" ht="17.25" x14ac:dyDescent="0.25">
      <c r="A229" s="91"/>
      <c r="W229" s="13" t="s">
        <v>18</v>
      </c>
    </row>
    <row r="230" spans="1:23" ht="17.25" x14ac:dyDescent="0.25">
      <c r="A230" s="92"/>
      <c r="W230" s="13" t="s">
        <v>169</v>
      </c>
    </row>
    <row r="231" spans="1:23" x14ac:dyDescent="0.25">
      <c r="A231" s="91"/>
    </row>
    <row r="232" spans="1:23" x14ac:dyDescent="0.25">
      <c r="A232" s="92"/>
    </row>
    <row r="233" spans="1:23" x14ac:dyDescent="0.25">
      <c r="A233" s="91"/>
    </row>
    <row r="234" spans="1:23" x14ac:dyDescent="0.25">
      <c r="A234" s="92"/>
    </row>
    <row r="235" spans="1:23" x14ac:dyDescent="0.25">
      <c r="A235" s="91"/>
    </row>
    <row r="236" spans="1:23" x14ac:dyDescent="0.25">
      <c r="A236" s="92"/>
    </row>
    <row r="237" spans="1:23" x14ac:dyDescent="0.25">
      <c r="A237" s="91"/>
    </row>
    <row r="238" spans="1:23" x14ac:dyDescent="0.25">
      <c r="A238" s="92"/>
    </row>
    <row r="239" spans="1:23" x14ac:dyDescent="0.25">
      <c r="A239" s="91"/>
    </row>
    <row r="240" spans="1:23" x14ac:dyDescent="0.25">
      <c r="A240" s="92"/>
    </row>
    <row r="241" spans="1:1" x14ac:dyDescent="0.25">
      <c r="A241" s="91"/>
    </row>
    <row r="242" spans="1:1" x14ac:dyDescent="0.25">
      <c r="A242" s="92"/>
    </row>
    <row r="243" spans="1:1" x14ac:dyDescent="0.25">
      <c r="A243" s="91"/>
    </row>
    <row r="244" spans="1:1" x14ac:dyDescent="0.25">
      <c r="A244" s="92"/>
    </row>
    <row r="245" spans="1:1" x14ac:dyDescent="0.25">
      <c r="A245" s="91"/>
    </row>
    <row r="246" spans="1:1" x14ac:dyDescent="0.25">
      <c r="A246" s="92"/>
    </row>
    <row r="247" spans="1:1" x14ac:dyDescent="0.25">
      <c r="A247" s="91"/>
    </row>
    <row r="248" spans="1:1" x14ac:dyDescent="0.25">
      <c r="A248" s="92"/>
    </row>
    <row r="249" spans="1:1" x14ac:dyDescent="0.25">
      <c r="A249" s="91"/>
    </row>
    <row r="250" spans="1:1" x14ac:dyDescent="0.25">
      <c r="A250" s="92"/>
    </row>
    <row r="251" spans="1:1" x14ac:dyDescent="0.25">
      <c r="A251" s="91"/>
    </row>
    <row r="252" spans="1:1" x14ac:dyDescent="0.25">
      <c r="A252" s="92"/>
    </row>
    <row r="253" spans="1:1" x14ac:dyDescent="0.25">
      <c r="A253" s="91"/>
    </row>
    <row r="254" spans="1:1" x14ac:dyDescent="0.25">
      <c r="A254" s="92"/>
    </row>
    <row r="255" spans="1:1" x14ac:dyDescent="0.25">
      <c r="A255" s="91"/>
    </row>
    <row r="256" spans="1:1" x14ac:dyDescent="0.25">
      <c r="A256" s="92"/>
    </row>
    <row r="257" spans="1:1" x14ac:dyDescent="0.25">
      <c r="A257" s="91"/>
    </row>
    <row r="258" spans="1:1" x14ac:dyDescent="0.25">
      <c r="A258" s="92"/>
    </row>
    <row r="259" spans="1:1" x14ac:dyDescent="0.25">
      <c r="A259" s="91"/>
    </row>
    <row r="260" spans="1:1" x14ac:dyDescent="0.25">
      <c r="A260" s="92"/>
    </row>
    <row r="261" spans="1:1" x14ac:dyDescent="0.25">
      <c r="A261" s="91"/>
    </row>
    <row r="262" spans="1:1" x14ac:dyDescent="0.25">
      <c r="A262" s="92"/>
    </row>
    <row r="263" spans="1:1" x14ac:dyDescent="0.25">
      <c r="A263" s="91"/>
    </row>
    <row r="264" spans="1:1" x14ac:dyDescent="0.25">
      <c r="A264" s="92"/>
    </row>
    <row r="265" spans="1:1" x14ac:dyDescent="0.25">
      <c r="A265" s="91"/>
    </row>
    <row r="266" spans="1:1" x14ac:dyDescent="0.25">
      <c r="A266" s="92"/>
    </row>
    <row r="267" spans="1:1" x14ac:dyDescent="0.25">
      <c r="A267" s="91"/>
    </row>
    <row r="268" spans="1:1" x14ac:dyDescent="0.25">
      <c r="A268" s="92"/>
    </row>
    <row r="269" spans="1:1" x14ac:dyDescent="0.25">
      <c r="A269" s="91"/>
    </row>
    <row r="270" spans="1:1" x14ac:dyDescent="0.25">
      <c r="A270" s="92"/>
    </row>
    <row r="271" spans="1:1" x14ac:dyDescent="0.25">
      <c r="A271" s="91"/>
    </row>
    <row r="272" spans="1:1" x14ac:dyDescent="0.25">
      <c r="A272" s="92"/>
    </row>
    <row r="273" spans="1:1" x14ac:dyDescent="0.25">
      <c r="A273" s="91"/>
    </row>
    <row r="274" spans="1:1" x14ac:dyDescent="0.25">
      <c r="A274" s="92"/>
    </row>
    <row r="275" spans="1:1" x14ac:dyDescent="0.25">
      <c r="A275" s="91"/>
    </row>
    <row r="276" spans="1:1" x14ac:dyDescent="0.25">
      <c r="A276" s="92"/>
    </row>
    <row r="277" spans="1:1" x14ac:dyDescent="0.25">
      <c r="A277" s="91"/>
    </row>
    <row r="278" spans="1:1" x14ac:dyDescent="0.25">
      <c r="A278" s="92"/>
    </row>
    <row r="279" spans="1:1" x14ac:dyDescent="0.25">
      <c r="A279" s="91"/>
    </row>
    <row r="280" spans="1:1" x14ac:dyDescent="0.25">
      <c r="A280" s="92"/>
    </row>
    <row r="281" spans="1:1" x14ac:dyDescent="0.25">
      <c r="A281" s="91"/>
    </row>
    <row r="282" spans="1:1" x14ac:dyDescent="0.25">
      <c r="A282" s="92"/>
    </row>
    <row r="283" spans="1:1" x14ac:dyDescent="0.25">
      <c r="A283" s="91"/>
    </row>
    <row r="284" spans="1:1" x14ac:dyDescent="0.25">
      <c r="A284" s="92"/>
    </row>
    <row r="285" spans="1:1" x14ac:dyDescent="0.25">
      <c r="A285" s="91"/>
    </row>
    <row r="286" spans="1:1" x14ac:dyDescent="0.25">
      <c r="A286" s="92"/>
    </row>
    <row r="287" spans="1:1" x14ac:dyDescent="0.25">
      <c r="A287" s="91"/>
    </row>
    <row r="288" spans="1:1" x14ac:dyDescent="0.25">
      <c r="A288" s="92"/>
    </row>
    <row r="289" spans="1:1" x14ac:dyDescent="0.25">
      <c r="A289" s="91"/>
    </row>
    <row r="290" spans="1:1" x14ac:dyDescent="0.25">
      <c r="A290" s="92"/>
    </row>
    <row r="291" spans="1:1" x14ac:dyDescent="0.25">
      <c r="A291" s="91"/>
    </row>
    <row r="292" spans="1:1" x14ac:dyDescent="0.25">
      <c r="A292" s="92"/>
    </row>
    <row r="293" spans="1:1" x14ac:dyDescent="0.25">
      <c r="A293" s="91"/>
    </row>
    <row r="294" spans="1:1" x14ac:dyDescent="0.25">
      <c r="A294" s="92"/>
    </row>
    <row r="295" spans="1:1" x14ac:dyDescent="0.25">
      <c r="A295" s="91"/>
    </row>
    <row r="296" spans="1:1" x14ac:dyDescent="0.25">
      <c r="A296" s="92"/>
    </row>
    <row r="297" spans="1:1" x14ac:dyDescent="0.25">
      <c r="A297" s="91"/>
    </row>
    <row r="298" spans="1:1" x14ac:dyDescent="0.25">
      <c r="A298" s="92"/>
    </row>
    <row r="299" spans="1:1" x14ac:dyDescent="0.25">
      <c r="A299" s="91"/>
    </row>
    <row r="300" spans="1:1" x14ac:dyDescent="0.25">
      <c r="A300" s="92"/>
    </row>
    <row r="301" spans="1:1" x14ac:dyDescent="0.25">
      <c r="A301" s="91"/>
    </row>
    <row r="302" spans="1:1" x14ac:dyDescent="0.25">
      <c r="A302" s="92"/>
    </row>
    <row r="303" spans="1:1" x14ac:dyDescent="0.25">
      <c r="A303" s="91"/>
    </row>
    <row r="304" spans="1:1" x14ac:dyDescent="0.25">
      <c r="A304" s="92"/>
    </row>
    <row r="305" spans="1:1" x14ac:dyDescent="0.25">
      <c r="A305" s="91"/>
    </row>
    <row r="306" spans="1:1" x14ac:dyDescent="0.25">
      <c r="A306" s="92"/>
    </row>
    <row r="307" spans="1:1" x14ac:dyDescent="0.25">
      <c r="A307" s="91"/>
    </row>
    <row r="308" spans="1:1" x14ac:dyDescent="0.25">
      <c r="A308" s="92"/>
    </row>
    <row r="309" spans="1:1" x14ac:dyDescent="0.25">
      <c r="A309" s="91"/>
    </row>
    <row r="310" spans="1:1" x14ac:dyDescent="0.25">
      <c r="A310" s="92"/>
    </row>
    <row r="311" spans="1:1" x14ac:dyDescent="0.25">
      <c r="A311" s="91"/>
    </row>
    <row r="312" spans="1:1" x14ac:dyDescent="0.25">
      <c r="A312" s="92"/>
    </row>
    <row r="313" spans="1:1" x14ac:dyDescent="0.25">
      <c r="A313" s="91"/>
    </row>
    <row r="314" spans="1:1" x14ac:dyDescent="0.25">
      <c r="A314" s="92"/>
    </row>
    <row r="315" spans="1:1" x14ac:dyDescent="0.25">
      <c r="A315" s="91"/>
    </row>
    <row r="316" spans="1:1" x14ac:dyDescent="0.25">
      <c r="A316" s="92"/>
    </row>
    <row r="317" spans="1:1" x14ac:dyDescent="0.25">
      <c r="A317" s="91"/>
    </row>
    <row r="318" spans="1:1" x14ac:dyDescent="0.25">
      <c r="A318" s="92"/>
    </row>
    <row r="319" spans="1:1" x14ac:dyDescent="0.25">
      <c r="A319" s="91"/>
    </row>
    <row r="320" spans="1:1" x14ac:dyDescent="0.25">
      <c r="A320" s="92"/>
    </row>
    <row r="321" spans="1:1" x14ac:dyDescent="0.25">
      <c r="A321" s="91"/>
    </row>
    <row r="322" spans="1:1" x14ac:dyDescent="0.25">
      <c r="A322" s="92"/>
    </row>
    <row r="323" spans="1:1" x14ac:dyDescent="0.25">
      <c r="A323" s="91"/>
    </row>
    <row r="324" spans="1:1" x14ac:dyDescent="0.25">
      <c r="A324" s="92"/>
    </row>
    <row r="325" spans="1:1" x14ac:dyDescent="0.25">
      <c r="A325" s="91"/>
    </row>
    <row r="326" spans="1:1" x14ac:dyDescent="0.25">
      <c r="A326" s="92"/>
    </row>
    <row r="327" spans="1:1" x14ac:dyDescent="0.25">
      <c r="A327" s="91"/>
    </row>
    <row r="328" spans="1:1" x14ac:dyDescent="0.25">
      <c r="A328" s="92"/>
    </row>
    <row r="329" spans="1:1" x14ac:dyDescent="0.25">
      <c r="A329" s="91"/>
    </row>
    <row r="330" spans="1:1" x14ac:dyDescent="0.25">
      <c r="A330" s="92"/>
    </row>
    <row r="331" spans="1:1" x14ac:dyDescent="0.25">
      <c r="A331" s="91"/>
    </row>
    <row r="332" spans="1:1" x14ac:dyDescent="0.25">
      <c r="A332" s="92"/>
    </row>
    <row r="333" spans="1:1" x14ac:dyDescent="0.25">
      <c r="A333" s="91"/>
    </row>
    <row r="334" spans="1:1" x14ac:dyDescent="0.25">
      <c r="A334" s="92"/>
    </row>
    <row r="335" spans="1:1" x14ac:dyDescent="0.25">
      <c r="A335" s="91"/>
    </row>
    <row r="336" spans="1:1" x14ac:dyDescent="0.25">
      <c r="A336" s="92"/>
    </row>
    <row r="337" spans="1:1" x14ac:dyDescent="0.25">
      <c r="A337" s="91"/>
    </row>
    <row r="338" spans="1:1" x14ac:dyDescent="0.25">
      <c r="A338" s="92"/>
    </row>
    <row r="339" spans="1:1" x14ac:dyDescent="0.25">
      <c r="A339" s="91"/>
    </row>
    <row r="340" spans="1:1" x14ac:dyDescent="0.25">
      <c r="A340" s="92"/>
    </row>
    <row r="341" spans="1:1" x14ac:dyDescent="0.25">
      <c r="A341" s="91"/>
    </row>
    <row r="342" spans="1:1" x14ac:dyDescent="0.25">
      <c r="A342" s="92"/>
    </row>
    <row r="343" spans="1:1" x14ac:dyDescent="0.25">
      <c r="A343" s="91"/>
    </row>
    <row r="344" spans="1:1" x14ac:dyDescent="0.25">
      <c r="A344" s="92"/>
    </row>
    <row r="345" spans="1:1" x14ac:dyDescent="0.25">
      <c r="A345" s="91"/>
    </row>
    <row r="346" spans="1:1" x14ac:dyDescent="0.25">
      <c r="A346" s="92"/>
    </row>
    <row r="347" spans="1:1" x14ac:dyDescent="0.25">
      <c r="A347" s="91"/>
    </row>
    <row r="348" spans="1:1" x14ac:dyDescent="0.25">
      <c r="A348" s="92"/>
    </row>
    <row r="349" spans="1:1" x14ac:dyDescent="0.25">
      <c r="A349" s="91"/>
    </row>
    <row r="350" spans="1:1" x14ac:dyDescent="0.25">
      <c r="A350" s="92"/>
    </row>
    <row r="351" spans="1:1" x14ac:dyDescent="0.25">
      <c r="A351" s="91"/>
    </row>
    <row r="352" spans="1:1" x14ac:dyDescent="0.25">
      <c r="A352" s="92"/>
    </row>
    <row r="353" spans="1:1" x14ac:dyDescent="0.25">
      <c r="A353" s="91"/>
    </row>
    <row r="354" spans="1:1" x14ac:dyDescent="0.25">
      <c r="A354" s="92"/>
    </row>
    <row r="355" spans="1:1" x14ac:dyDescent="0.25">
      <c r="A355" s="91"/>
    </row>
    <row r="356" spans="1:1" x14ac:dyDescent="0.25">
      <c r="A356" s="92"/>
    </row>
    <row r="357" spans="1:1" x14ac:dyDescent="0.25">
      <c r="A357" s="91"/>
    </row>
    <row r="358" spans="1:1" x14ac:dyDescent="0.25">
      <c r="A358" s="92"/>
    </row>
    <row r="359" spans="1:1" x14ac:dyDescent="0.25">
      <c r="A359" s="91"/>
    </row>
    <row r="360" spans="1:1" x14ac:dyDescent="0.25">
      <c r="A360" s="92"/>
    </row>
    <row r="361" spans="1:1" x14ac:dyDescent="0.25">
      <c r="A361" s="91"/>
    </row>
    <row r="362" spans="1:1" x14ac:dyDescent="0.25">
      <c r="A362" s="92"/>
    </row>
    <row r="363" spans="1:1" x14ac:dyDescent="0.25">
      <c r="A363" s="91"/>
    </row>
    <row r="364" spans="1:1" x14ac:dyDescent="0.25">
      <c r="A364" s="92"/>
    </row>
    <row r="365" spans="1:1" x14ac:dyDescent="0.25">
      <c r="A365" s="91"/>
    </row>
    <row r="366" spans="1:1" x14ac:dyDescent="0.25">
      <c r="A366" s="92"/>
    </row>
    <row r="367" spans="1:1" x14ac:dyDescent="0.25">
      <c r="A367" s="91"/>
    </row>
    <row r="368" spans="1:1" x14ac:dyDescent="0.25">
      <c r="A368" s="92"/>
    </row>
    <row r="369" spans="1:1" x14ac:dyDescent="0.25">
      <c r="A369" s="91"/>
    </row>
    <row r="370" spans="1:1" x14ac:dyDescent="0.25">
      <c r="A370" s="92"/>
    </row>
    <row r="371" spans="1:1" x14ac:dyDescent="0.25">
      <c r="A371" s="91"/>
    </row>
    <row r="372" spans="1:1" x14ac:dyDescent="0.25">
      <c r="A372" s="92"/>
    </row>
    <row r="373" spans="1:1" x14ac:dyDescent="0.25">
      <c r="A373" s="91"/>
    </row>
    <row r="374" spans="1:1" x14ac:dyDescent="0.25">
      <c r="A374" s="92"/>
    </row>
    <row r="375" spans="1:1" x14ac:dyDescent="0.25">
      <c r="A375" s="91"/>
    </row>
    <row r="376" spans="1:1" x14ac:dyDescent="0.25">
      <c r="A376" s="92"/>
    </row>
    <row r="377" spans="1:1" x14ac:dyDescent="0.25">
      <c r="A377" s="91"/>
    </row>
    <row r="378" spans="1:1" x14ac:dyDescent="0.25">
      <c r="A378" s="92"/>
    </row>
    <row r="379" spans="1:1" x14ac:dyDescent="0.25">
      <c r="A379" s="91"/>
    </row>
    <row r="380" spans="1:1" x14ac:dyDescent="0.25">
      <c r="A380" s="92"/>
    </row>
    <row r="381" spans="1:1" x14ac:dyDescent="0.25">
      <c r="A381" s="91"/>
    </row>
    <row r="382" spans="1:1" x14ac:dyDescent="0.25">
      <c r="A382" s="92"/>
    </row>
    <row r="383" spans="1:1" x14ac:dyDescent="0.25">
      <c r="A383" s="91"/>
    </row>
    <row r="384" spans="1:1" x14ac:dyDescent="0.25">
      <c r="A384" s="92"/>
    </row>
    <row r="385" spans="1:1" x14ac:dyDescent="0.25">
      <c r="A385" s="91"/>
    </row>
    <row r="386" spans="1:1" x14ac:dyDescent="0.25">
      <c r="A386" s="92"/>
    </row>
    <row r="387" spans="1:1" x14ac:dyDescent="0.25">
      <c r="A387" s="91"/>
    </row>
    <row r="388" spans="1:1" x14ac:dyDescent="0.25">
      <c r="A388" s="92"/>
    </row>
    <row r="389" spans="1:1" x14ac:dyDescent="0.25">
      <c r="A389" s="91"/>
    </row>
    <row r="390" spans="1:1" x14ac:dyDescent="0.25">
      <c r="A390" s="92"/>
    </row>
    <row r="391" spans="1:1" x14ac:dyDescent="0.25">
      <c r="A391" s="91"/>
    </row>
    <row r="392" spans="1:1" x14ac:dyDescent="0.25">
      <c r="A392" s="92"/>
    </row>
    <row r="393" spans="1:1" x14ac:dyDescent="0.25">
      <c r="A393" s="91"/>
    </row>
    <row r="394" spans="1:1" x14ac:dyDescent="0.25">
      <c r="A394" s="92"/>
    </row>
    <row r="395" spans="1:1" x14ac:dyDescent="0.25">
      <c r="A395" s="91"/>
    </row>
    <row r="396" spans="1:1" x14ac:dyDescent="0.25">
      <c r="A396" s="92"/>
    </row>
    <row r="397" spans="1:1" x14ac:dyDescent="0.25">
      <c r="A397" s="91"/>
    </row>
    <row r="398" spans="1:1" x14ac:dyDescent="0.25">
      <c r="A398" s="92"/>
    </row>
    <row r="399" spans="1:1" x14ac:dyDescent="0.25">
      <c r="A399" s="91"/>
    </row>
    <row r="400" spans="1:1" x14ac:dyDescent="0.25">
      <c r="A400" s="92"/>
    </row>
    <row r="401" spans="1:1" x14ac:dyDescent="0.25">
      <c r="A401" s="91"/>
    </row>
    <row r="402" spans="1:1" x14ac:dyDescent="0.25">
      <c r="A402" s="92"/>
    </row>
    <row r="403" spans="1:1" x14ac:dyDescent="0.25">
      <c r="A403" s="91"/>
    </row>
    <row r="404" spans="1:1" x14ac:dyDescent="0.25">
      <c r="A404" s="92"/>
    </row>
    <row r="405" spans="1:1" x14ac:dyDescent="0.25">
      <c r="A405" s="91"/>
    </row>
    <row r="406" spans="1:1" x14ac:dyDescent="0.25">
      <c r="A406" s="92"/>
    </row>
    <row r="407" spans="1:1" x14ac:dyDescent="0.25">
      <c r="A407" s="91"/>
    </row>
    <row r="408" spans="1:1" x14ac:dyDescent="0.25">
      <c r="A408" s="92"/>
    </row>
    <row r="409" spans="1:1" x14ac:dyDescent="0.25">
      <c r="A409" s="91"/>
    </row>
    <row r="410" spans="1:1" x14ac:dyDescent="0.25">
      <c r="A410" s="92"/>
    </row>
    <row r="411" spans="1:1" x14ac:dyDescent="0.25">
      <c r="A411" s="91"/>
    </row>
    <row r="412" spans="1:1" x14ac:dyDescent="0.25">
      <c r="A412" s="92"/>
    </row>
    <row r="413" spans="1:1" x14ac:dyDescent="0.25">
      <c r="A413" s="91"/>
    </row>
    <row r="414" spans="1:1" x14ac:dyDescent="0.25">
      <c r="A414" s="92"/>
    </row>
    <row r="415" spans="1:1" x14ac:dyDescent="0.25">
      <c r="A415" s="91"/>
    </row>
    <row r="416" spans="1:1" x14ac:dyDescent="0.25">
      <c r="A416" s="92"/>
    </row>
    <row r="417" spans="1:1" x14ac:dyDescent="0.25">
      <c r="A417" s="91"/>
    </row>
    <row r="418" spans="1:1" x14ac:dyDescent="0.25">
      <c r="A418" s="92"/>
    </row>
    <row r="419" spans="1:1" x14ac:dyDescent="0.25">
      <c r="A419" s="91"/>
    </row>
    <row r="420" spans="1:1" x14ac:dyDescent="0.25">
      <c r="A420" s="92"/>
    </row>
    <row r="421" spans="1:1" x14ac:dyDescent="0.25">
      <c r="A421" s="91"/>
    </row>
    <row r="422" spans="1:1" x14ac:dyDescent="0.25">
      <c r="A422" s="92"/>
    </row>
    <row r="423" spans="1:1" x14ac:dyDescent="0.25">
      <c r="A423" s="91"/>
    </row>
    <row r="424" spans="1:1" x14ac:dyDescent="0.25">
      <c r="A424" s="92"/>
    </row>
    <row r="425" spans="1:1" x14ac:dyDescent="0.25">
      <c r="A425" s="91"/>
    </row>
    <row r="426" spans="1:1" x14ac:dyDescent="0.25">
      <c r="A426" s="92"/>
    </row>
    <row r="427" spans="1:1" x14ac:dyDescent="0.25">
      <c r="A427" s="91"/>
    </row>
    <row r="428" spans="1:1" x14ac:dyDescent="0.25">
      <c r="A428" s="92"/>
    </row>
    <row r="429" spans="1:1" x14ac:dyDescent="0.25">
      <c r="A429" s="91"/>
    </row>
    <row r="430" spans="1:1" x14ac:dyDescent="0.25">
      <c r="A430" s="92"/>
    </row>
    <row r="431" spans="1:1" x14ac:dyDescent="0.25">
      <c r="A431" s="91"/>
    </row>
    <row r="432" spans="1:1" x14ac:dyDescent="0.25">
      <c r="A432" s="92"/>
    </row>
    <row r="433" spans="1:1" x14ac:dyDescent="0.25">
      <c r="A433" s="91"/>
    </row>
    <row r="434" spans="1:1" x14ac:dyDescent="0.25">
      <c r="A434" s="92"/>
    </row>
    <row r="435" spans="1:1" x14ac:dyDescent="0.25">
      <c r="A435" s="91"/>
    </row>
    <row r="436" spans="1:1" x14ac:dyDescent="0.25">
      <c r="A436" s="92"/>
    </row>
    <row r="437" spans="1:1" x14ac:dyDescent="0.25">
      <c r="A437" s="91"/>
    </row>
    <row r="438" spans="1:1" x14ac:dyDescent="0.25">
      <c r="A438" s="92"/>
    </row>
    <row r="439" spans="1:1" x14ac:dyDescent="0.25">
      <c r="A439" s="91"/>
    </row>
    <row r="440" spans="1:1" x14ac:dyDescent="0.25">
      <c r="A440" s="92"/>
    </row>
    <row r="441" spans="1:1" x14ac:dyDescent="0.25">
      <c r="A441" s="91"/>
    </row>
    <row r="442" spans="1:1" x14ac:dyDescent="0.25">
      <c r="A442" s="92"/>
    </row>
    <row r="443" spans="1:1" x14ac:dyDescent="0.25">
      <c r="A443" s="91"/>
    </row>
    <row r="444" spans="1:1" x14ac:dyDescent="0.25">
      <c r="A444" s="92"/>
    </row>
    <row r="445" spans="1:1" x14ac:dyDescent="0.25">
      <c r="A445" s="91"/>
    </row>
    <row r="446" spans="1:1" x14ac:dyDescent="0.25">
      <c r="A446" s="92"/>
    </row>
    <row r="447" spans="1:1" x14ac:dyDescent="0.25">
      <c r="A447" s="91"/>
    </row>
    <row r="448" spans="1:1" x14ac:dyDescent="0.25">
      <c r="A448" s="92"/>
    </row>
    <row r="449" spans="1:1" x14ac:dyDescent="0.25">
      <c r="A449" s="91"/>
    </row>
    <row r="450" spans="1:1" x14ac:dyDescent="0.25">
      <c r="A450" s="92"/>
    </row>
    <row r="451" spans="1:1" x14ac:dyDescent="0.25">
      <c r="A451" s="91"/>
    </row>
    <row r="452" spans="1:1" x14ac:dyDescent="0.25">
      <c r="A452" s="92"/>
    </row>
    <row r="453" spans="1:1" x14ac:dyDescent="0.25">
      <c r="A453" s="91"/>
    </row>
    <row r="454" spans="1:1" x14ac:dyDescent="0.25">
      <c r="A454" s="92"/>
    </row>
    <row r="455" spans="1:1" x14ac:dyDescent="0.25">
      <c r="A455" s="91"/>
    </row>
    <row r="456" spans="1:1" x14ac:dyDescent="0.25">
      <c r="A456" s="92"/>
    </row>
    <row r="457" spans="1:1" x14ac:dyDescent="0.25">
      <c r="A457" s="91"/>
    </row>
    <row r="458" spans="1:1" x14ac:dyDescent="0.25">
      <c r="A458" s="92"/>
    </row>
    <row r="459" spans="1:1" x14ac:dyDescent="0.25">
      <c r="A459" s="91"/>
    </row>
    <row r="460" spans="1:1" x14ac:dyDescent="0.25">
      <c r="A460" s="92"/>
    </row>
    <row r="461" spans="1:1" x14ac:dyDescent="0.25">
      <c r="A461" s="91"/>
    </row>
    <row r="462" spans="1:1" x14ac:dyDescent="0.25">
      <c r="A462" s="92"/>
    </row>
    <row r="463" spans="1:1" x14ac:dyDescent="0.25">
      <c r="A463" s="91"/>
    </row>
    <row r="464" spans="1:1" x14ac:dyDescent="0.25">
      <c r="A464" s="92"/>
    </row>
    <row r="465" spans="1:1" x14ac:dyDescent="0.25">
      <c r="A465" s="91"/>
    </row>
    <row r="466" spans="1:1" x14ac:dyDescent="0.25">
      <c r="A466" s="92"/>
    </row>
    <row r="467" spans="1:1" x14ac:dyDescent="0.25">
      <c r="A467" s="91"/>
    </row>
    <row r="468" spans="1:1" x14ac:dyDescent="0.25">
      <c r="A468" s="92"/>
    </row>
    <row r="469" spans="1:1" x14ac:dyDescent="0.25">
      <c r="A469" s="91"/>
    </row>
    <row r="470" spans="1:1" x14ac:dyDescent="0.25">
      <c r="A470" s="92"/>
    </row>
    <row r="471" spans="1:1" x14ac:dyDescent="0.25">
      <c r="A471" s="91"/>
    </row>
    <row r="472" spans="1:1" x14ac:dyDescent="0.25">
      <c r="A472" s="92"/>
    </row>
    <row r="473" spans="1:1" x14ac:dyDescent="0.25">
      <c r="A473" s="91"/>
    </row>
    <row r="474" spans="1:1" x14ac:dyDescent="0.25">
      <c r="A474" s="92"/>
    </row>
    <row r="475" spans="1:1" x14ac:dyDescent="0.25">
      <c r="A475" s="91"/>
    </row>
    <row r="476" spans="1:1" x14ac:dyDescent="0.25">
      <c r="A476" s="92"/>
    </row>
    <row r="477" spans="1:1" x14ac:dyDescent="0.25">
      <c r="A477" s="91"/>
    </row>
    <row r="478" spans="1:1" x14ac:dyDescent="0.25">
      <c r="A478" s="92"/>
    </row>
    <row r="479" spans="1:1" x14ac:dyDescent="0.25">
      <c r="A479" s="91"/>
    </row>
    <row r="480" spans="1:1" x14ac:dyDescent="0.25">
      <c r="A480" s="92"/>
    </row>
    <row r="481" spans="1:1" x14ac:dyDescent="0.25">
      <c r="A481" s="91"/>
    </row>
    <row r="482" spans="1:1" x14ac:dyDescent="0.25">
      <c r="A482" s="92"/>
    </row>
    <row r="483" spans="1:1" x14ac:dyDescent="0.25">
      <c r="A483" s="91"/>
    </row>
    <row r="484" spans="1:1" x14ac:dyDescent="0.25">
      <c r="A484" s="92"/>
    </row>
    <row r="485" spans="1:1" x14ac:dyDescent="0.25">
      <c r="A485" s="91"/>
    </row>
    <row r="486" spans="1:1" x14ac:dyDescent="0.25">
      <c r="A486" s="92"/>
    </row>
    <row r="487" spans="1:1" x14ac:dyDescent="0.25">
      <c r="A487" s="91"/>
    </row>
    <row r="488" spans="1:1" x14ac:dyDescent="0.25">
      <c r="A488" s="92"/>
    </row>
    <row r="489" spans="1:1" x14ac:dyDescent="0.25">
      <c r="A489" s="91"/>
    </row>
    <row r="490" spans="1:1" x14ac:dyDescent="0.25">
      <c r="A490" s="92"/>
    </row>
    <row r="491" spans="1:1" x14ac:dyDescent="0.25">
      <c r="A491" s="91"/>
    </row>
    <row r="492" spans="1:1" x14ac:dyDescent="0.25">
      <c r="A492" s="92"/>
    </row>
    <row r="493" spans="1:1" x14ac:dyDescent="0.25">
      <c r="A493" s="91"/>
    </row>
    <row r="494" spans="1:1" x14ac:dyDescent="0.25">
      <c r="A494" s="92"/>
    </row>
    <row r="495" spans="1:1" x14ac:dyDescent="0.25">
      <c r="A495" s="91"/>
    </row>
    <row r="496" spans="1:1" x14ac:dyDescent="0.25">
      <c r="A496" s="92"/>
    </row>
    <row r="497" spans="1:1" x14ac:dyDescent="0.25">
      <c r="A497" s="91"/>
    </row>
    <row r="498" spans="1:1" x14ac:dyDescent="0.25">
      <c r="A498" s="92"/>
    </row>
    <row r="499" spans="1:1" x14ac:dyDescent="0.25">
      <c r="A499" s="91"/>
    </row>
    <row r="500" spans="1:1" x14ac:dyDescent="0.25">
      <c r="A500" s="92"/>
    </row>
    <row r="501" spans="1:1" x14ac:dyDescent="0.25">
      <c r="A501" s="91"/>
    </row>
    <row r="502" spans="1:1" x14ac:dyDescent="0.25">
      <c r="A502" s="92"/>
    </row>
    <row r="503" spans="1:1" x14ac:dyDescent="0.25">
      <c r="A503" s="91"/>
    </row>
    <row r="504" spans="1:1" x14ac:dyDescent="0.25">
      <c r="A504" s="92"/>
    </row>
    <row r="505" spans="1:1" x14ac:dyDescent="0.25">
      <c r="A505" s="91"/>
    </row>
    <row r="506" spans="1:1" x14ac:dyDescent="0.25">
      <c r="A506" s="92"/>
    </row>
    <row r="507" spans="1:1" x14ac:dyDescent="0.25">
      <c r="A507" s="91"/>
    </row>
    <row r="508" spans="1:1" x14ac:dyDescent="0.25">
      <c r="A508" s="92"/>
    </row>
    <row r="509" spans="1:1" x14ac:dyDescent="0.25">
      <c r="A509" s="91"/>
    </row>
    <row r="510" spans="1:1" x14ac:dyDescent="0.25">
      <c r="A510" s="92"/>
    </row>
    <row r="511" spans="1:1" x14ac:dyDescent="0.25">
      <c r="A511" s="91"/>
    </row>
    <row r="512" spans="1:1" x14ac:dyDescent="0.25">
      <c r="A512" s="92"/>
    </row>
    <row r="513" spans="1:1" x14ac:dyDescent="0.25">
      <c r="A513" s="91"/>
    </row>
    <row r="514" spans="1:1" x14ac:dyDescent="0.25">
      <c r="A514" s="92"/>
    </row>
    <row r="515" spans="1:1" x14ac:dyDescent="0.25">
      <c r="A515" s="91"/>
    </row>
    <row r="516" spans="1:1" x14ac:dyDescent="0.25">
      <c r="A516" s="92"/>
    </row>
    <row r="517" spans="1:1" x14ac:dyDescent="0.25">
      <c r="A517" s="91"/>
    </row>
    <row r="518" spans="1:1" x14ac:dyDescent="0.25">
      <c r="A518" s="92"/>
    </row>
    <row r="519" spans="1:1" x14ac:dyDescent="0.25">
      <c r="A519" s="91"/>
    </row>
    <row r="520" spans="1:1" x14ac:dyDescent="0.25">
      <c r="A520" s="92"/>
    </row>
    <row r="521" spans="1:1" x14ac:dyDescent="0.25">
      <c r="A521" s="91"/>
    </row>
    <row r="522" spans="1:1" x14ac:dyDescent="0.25">
      <c r="A522" s="92"/>
    </row>
    <row r="523" spans="1:1" x14ac:dyDescent="0.25">
      <c r="A523" s="91"/>
    </row>
    <row r="524" spans="1:1" x14ac:dyDescent="0.25">
      <c r="A524" s="92"/>
    </row>
    <row r="525" spans="1:1" x14ac:dyDescent="0.25">
      <c r="A525" s="91"/>
    </row>
    <row r="526" spans="1:1" x14ac:dyDescent="0.25">
      <c r="A526" s="92"/>
    </row>
    <row r="527" spans="1:1" x14ac:dyDescent="0.25">
      <c r="A527" s="91"/>
    </row>
    <row r="528" spans="1:1" x14ac:dyDescent="0.25">
      <c r="A528" s="92"/>
    </row>
    <row r="529" spans="1:1" x14ac:dyDescent="0.25">
      <c r="A529" s="91"/>
    </row>
    <row r="530" spans="1:1" x14ac:dyDescent="0.25">
      <c r="A530" s="92"/>
    </row>
    <row r="531" spans="1:1" x14ac:dyDescent="0.25">
      <c r="A531" s="91"/>
    </row>
    <row r="532" spans="1:1" x14ac:dyDescent="0.25">
      <c r="A532" s="92"/>
    </row>
    <row r="533" spans="1:1" x14ac:dyDescent="0.25">
      <c r="A533" s="91"/>
    </row>
    <row r="534" spans="1:1" x14ac:dyDescent="0.25">
      <c r="A534" s="92"/>
    </row>
    <row r="535" spans="1:1" x14ac:dyDescent="0.25">
      <c r="A535" s="91"/>
    </row>
    <row r="536" spans="1:1" x14ac:dyDescent="0.25">
      <c r="A536" s="92"/>
    </row>
    <row r="537" spans="1:1" x14ac:dyDescent="0.25">
      <c r="A537" s="91"/>
    </row>
    <row r="538" spans="1:1" x14ac:dyDescent="0.25">
      <c r="A538" s="92"/>
    </row>
    <row r="539" spans="1:1" x14ac:dyDescent="0.25">
      <c r="A539" s="91"/>
    </row>
    <row r="540" spans="1:1" x14ac:dyDescent="0.25">
      <c r="A540" s="92"/>
    </row>
    <row r="541" spans="1:1" x14ac:dyDescent="0.25">
      <c r="A541" s="91"/>
    </row>
    <row r="542" spans="1:1" x14ac:dyDescent="0.25">
      <c r="A542" s="92"/>
    </row>
    <row r="543" spans="1:1" x14ac:dyDescent="0.25">
      <c r="A543" s="91"/>
    </row>
    <row r="544" spans="1:1" x14ac:dyDescent="0.25">
      <c r="A544" s="92"/>
    </row>
    <row r="545" spans="1:1" x14ac:dyDescent="0.25">
      <c r="A545" s="91"/>
    </row>
    <row r="546" spans="1:1" x14ac:dyDescent="0.25">
      <c r="A546" s="92"/>
    </row>
    <row r="547" spans="1:1" x14ac:dyDescent="0.25">
      <c r="A547" s="91"/>
    </row>
    <row r="548" spans="1:1" x14ac:dyDescent="0.25">
      <c r="A548" s="92"/>
    </row>
    <row r="549" spans="1:1" x14ac:dyDescent="0.25">
      <c r="A549" s="91"/>
    </row>
    <row r="550" spans="1:1" x14ac:dyDescent="0.25">
      <c r="A550" s="92"/>
    </row>
    <row r="551" spans="1:1" x14ac:dyDescent="0.25">
      <c r="A551" s="91"/>
    </row>
    <row r="552" spans="1:1" x14ac:dyDescent="0.25">
      <c r="A552" s="92"/>
    </row>
    <row r="553" spans="1:1" x14ac:dyDescent="0.25">
      <c r="A553" s="91"/>
    </row>
    <row r="554" spans="1:1" x14ac:dyDescent="0.25">
      <c r="A554" s="92"/>
    </row>
    <row r="555" spans="1:1" x14ac:dyDescent="0.25">
      <c r="A555" s="91"/>
    </row>
    <row r="556" spans="1:1" x14ac:dyDescent="0.25">
      <c r="A556" s="92"/>
    </row>
    <row r="557" spans="1:1" x14ac:dyDescent="0.25">
      <c r="A557" s="91"/>
    </row>
    <row r="558" spans="1:1" x14ac:dyDescent="0.25">
      <c r="A558" s="92"/>
    </row>
    <row r="559" spans="1:1" x14ac:dyDescent="0.25">
      <c r="A559" s="91"/>
    </row>
    <row r="560" spans="1:1" x14ac:dyDescent="0.25">
      <c r="A560" s="92"/>
    </row>
    <row r="561" spans="1:1" x14ac:dyDescent="0.25">
      <c r="A561" s="91"/>
    </row>
    <row r="562" spans="1:1" x14ac:dyDescent="0.25">
      <c r="A562" s="92"/>
    </row>
    <row r="563" spans="1:1" x14ac:dyDescent="0.25">
      <c r="A563" s="91"/>
    </row>
    <row r="564" spans="1:1" x14ac:dyDescent="0.25">
      <c r="A564" s="92"/>
    </row>
    <row r="565" spans="1:1" x14ac:dyDescent="0.25">
      <c r="A565" s="91"/>
    </row>
    <row r="566" spans="1:1" x14ac:dyDescent="0.25">
      <c r="A566" s="92"/>
    </row>
    <row r="567" spans="1:1" x14ac:dyDescent="0.25">
      <c r="A567" s="91"/>
    </row>
    <row r="568" spans="1:1" x14ac:dyDescent="0.25">
      <c r="A568" s="92"/>
    </row>
    <row r="569" spans="1:1" x14ac:dyDescent="0.25">
      <c r="A569" s="91"/>
    </row>
    <row r="570" spans="1:1" x14ac:dyDescent="0.25">
      <c r="A570" s="92"/>
    </row>
    <row r="571" spans="1:1" x14ac:dyDescent="0.25">
      <c r="A571" s="91"/>
    </row>
    <row r="572" spans="1:1" x14ac:dyDescent="0.25">
      <c r="A572" s="92"/>
    </row>
    <row r="573" spans="1:1" x14ac:dyDescent="0.25">
      <c r="A573" s="91"/>
    </row>
    <row r="574" spans="1:1" x14ac:dyDescent="0.25">
      <c r="A574" s="92"/>
    </row>
    <row r="575" spans="1:1" x14ac:dyDescent="0.25">
      <c r="A575" s="91"/>
    </row>
    <row r="576" spans="1:1" x14ac:dyDescent="0.25">
      <c r="A576" s="92"/>
    </row>
    <row r="577" spans="1:1" x14ac:dyDescent="0.25">
      <c r="A577" s="91"/>
    </row>
    <row r="578" spans="1:1" x14ac:dyDescent="0.25">
      <c r="A578" s="92"/>
    </row>
    <row r="579" spans="1:1" x14ac:dyDescent="0.25">
      <c r="A579" s="91"/>
    </row>
    <row r="580" spans="1:1" x14ac:dyDescent="0.25">
      <c r="A580" s="92"/>
    </row>
    <row r="581" spans="1:1" x14ac:dyDescent="0.25">
      <c r="A581" s="91"/>
    </row>
    <row r="582" spans="1:1" x14ac:dyDescent="0.25">
      <c r="A582" s="92"/>
    </row>
    <row r="583" spans="1:1" x14ac:dyDescent="0.25">
      <c r="A583" s="91"/>
    </row>
    <row r="584" spans="1:1" x14ac:dyDescent="0.25">
      <c r="A584" s="92"/>
    </row>
    <row r="585" spans="1:1" x14ac:dyDescent="0.25">
      <c r="A585" s="91"/>
    </row>
    <row r="586" spans="1:1" x14ac:dyDescent="0.25">
      <c r="A586" s="92"/>
    </row>
    <row r="587" spans="1:1" x14ac:dyDescent="0.25">
      <c r="A587" s="91"/>
    </row>
    <row r="588" spans="1:1" x14ac:dyDescent="0.25">
      <c r="A588" s="92"/>
    </row>
    <row r="589" spans="1:1" x14ac:dyDescent="0.25">
      <c r="A589" s="91"/>
    </row>
    <row r="590" spans="1:1" x14ac:dyDescent="0.25">
      <c r="A590" s="92"/>
    </row>
    <row r="591" spans="1:1" x14ac:dyDescent="0.25">
      <c r="A591" s="91"/>
    </row>
    <row r="592" spans="1:1" x14ac:dyDescent="0.25">
      <c r="A592" s="92"/>
    </row>
    <row r="593" spans="1:1" x14ac:dyDescent="0.25">
      <c r="A593" s="91"/>
    </row>
    <row r="594" spans="1:1" x14ac:dyDescent="0.25">
      <c r="A594" s="92"/>
    </row>
    <row r="595" spans="1:1" x14ac:dyDescent="0.25">
      <c r="A595" s="91"/>
    </row>
    <row r="596" spans="1:1" x14ac:dyDescent="0.25">
      <c r="A596" s="92"/>
    </row>
    <row r="597" spans="1:1" x14ac:dyDescent="0.25">
      <c r="A597" s="91"/>
    </row>
    <row r="598" spans="1:1" x14ac:dyDescent="0.25">
      <c r="A598" s="92"/>
    </row>
    <row r="599" spans="1:1" x14ac:dyDescent="0.25">
      <c r="A599" s="91"/>
    </row>
    <row r="600" spans="1:1" x14ac:dyDescent="0.25">
      <c r="A600" s="92"/>
    </row>
    <row r="601" spans="1:1" x14ac:dyDescent="0.25">
      <c r="A601" s="91"/>
    </row>
    <row r="602" spans="1:1" x14ac:dyDescent="0.25">
      <c r="A602" s="92"/>
    </row>
    <row r="603" spans="1:1" x14ac:dyDescent="0.25">
      <c r="A603" s="91"/>
    </row>
    <row r="604" spans="1:1" x14ac:dyDescent="0.25">
      <c r="A604" s="92"/>
    </row>
    <row r="605" spans="1:1" x14ac:dyDescent="0.25">
      <c r="A605" s="91"/>
    </row>
    <row r="606" spans="1:1" x14ac:dyDescent="0.25">
      <c r="A606" s="92"/>
    </row>
    <row r="607" spans="1:1" x14ac:dyDescent="0.25">
      <c r="A607" s="91"/>
    </row>
    <row r="608" spans="1:1" x14ac:dyDescent="0.25">
      <c r="A608" s="92"/>
    </row>
    <row r="609" spans="1:1" x14ac:dyDescent="0.25">
      <c r="A609" s="91"/>
    </row>
    <row r="610" spans="1:1" x14ac:dyDescent="0.25">
      <c r="A610" s="92"/>
    </row>
    <row r="611" spans="1:1" x14ac:dyDescent="0.25">
      <c r="A611" s="91"/>
    </row>
    <row r="612" spans="1:1" x14ac:dyDescent="0.25">
      <c r="A612" s="92"/>
    </row>
    <row r="613" spans="1:1" x14ac:dyDescent="0.25">
      <c r="A613" s="91"/>
    </row>
    <row r="614" spans="1:1" x14ac:dyDescent="0.25">
      <c r="A614" s="92"/>
    </row>
    <row r="615" spans="1:1" x14ac:dyDescent="0.25">
      <c r="A615" s="91"/>
    </row>
    <row r="616" spans="1:1" x14ac:dyDescent="0.25">
      <c r="A616" s="92"/>
    </row>
    <row r="617" spans="1:1" x14ac:dyDescent="0.25">
      <c r="A617" s="91"/>
    </row>
    <row r="618" spans="1:1" x14ac:dyDescent="0.25">
      <c r="A618" s="92"/>
    </row>
    <row r="619" spans="1:1" x14ac:dyDescent="0.25">
      <c r="A619" s="91"/>
    </row>
    <row r="620" spans="1:1" x14ac:dyDescent="0.25">
      <c r="A620" s="92"/>
    </row>
    <row r="621" spans="1:1" x14ac:dyDescent="0.25">
      <c r="A621" s="91"/>
    </row>
    <row r="622" spans="1:1" x14ac:dyDescent="0.25">
      <c r="A622" s="92"/>
    </row>
    <row r="623" spans="1:1" x14ac:dyDescent="0.25">
      <c r="A623" s="91"/>
    </row>
    <row r="624" spans="1:1" x14ac:dyDescent="0.25">
      <c r="A624" s="92"/>
    </row>
    <row r="625" spans="1:1" x14ac:dyDescent="0.25">
      <c r="A625" s="91"/>
    </row>
    <row r="626" spans="1:1" x14ac:dyDescent="0.25">
      <c r="A626" s="92"/>
    </row>
    <row r="627" spans="1:1" x14ac:dyDescent="0.25">
      <c r="A627" s="91"/>
    </row>
    <row r="628" spans="1:1" x14ac:dyDescent="0.25">
      <c r="A628" s="92"/>
    </row>
    <row r="629" spans="1:1" x14ac:dyDescent="0.25">
      <c r="A629" s="91"/>
    </row>
    <row r="630" spans="1:1" x14ac:dyDescent="0.25">
      <c r="A630" s="92"/>
    </row>
    <row r="631" spans="1:1" x14ac:dyDescent="0.25">
      <c r="A631" s="91"/>
    </row>
    <row r="632" spans="1:1" x14ac:dyDescent="0.25">
      <c r="A632" s="92"/>
    </row>
    <row r="633" spans="1:1" x14ac:dyDescent="0.25">
      <c r="A633" s="91"/>
    </row>
    <row r="634" spans="1:1" x14ac:dyDescent="0.25">
      <c r="A634" s="92"/>
    </row>
    <row r="635" spans="1:1" x14ac:dyDescent="0.25">
      <c r="A635" s="91"/>
    </row>
    <row r="636" spans="1:1" x14ac:dyDescent="0.25">
      <c r="A636" s="92"/>
    </row>
    <row r="637" spans="1:1" x14ac:dyDescent="0.25">
      <c r="A637" s="91"/>
    </row>
    <row r="638" spans="1:1" x14ac:dyDescent="0.25">
      <c r="A638" s="92"/>
    </row>
    <row r="639" spans="1:1" x14ac:dyDescent="0.25">
      <c r="A639" s="91"/>
    </row>
    <row r="640" spans="1:1" x14ac:dyDescent="0.25">
      <c r="A640" s="92"/>
    </row>
    <row r="641" spans="1:1" x14ac:dyDescent="0.25">
      <c r="A641" s="91"/>
    </row>
    <row r="642" spans="1:1" x14ac:dyDescent="0.25">
      <c r="A642" s="92"/>
    </row>
    <row r="643" spans="1:1" x14ac:dyDescent="0.25">
      <c r="A643" s="91"/>
    </row>
    <row r="644" spans="1:1" x14ac:dyDescent="0.25">
      <c r="A644" s="92"/>
    </row>
    <row r="645" spans="1:1" x14ac:dyDescent="0.25">
      <c r="A645" s="91"/>
    </row>
    <row r="646" spans="1:1" x14ac:dyDescent="0.25">
      <c r="A646" s="92"/>
    </row>
    <row r="647" spans="1:1" x14ac:dyDescent="0.25">
      <c r="A647" s="91"/>
    </row>
    <row r="648" spans="1:1" x14ac:dyDescent="0.25">
      <c r="A648" s="92"/>
    </row>
    <row r="649" spans="1:1" x14ac:dyDescent="0.25">
      <c r="A649" s="91"/>
    </row>
    <row r="650" spans="1:1" x14ac:dyDescent="0.25">
      <c r="A650" s="92"/>
    </row>
    <row r="651" spans="1:1" x14ac:dyDescent="0.25">
      <c r="A651" s="91"/>
    </row>
    <row r="652" spans="1:1" x14ac:dyDescent="0.25">
      <c r="A652" s="92"/>
    </row>
    <row r="653" spans="1:1" x14ac:dyDescent="0.25">
      <c r="A653" s="91"/>
    </row>
    <row r="654" spans="1:1" x14ac:dyDescent="0.25">
      <c r="A654" s="92"/>
    </row>
    <row r="655" spans="1:1" x14ac:dyDescent="0.25">
      <c r="A655" s="91"/>
    </row>
    <row r="656" spans="1:1" x14ac:dyDescent="0.25">
      <c r="A656" s="92"/>
    </row>
    <row r="657" spans="1:1" x14ac:dyDescent="0.25">
      <c r="A657" s="91"/>
    </row>
    <row r="658" spans="1:1" x14ac:dyDescent="0.25">
      <c r="A658" s="92"/>
    </row>
    <row r="659" spans="1:1" x14ac:dyDescent="0.25">
      <c r="A659" s="91"/>
    </row>
    <row r="660" spans="1:1" x14ac:dyDescent="0.25">
      <c r="A660" s="92"/>
    </row>
    <row r="661" spans="1:1" x14ac:dyDescent="0.25">
      <c r="A661" s="91"/>
    </row>
    <row r="662" spans="1:1" x14ac:dyDescent="0.25">
      <c r="A662" s="92"/>
    </row>
    <row r="663" spans="1:1" x14ac:dyDescent="0.25">
      <c r="A663" s="91"/>
    </row>
    <row r="664" spans="1:1" x14ac:dyDescent="0.25">
      <c r="A664" s="92"/>
    </row>
    <row r="665" spans="1:1" x14ac:dyDescent="0.25">
      <c r="A665" s="91"/>
    </row>
    <row r="666" spans="1:1" x14ac:dyDescent="0.25">
      <c r="A666" s="92"/>
    </row>
    <row r="667" spans="1:1" x14ac:dyDescent="0.25">
      <c r="A667" s="91"/>
    </row>
    <row r="668" spans="1:1" x14ac:dyDescent="0.25">
      <c r="A668" s="92"/>
    </row>
    <row r="669" spans="1:1" x14ac:dyDescent="0.25">
      <c r="A669" s="91"/>
    </row>
    <row r="670" spans="1:1" x14ac:dyDescent="0.25">
      <c r="A670" s="92"/>
    </row>
    <row r="671" spans="1:1" x14ac:dyDescent="0.25">
      <c r="A671" s="91"/>
    </row>
    <row r="672" spans="1:1" x14ac:dyDescent="0.25">
      <c r="A672" s="92"/>
    </row>
    <row r="673" spans="1:1" x14ac:dyDescent="0.25">
      <c r="A673" s="91"/>
    </row>
    <row r="674" spans="1:1" x14ac:dyDescent="0.25">
      <c r="A674" s="92"/>
    </row>
    <row r="675" spans="1:1" x14ac:dyDescent="0.25">
      <c r="A675" s="91"/>
    </row>
    <row r="676" spans="1:1" x14ac:dyDescent="0.25">
      <c r="A676" s="92"/>
    </row>
    <row r="677" spans="1:1" x14ac:dyDescent="0.25">
      <c r="A677" s="91"/>
    </row>
    <row r="678" spans="1:1" x14ac:dyDescent="0.25">
      <c r="A678" s="92"/>
    </row>
    <row r="679" spans="1:1" x14ac:dyDescent="0.25">
      <c r="A679" s="91"/>
    </row>
    <row r="680" spans="1:1" x14ac:dyDescent="0.25">
      <c r="A680" s="92"/>
    </row>
    <row r="681" spans="1:1" x14ac:dyDescent="0.25">
      <c r="A681" s="91"/>
    </row>
    <row r="682" spans="1:1" x14ac:dyDescent="0.25">
      <c r="A682" s="92"/>
    </row>
    <row r="683" spans="1:1" x14ac:dyDescent="0.25">
      <c r="A683" s="91"/>
    </row>
    <row r="684" spans="1:1" x14ac:dyDescent="0.25">
      <c r="A684" s="92"/>
    </row>
    <row r="685" spans="1:1" x14ac:dyDescent="0.25">
      <c r="A685" s="91"/>
    </row>
    <row r="686" spans="1:1" x14ac:dyDescent="0.25">
      <c r="A686" s="92"/>
    </row>
    <row r="687" spans="1:1" x14ac:dyDescent="0.25">
      <c r="A687" s="91"/>
    </row>
    <row r="688" spans="1:1" x14ac:dyDescent="0.25">
      <c r="A688" s="92"/>
    </row>
    <row r="689" spans="1:1" x14ac:dyDescent="0.25">
      <c r="A689" s="91"/>
    </row>
    <row r="690" spans="1:1" x14ac:dyDescent="0.25">
      <c r="A690" s="92"/>
    </row>
    <row r="691" spans="1:1" x14ac:dyDescent="0.25">
      <c r="A691" s="91"/>
    </row>
    <row r="692" spans="1:1" x14ac:dyDescent="0.25">
      <c r="A692" s="92"/>
    </row>
    <row r="693" spans="1:1" x14ac:dyDescent="0.25">
      <c r="A693" s="91"/>
    </row>
    <row r="694" spans="1:1" x14ac:dyDescent="0.25">
      <c r="A694" s="92"/>
    </row>
    <row r="695" spans="1:1" x14ac:dyDescent="0.25">
      <c r="A695" s="91"/>
    </row>
    <row r="696" spans="1:1" x14ac:dyDescent="0.25">
      <c r="A696" s="92"/>
    </row>
    <row r="697" spans="1:1" x14ac:dyDescent="0.25">
      <c r="A697" s="91"/>
    </row>
    <row r="698" spans="1:1" x14ac:dyDescent="0.25">
      <c r="A698" s="92"/>
    </row>
  </sheetData>
  <mergeCells count="51">
    <mergeCell ref="A84:C84"/>
    <mergeCell ref="A85:C85"/>
    <mergeCell ref="A86:C86"/>
    <mergeCell ref="A77:C77"/>
    <mergeCell ref="A78:C78"/>
    <mergeCell ref="A79:C79"/>
    <mergeCell ref="A80:C80"/>
    <mergeCell ref="A81:C81"/>
    <mergeCell ref="A82:C82"/>
    <mergeCell ref="A52:E52"/>
    <mergeCell ref="G52:K52"/>
    <mergeCell ref="M52:Q52"/>
    <mergeCell ref="AA52:AC52"/>
    <mergeCell ref="A83:C83"/>
    <mergeCell ref="U53:U54"/>
    <mergeCell ref="AA49:AC49"/>
    <mergeCell ref="AA50:AC50"/>
    <mergeCell ref="AA44:AC44"/>
    <mergeCell ref="AA45:AC45"/>
    <mergeCell ref="AA46:AC46"/>
    <mergeCell ref="AA47:AC47"/>
    <mergeCell ref="AA48:AC48"/>
    <mergeCell ref="AA51:AC51"/>
    <mergeCell ref="M3:N3"/>
    <mergeCell ref="O3:Q3"/>
    <mergeCell ref="A35:Q35"/>
    <mergeCell ref="A36:E36"/>
    <mergeCell ref="G36:K36"/>
    <mergeCell ref="M36:Q36"/>
    <mergeCell ref="M5:N5"/>
    <mergeCell ref="A37:B37"/>
    <mergeCell ref="C37:D37"/>
    <mergeCell ref="G37:H37"/>
    <mergeCell ref="I37:J37"/>
    <mergeCell ref="M37:N37"/>
    <mergeCell ref="O37:P37"/>
    <mergeCell ref="A18:E18"/>
    <mergeCell ref="G18:K18"/>
    <mergeCell ref="A19:B19"/>
    <mergeCell ref="C19:D19"/>
    <mergeCell ref="G19:H19"/>
    <mergeCell ref="I19:J19"/>
    <mergeCell ref="A1:E1"/>
    <mergeCell ref="G1:K1"/>
    <mergeCell ref="M1:Q1"/>
    <mergeCell ref="A2:B2"/>
    <mergeCell ref="C2:D2"/>
    <mergeCell ref="G2:H2"/>
    <mergeCell ref="I2:J2"/>
    <mergeCell ref="M2:N2"/>
    <mergeCell ref="O2:Q2"/>
  </mergeCell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S1000"/>
  <sheetViews>
    <sheetView workbookViewId="0">
      <selection activeCell="L12" sqref="L12"/>
    </sheetView>
  </sheetViews>
  <sheetFormatPr baseColWidth="10" defaultRowHeight="15" x14ac:dyDescent="0.25"/>
  <cols>
    <col min="1" max="15" width="11.42578125" style="2"/>
    <col min="16" max="16" width="15.28515625" style="2" customWidth="1"/>
    <col min="17" max="17" width="15.85546875" style="2" customWidth="1"/>
    <col min="18" max="16384" width="11.42578125" style="2"/>
  </cols>
  <sheetData>
    <row r="1" spans="1:19" s="99" customFormat="1" ht="32.25" customHeight="1" x14ac:dyDescent="0.25">
      <c r="A1" s="93" t="s">
        <v>198</v>
      </c>
      <c r="B1" s="117" t="s">
        <v>199</v>
      </c>
      <c r="C1" s="94" t="s">
        <v>132</v>
      </c>
      <c r="D1" s="95" t="s">
        <v>184</v>
      </c>
      <c r="E1" s="94" t="s">
        <v>186</v>
      </c>
      <c r="F1" s="94" t="s">
        <v>200</v>
      </c>
      <c r="G1" s="94" t="s">
        <v>185</v>
      </c>
      <c r="H1" s="96" t="s">
        <v>187</v>
      </c>
      <c r="I1" s="96" t="s">
        <v>188</v>
      </c>
      <c r="J1" s="94" t="s">
        <v>191</v>
      </c>
      <c r="K1" s="94" t="s">
        <v>190</v>
      </c>
      <c r="L1" s="94" t="s">
        <v>189</v>
      </c>
      <c r="M1" s="118" t="s">
        <v>197</v>
      </c>
      <c r="N1" s="94" t="s">
        <v>192</v>
      </c>
      <c r="O1" s="94" t="s">
        <v>193</v>
      </c>
      <c r="P1" s="94" t="s">
        <v>222</v>
      </c>
      <c r="Q1" s="97" t="s">
        <v>221</v>
      </c>
      <c r="R1" s="94" t="s">
        <v>195</v>
      </c>
      <c r="S1" s="98" t="s">
        <v>196</v>
      </c>
    </row>
    <row r="2" spans="1:19" x14ac:dyDescent="0.25">
      <c r="A2" s="141"/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</row>
    <row r="3" spans="1:19" x14ac:dyDescent="0.25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</row>
    <row r="4" spans="1:19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</row>
    <row r="5" spans="1:19" x14ac:dyDescent="0.25">
      <c r="A5" s="124"/>
      <c r="B5" s="124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</row>
    <row r="6" spans="1:19" x14ac:dyDescent="0.25">
      <c r="A6" s="124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</row>
    <row r="7" spans="1:19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</row>
    <row r="8" spans="1:19" x14ac:dyDescent="0.25">
      <c r="A8" s="124"/>
      <c r="B8" s="124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</row>
    <row r="9" spans="1:19" x14ac:dyDescent="0.25">
      <c r="A9" s="124"/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</row>
    <row r="10" spans="1:19" x14ac:dyDescent="0.25">
      <c r="A10" s="124"/>
      <c r="B10" s="124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</row>
    <row r="11" spans="1:19" x14ac:dyDescent="0.25">
      <c r="A11" s="124"/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</row>
    <row r="12" spans="1:19" x14ac:dyDescent="0.25">
      <c r="A12" s="124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</row>
    <row r="13" spans="1:19" x14ac:dyDescent="0.25">
      <c r="A13" s="124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</row>
    <row r="14" spans="1:19" x14ac:dyDescent="0.25">
      <c r="A14" s="124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</row>
    <row r="15" spans="1:19" x14ac:dyDescent="0.25">
      <c r="A15" s="124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</row>
    <row r="16" spans="1:19" x14ac:dyDescent="0.25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</row>
    <row r="17" spans="1:19" x14ac:dyDescent="0.25">
      <c r="A17" s="124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</row>
    <row r="18" spans="1:19" x14ac:dyDescent="0.25">
      <c r="A18" s="124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</row>
    <row r="19" spans="1:19" x14ac:dyDescent="0.25">
      <c r="A19" s="124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</row>
    <row r="20" spans="1:19" x14ac:dyDescent="0.25">
      <c r="A20" s="124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</row>
    <row r="21" spans="1:19" x14ac:dyDescent="0.25">
      <c r="A21" s="124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</row>
    <row r="22" spans="1:19" x14ac:dyDescent="0.25">
      <c r="A22" s="124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</row>
    <row r="23" spans="1:19" x14ac:dyDescent="0.25">
      <c r="A23" s="124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</row>
    <row r="24" spans="1:19" x14ac:dyDescent="0.25">
      <c r="A24" s="124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</row>
    <row r="25" spans="1:19" x14ac:dyDescent="0.25">
      <c r="A25" s="124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</row>
    <row r="26" spans="1:19" x14ac:dyDescent="0.25">
      <c r="A26" s="124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</row>
    <row r="27" spans="1:19" x14ac:dyDescent="0.25">
      <c r="A27" s="124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</row>
    <row r="28" spans="1:19" x14ac:dyDescent="0.25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</row>
    <row r="29" spans="1:19" x14ac:dyDescent="0.25">
      <c r="A29" s="124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</row>
    <row r="30" spans="1:19" x14ac:dyDescent="0.25">
      <c r="A30" s="124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</row>
    <row r="31" spans="1:19" x14ac:dyDescent="0.25">
      <c r="A31" s="124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</row>
    <row r="32" spans="1:19" x14ac:dyDescent="0.25">
      <c r="A32" s="124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</row>
    <row r="33" spans="1:19" x14ac:dyDescent="0.25">
      <c r="A33" s="124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</row>
    <row r="34" spans="1:19" x14ac:dyDescent="0.25">
      <c r="A34" s="124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</row>
    <row r="35" spans="1:19" x14ac:dyDescent="0.25">
      <c r="A35" s="124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</row>
    <row r="36" spans="1:19" x14ac:dyDescent="0.25">
      <c r="A36" s="124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</row>
    <row r="37" spans="1:19" x14ac:dyDescent="0.25">
      <c r="A37" s="124"/>
      <c r="B37" s="124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</row>
    <row r="38" spans="1:19" x14ac:dyDescent="0.25">
      <c r="A38" s="124"/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</row>
    <row r="39" spans="1:19" x14ac:dyDescent="0.25">
      <c r="A39" s="124"/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</row>
    <row r="40" spans="1:19" x14ac:dyDescent="0.25">
      <c r="A40" s="124"/>
      <c r="B40" s="124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</row>
    <row r="41" spans="1:19" x14ac:dyDescent="0.25">
      <c r="A41" s="124"/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</row>
    <row r="42" spans="1:19" x14ac:dyDescent="0.25">
      <c r="A42" s="124"/>
      <c r="B42" s="124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</row>
    <row r="43" spans="1:19" x14ac:dyDescent="0.25">
      <c r="A43" s="124"/>
      <c r="B43" s="124"/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</row>
    <row r="44" spans="1:19" x14ac:dyDescent="0.25">
      <c r="A44" s="124"/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</row>
    <row r="45" spans="1:19" x14ac:dyDescent="0.25">
      <c r="A45" s="124"/>
      <c r="B45" s="124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</row>
    <row r="46" spans="1:19" x14ac:dyDescent="0.25">
      <c r="A46" s="124"/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</row>
    <row r="47" spans="1:19" x14ac:dyDescent="0.25">
      <c r="A47" s="124"/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</row>
    <row r="48" spans="1:19" x14ac:dyDescent="0.25">
      <c r="A48" s="124"/>
      <c r="B48" s="124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</row>
    <row r="49" spans="1:19" x14ac:dyDescent="0.25">
      <c r="A49" s="124"/>
      <c r="B49" s="124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</row>
    <row r="50" spans="1:19" x14ac:dyDescent="0.25">
      <c r="A50" s="124"/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</row>
    <row r="51" spans="1:19" x14ac:dyDescent="0.25">
      <c r="A51" s="124"/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</row>
    <row r="52" spans="1:19" x14ac:dyDescent="0.25">
      <c r="A52" s="124"/>
      <c r="B52" s="124"/>
      <c r="C52" s="124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</row>
    <row r="53" spans="1:19" x14ac:dyDescent="0.25">
      <c r="A53" s="124"/>
      <c r="B53" s="124"/>
      <c r="C53" s="124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</row>
    <row r="54" spans="1:19" x14ac:dyDescent="0.25">
      <c r="A54" s="124"/>
      <c r="B54" s="124"/>
      <c r="C54" s="124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</row>
    <row r="55" spans="1:19" x14ac:dyDescent="0.25">
      <c r="A55" s="124"/>
      <c r="B55" s="124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</row>
    <row r="56" spans="1:19" x14ac:dyDescent="0.25">
      <c r="A56" s="124"/>
      <c r="B56" s="124"/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</row>
    <row r="57" spans="1:19" x14ac:dyDescent="0.25">
      <c r="A57" s="124"/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</row>
    <row r="58" spans="1:19" x14ac:dyDescent="0.25">
      <c r="A58" s="124"/>
      <c r="B58" s="124"/>
      <c r="C58" s="124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</row>
    <row r="59" spans="1:19" x14ac:dyDescent="0.25">
      <c r="A59" s="124"/>
      <c r="B59" s="124"/>
      <c r="C59" s="124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</row>
    <row r="60" spans="1:19" x14ac:dyDescent="0.25">
      <c r="A60" s="124"/>
      <c r="B60" s="124"/>
      <c r="C60" s="124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</row>
    <row r="61" spans="1:19" x14ac:dyDescent="0.25">
      <c r="A61" s="124"/>
      <c r="B61" s="124"/>
      <c r="C61" s="124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</row>
    <row r="62" spans="1:19" x14ac:dyDescent="0.25">
      <c r="A62" s="124"/>
      <c r="B62" s="124"/>
      <c r="C62" s="124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</row>
    <row r="63" spans="1:19" x14ac:dyDescent="0.25">
      <c r="A63" s="124"/>
      <c r="B63" s="124"/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</row>
    <row r="64" spans="1:19" x14ac:dyDescent="0.25">
      <c r="A64" s="124"/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</row>
    <row r="65" spans="1:19" x14ac:dyDescent="0.25">
      <c r="A65" s="124"/>
      <c r="B65" s="124"/>
      <c r="C65" s="124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</row>
    <row r="66" spans="1:19" x14ac:dyDescent="0.25">
      <c r="A66" s="124"/>
      <c r="B66" s="124"/>
      <c r="C66" s="124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</row>
    <row r="67" spans="1:19" x14ac:dyDescent="0.25">
      <c r="A67" s="124"/>
      <c r="B67" s="124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</row>
    <row r="68" spans="1:19" x14ac:dyDescent="0.25">
      <c r="A68" s="124"/>
      <c r="B68" s="124"/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</row>
    <row r="69" spans="1:19" x14ac:dyDescent="0.25">
      <c r="A69" s="124"/>
      <c r="B69" s="124"/>
      <c r="C69" s="124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</row>
    <row r="70" spans="1:19" x14ac:dyDescent="0.25">
      <c r="A70" s="124"/>
      <c r="B70" s="124"/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</row>
    <row r="71" spans="1:19" x14ac:dyDescent="0.25">
      <c r="A71" s="124"/>
      <c r="B71" s="124"/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</row>
    <row r="72" spans="1:19" x14ac:dyDescent="0.25">
      <c r="A72" s="124"/>
      <c r="B72" s="124"/>
      <c r="C72" s="124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</row>
    <row r="73" spans="1:19" x14ac:dyDescent="0.25">
      <c r="A73" s="124"/>
      <c r="B73" s="124"/>
      <c r="C73" s="124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</row>
    <row r="74" spans="1:19" x14ac:dyDescent="0.25">
      <c r="A74" s="124"/>
      <c r="B74" s="124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</row>
    <row r="75" spans="1:19" x14ac:dyDescent="0.25">
      <c r="A75" s="124"/>
      <c r="B75" s="124"/>
      <c r="C75" s="124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</row>
    <row r="76" spans="1:19" x14ac:dyDescent="0.25">
      <c r="A76" s="124"/>
      <c r="B76" s="124"/>
      <c r="C76" s="124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</row>
    <row r="77" spans="1:19" x14ac:dyDescent="0.25">
      <c r="A77" s="124"/>
      <c r="B77" s="124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</row>
    <row r="78" spans="1:19" x14ac:dyDescent="0.25">
      <c r="A78" s="124"/>
      <c r="B78" s="124"/>
      <c r="C78" s="124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</row>
    <row r="79" spans="1:19" x14ac:dyDescent="0.25">
      <c r="A79" s="124"/>
      <c r="B79" s="124"/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</row>
    <row r="80" spans="1:19" x14ac:dyDescent="0.25">
      <c r="A80" s="124"/>
      <c r="B80" s="124"/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</row>
    <row r="81" spans="1:19" x14ac:dyDescent="0.25">
      <c r="A81" s="124"/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</row>
    <row r="82" spans="1:19" x14ac:dyDescent="0.25">
      <c r="A82" s="124"/>
      <c r="B82" s="124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</row>
    <row r="83" spans="1:19" x14ac:dyDescent="0.25">
      <c r="A83" s="124"/>
      <c r="B83" s="124"/>
      <c r="C83" s="124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</row>
    <row r="84" spans="1:19" x14ac:dyDescent="0.25">
      <c r="A84" s="124"/>
      <c r="B84" s="124"/>
      <c r="C84" s="124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</row>
    <row r="85" spans="1:19" x14ac:dyDescent="0.25">
      <c r="A85" s="124"/>
      <c r="B85" s="124"/>
      <c r="C85" s="124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</row>
    <row r="86" spans="1:19" x14ac:dyDescent="0.25">
      <c r="A86" s="124"/>
      <c r="B86" s="124"/>
      <c r="C86" s="124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</row>
    <row r="87" spans="1:19" x14ac:dyDescent="0.25">
      <c r="A87" s="124"/>
      <c r="B87" s="124"/>
      <c r="C87" s="124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</row>
    <row r="88" spans="1:19" x14ac:dyDescent="0.25">
      <c r="A88" s="124"/>
      <c r="B88" s="124"/>
      <c r="C88" s="124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</row>
    <row r="89" spans="1:19" x14ac:dyDescent="0.25">
      <c r="A89" s="124"/>
      <c r="B89" s="124"/>
      <c r="C89" s="124"/>
      <c r="D89" s="124"/>
      <c r="E89" s="124"/>
      <c r="F89" s="124"/>
      <c r="G89" s="124"/>
      <c r="H89" s="124"/>
      <c r="I89" s="124"/>
      <c r="J89" s="124"/>
      <c r="K89" s="124"/>
      <c r="L89" s="124"/>
      <c r="M89" s="124"/>
      <c r="N89" s="124"/>
      <c r="O89" s="124"/>
      <c r="P89" s="124"/>
      <c r="Q89" s="124"/>
      <c r="R89" s="124"/>
      <c r="S89" s="124"/>
    </row>
    <row r="90" spans="1:19" x14ac:dyDescent="0.25">
      <c r="A90" s="124"/>
      <c r="B90" s="124"/>
      <c r="C90" s="124"/>
      <c r="D90" s="124"/>
      <c r="E90" s="124"/>
      <c r="F90" s="124"/>
      <c r="G90" s="124"/>
      <c r="H90" s="124"/>
      <c r="I90" s="124"/>
      <c r="J90" s="124"/>
      <c r="K90" s="124"/>
      <c r="L90" s="124"/>
      <c r="M90" s="124"/>
      <c r="N90" s="124"/>
      <c r="O90" s="124"/>
      <c r="P90" s="124"/>
      <c r="Q90" s="124"/>
      <c r="R90" s="124"/>
      <c r="S90" s="124"/>
    </row>
    <row r="91" spans="1:19" x14ac:dyDescent="0.25">
      <c r="A91" s="124"/>
      <c r="B91" s="124"/>
      <c r="C91" s="124"/>
      <c r="D91" s="124"/>
      <c r="E91" s="124"/>
      <c r="F91" s="124"/>
      <c r="G91" s="124"/>
      <c r="H91" s="124"/>
      <c r="I91" s="124"/>
      <c r="J91" s="124"/>
      <c r="K91" s="124"/>
      <c r="L91" s="124"/>
      <c r="M91" s="124"/>
      <c r="N91" s="124"/>
      <c r="O91" s="124"/>
      <c r="P91" s="124"/>
      <c r="Q91" s="124"/>
      <c r="R91" s="124"/>
      <c r="S91" s="124"/>
    </row>
    <row r="92" spans="1:19" x14ac:dyDescent="0.25">
      <c r="A92" s="124"/>
      <c r="B92" s="124"/>
      <c r="C92" s="124"/>
      <c r="D92" s="124"/>
      <c r="E92" s="124"/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Q92" s="124"/>
      <c r="R92" s="124"/>
      <c r="S92" s="124"/>
    </row>
    <row r="93" spans="1:19" x14ac:dyDescent="0.25">
      <c r="A93" s="124"/>
      <c r="B93" s="124"/>
      <c r="C93" s="124"/>
      <c r="D93" s="124"/>
      <c r="E93" s="124"/>
      <c r="F93" s="124"/>
      <c r="G93" s="124"/>
      <c r="H93" s="124"/>
      <c r="I93" s="124"/>
      <c r="J93" s="124"/>
      <c r="K93" s="124"/>
      <c r="L93" s="124"/>
      <c r="M93" s="124"/>
      <c r="N93" s="124"/>
      <c r="O93" s="124"/>
      <c r="P93" s="124"/>
      <c r="Q93" s="124"/>
      <c r="R93" s="124"/>
      <c r="S93" s="124"/>
    </row>
    <row r="94" spans="1:19" x14ac:dyDescent="0.25">
      <c r="A94" s="124"/>
      <c r="B94" s="124"/>
      <c r="C94" s="124"/>
      <c r="D94" s="124"/>
      <c r="E94" s="124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</row>
    <row r="95" spans="1:19" x14ac:dyDescent="0.25">
      <c r="A95" s="124"/>
      <c r="B95" s="124"/>
      <c r="C95" s="124"/>
      <c r="D95" s="124"/>
      <c r="E95" s="124"/>
      <c r="F95" s="124"/>
      <c r="G95" s="124"/>
      <c r="H95" s="124"/>
      <c r="I95" s="124"/>
      <c r="J95" s="124"/>
      <c r="K95" s="124"/>
      <c r="L95" s="124"/>
      <c r="M95" s="124"/>
      <c r="N95" s="124"/>
      <c r="O95" s="124"/>
      <c r="P95" s="124"/>
      <c r="Q95" s="124"/>
      <c r="R95" s="124"/>
      <c r="S95" s="124"/>
    </row>
    <row r="96" spans="1:19" x14ac:dyDescent="0.25">
      <c r="A96" s="124"/>
      <c r="B96" s="124"/>
      <c r="C96" s="124"/>
      <c r="D96" s="124"/>
      <c r="E96" s="124"/>
      <c r="F96" s="124"/>
      <c r="G96" s="124"/>
      <c r="H96" s="124"/>
      <c r="I96" s="124"/>
      <c r="J96" s="124"/>
      <c r="K96" s="124"/>
      <c r="L96" s="124"/>
      <c r="M96" s="124"/>
      <c r="N96" s="124"/>
      <c r="O96" s="124"/>
      <c r="P96" s="124"/>
      <c r="Q96" s="124"/>
      <c r="R96" s="124"/>
      <c r="S96" s="124"/>
    </row>
    <row r="97" spans="1:19" x14ac:dyDescent="0.25">
      <c r="A97" s="124"/>
      <c r="B97" s="124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124"/>
      <c r="O97" s="124"/>
      <c r="P97" s="124"/>
      <c r="Q97" s="124"/>
      <c r="R97" s="124"/>
      <c r="S97" s="124"/>
    </row>
    <row r="98" spans="1:19" x14ac:dyDescent="0.25">
      <c r="A98" s="124"/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4"/>
      <c r="P98" s="124"/>
      <c r="Q98" s="124"/>
      <c r="R98" s="124"/>
      <c r="S98" s="124"/>
    </row>
    <row r="99" spans="1:19" x14ac:dyDescent="0.25">
      <c r="A99" s="124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124"/>
      <c r="O99" s="124"/>
      <c r="P99" s="124"/>
      <c r="Q99" s="124"/>
      <c r="R99" s="124"/>
      <c r="S99" s="124"/>
    </row>
    <row r="100" spans="1:19" x14ac:dyDescent="0.25">
      <c r="A100" s="124"/>
      <c r="B100" s="124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  <c r="O100" s="124"/>
      <c r="P100" s="124"/>
      <c r="Q100" s="124"/>
      <c r="R100" s="124"/>
      <c r="S100" s="124"/>
    </row>
    <row r="101" spans="1:19" x14ac:dyDescent="0.25">
      <c r="A101" s="124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  <c r="O101" s="124"/>
      <c r="P101" s="124"/>
      <c r="Q101" s="124"/>
      <c r="R101" s="124"/>
      <c r="S101" s="124"/>
    </row>
    <row r="102" spans="1:19" x14ac:dyDescent="0.25">
      <c r="A102" s="124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  <c r="O102" s="124"/>
      <c r="P102" s="124"/>
      <c r="Q102" s="124"/>
      <c r="R102" s="124"/>
      <c r="S102" s="124"/>
    </row>
    <row r="103" spans="1:19" x14ac:dyDescent="0.25">
      <c r="A103" s="124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Q103" s="124"/>
      <c r="R103" s="124"/>
      <c r="S103" s="124"/>
    </row>
    <row r="104" spans="1:19" x14ac:dyDescent="0.25">
      <c r="A104" s="124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/>
    </row>
    <row r="105" spans="1:19" x14ac:dyDescent="0.25">
      <c r="A105" s="124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Q105" s="124"/>
      <c r="R105" s="124"/>
      <c r="S105" s="124"/>
    </row>
    <row r="106" spans="1:19" x14ac:dyDescent="0.25">
      <c r="A106" s="124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Q106" s="124"/>
      <c r="R106" s="124"/>
      <c r="S106" s="124"/>
    </row>
    <row r="107" spans="1:19" x14ac:dyDescent="0.25">
      <c r="A107" s="124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Q107" s="124"/>
      <c r="R107" s="124"/>
      <c r="S107" s="124"/>
    </row>
    <row r="108" spans="1:19" x14ac:dyDescent="0.25">
      <c r="A108" s="124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124"/>
      <c r="O108" s="124"/>
      <c r="P108" s="124"/>
      <c r="Q108" s="124"/>
      <c r="R108" s="124"/>
      <c r="S108" s="124"/>
    </row>
    <row r="109" spans="1:19" x14ac:dyDescent="0.25">
      <c r="A109" s="124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124"/>
      <c r="O109" s="124"/>
      <c r="P109" s="124"/>
      <c r="Q109" s="124"/>
      <c r="R109" s="124"/>
      <c r="S109" s="124"/>
    </row>
    <row r="110" spans="1:19" x14ac:dyDescent="0.25">
      <c r="A110" s="124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</row>
    <row r="111" spans="1:19" x14ac:dyDescent="0.25">
      <c r="A111" s="124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</row>
    <row r="112" spans="1:19" x14ac:dyDescent="0.25">
      <c r="A112" s="124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</row>
    <row r="113" spans="1:19" x14ac:dyDescent="0.25">
      <c r="A113" s="124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124"/>
      <c r="O113" s="124"/>
      <c r="P113" s="124"/>
      <c r="Q113" s="124"/>
      <c r="R113" s="124"/>
      <c r="S113" s="124"/>
    </row>
    <row r="114" spans="1:19" x14ac:dyDescent="0.25">
      <c r="A114" s="124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124"/>
      <c r="O114" s="124"/>
      <c r="P114" s="124"/>
      <c r="Q114" s="124"/>
      <c r="R114" s="124"/>
      <c r="S114" s="124"/>
    </row>
    <row r="115" spans="1:19" x14ac:dyDescent="0.25">
      <c r="A115" s="124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124"/>
      <c r="O115" s="124"/>
      <c r="P115" s="124"/>
      <c r="Q115" s="124"/>
      <c r="R115" s="124"/>
      <c r="S115" s="124"/>
    </row>
    <row r="116" spans="1:19" x14ac:dyDescent="0.25">
      <c r="A116" s="124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124"/>
      <c r="O116" s="124"/>
      <c r="P116" s="124"/>
      <c r="Q116" s="124"/>
      <c r="R116" s="124"/>
      <c r="S116" s="124"/>
    </row>
    <row r="117" spans="1:19" x14ac:dyDescent="0.25">
      <c r="A117" s="124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124"/>
      <c r="O117" s="124"/>
      <c r="P117" s="124"/>
      <c r="Q117" s="124"/>
      <c r="R117" s="124"/>
      <c r="S117" s="124"/>
    </row>
    <row r="118" spans="1:19" x14ac:dyDescent="0.25">
      <c r="A118" s="124"/>
      <c r="B118" s="124"/>
      <c r="C118" s="124"/>
      <c r="D118" s="124"/>
      <c r="E118" s="124"/>
      <c r="F118" s="124"/>
      <c r="G118" s="124"/>
      <c r="H118" s="124"/>
      <c r="I118" s="124"/>
      <c r="J118" s="124"/>
      <c r="K118" s="124"/>
      <c r="L118" s="124"/>
      <c r="M118" s="124"/>
      <c r="N118" s="124"/>
      <c r="O118" s="124"/>
      <c r="P118" s="124"/>
      <c r="Q118" s="124"/>
      <c r="R118" s="124"/>
      <c r="S118" s="124"/>
    </row>
    <row r="119" spans="1:19" x14ac:dyDescent="0.25">
      <c r="A119" s="124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</row>
    <row r="120" spans="1:19" x14ac:dyDescent="0.25">
      <c r="A120" s="124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124"/>
      <c r="O120" s="124"/>
      <c r="P120" s="124"/>
      <c r="Q120" s="124"/>
      <c r="R120" s="124"/>
      <c r="S120" s="124"/>
    </row>
    <row r="121" spans="1:19" x14ac:dyDescent="0.25">
      <c r="A121" s="124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124"/>
      <c r="O121" s="124"/>
      <c r="P121" s="124"/>
      <c r="Q121" s="124"/>
      <c r="R121" s="124"/>
      <c r="S121" s="124"/>
    </row>
    <row r="122" spans="1:19" x14ac:dyDescent="0.25">
      <c r="A122" s="124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124"/>
      <c r="O122" s="124"/>
      <c r="P122" s="124"/>
      <c r="Q122" s="124"/>
      <c r="R122" s="124"/>
      <c r="S122" s="124"/>
    </row>
    <row r="123" spans="1:19" x14ac:dyDescent="0.25">
      <c r="A123" s="124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124"/>
      <c r="O123" s="124"/>
      <c r="P123" s="124"/>
      <c r="Q123" s="124"/>
      <c r="R123" s="124"/>
      <c r="S123" s="124"/>
    </row>
    <row r="124" spans="1:19" x14ac:dyDescent="0.25">
      <c r="A124" s="124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124"/>
      <c r="O124" s="124"/>
      <c r="P124" s="124"/>
      <c r="Q124" s="124"/>
      <c r="R124" s="124"/>
      <c r="S124" s="124"/>
    </row>
    <row r="125" spans="1:19" x14ac:dyDescent="0.25">
      <c r="A125" s="124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124"/>
      <c r="O125" s="124"/>
      <c r="P125" s="124"/>
      <c r="Q125" s="124"/>
      <c r="R125" s="124"/>
      <c r="S125" s="124"/>
    </row>
    <row r="126" spans="1:19" x14ac:dyDescent="0.25">
      <c r="A126" s="124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124"/>
      <c r="O126" s="124"/>
      <c r="P126" s="124"/>
      <c r="Q126" s="124"/>
      <c r="R126" s="124"/>
      <c r="S126" s="124"/>
    </row>
    <row r="127" spans="1:19" x14ac:dyDescent="0.25">
      <c r="A127" s="124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124"/>
      <c r="O127" s="124"/>
      <c r="P127" s="124"/>
      <c r="Q127" s="124"/>
      <c r="R127" s="124"/>
      <c r="S127" s="124"/>
    </row>
    <row r="128" spans="1:19" x14ac:dyDescent="0.25">
      <c r="A128" s="124"/>
      <c r="B128" s="124"/>
      <c r="C128" s="124"/>
      <c r="D128" s="124"/>
      <c r="E128" s="124"/>
      <c r="F128" s="124"/>
      <c r="G128" s="124"/>
      <c r="H128" s="124"/>
      <c r="I128" s="124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</row>
    <row r="129" spans="1:19" x14ac:dyDescent="0.25">
      <c r="A129" s="124"/>
      <c r="B129" s="124"/>
      <c r="C129" s="124"/>
      <c r="D129" s="124"/>
      <c r="E129" s="124"/>
      <c r="F129" s="124"/>
      <c r="G129" s="124"/>
      <c r="H129" s="124"/>
      <c r="I129" s="124"/>
      <c r="J129" s="124"/>
      <c r="K129" s="124"/>
      <c r="L129" s="124"/>
      <c r="M129" s="124"/>
      <c r="N129" s="124"/>
      <c r="O129" s="124"/>
      <c r="P129" s="124"/>
      <c r="Q129" s="124"/>
      <c r="R129" s="124"/>
      <c r="S129" s="124"/>
    </row>
    <row r="130" spans="1:19" x14ac:dyDescent="0.25">
      <c r="A130" s="124"/>
      <c r="B130" s="124"/>
      <c r="C130" s="124"/>
      <c r="D130" s="124"/>
      <c r="E130" s="124"/>
      <c r="F130" s="124"/>
      <c r="G130" s="124"/>
      <c r="H130" s="124"/>
      <c r="I130" s="124"/>
      <c r="J130" s="124"/>
      <c r="K130" s="124"/>
      <c r="L130" s="124"/>
      <c r="M130" s="124"/>
      <c r="N130" s="124"/>
      <c r="O130" s="124"/>
      <c r="P130" s="124"/>
      <c r="Q130" s="124"/>
      <c r="R130" s="124"/>
      <c r="S130" s="124"/>
    </row>
    <row r="131" spans="1:19" x14ac:dyDescent="0.25">
      <c r="A131" s="124"/>
      <c r="B131" s="124"/>
      <c r="C131" s="124"/>
      <c r="D131" s="124"/>
      <c r="E131" s="124"/>
      <c r="F131" s="124"/>
      <c r="G131" s="124"/>
      <c r="H131" s="124"/>
      <c r="I131" s="124"/>
      <c r="J131" s="124"/>
      <c r="K131" s="124"/>
      <c r="L131" s="124"/>
      <c r="M131" s="124"/>
      <c r="N131" s="124"/>
      <c r="O131" s="124"/>
      <c r="P131" s="124"/>
      <c r="Q131" s="124"/>
      <c r="R131" s="124"/>
      <c r="S131" s="124"/>
    </row>
    <row r="132" spans="1:19" x14ac:dyDescent="0.25">
      <c r="A132" s="124"/>
      <c r="B132" s="124"/>
      <c r="C132" s="124"/>
      <c r="D132" s="124"/>
      <c r="E132" s="124"/>
      <c r="F132" s="124"/>
      <c r="G132" s="124"/>
      <c r="H132" s="124"/>
      <c r="I132" s="124"/>
      <c r="J132" s="124"/>
      <c r="K132" s="124"/>
      <c r="L132" s="124"/>
      <c r="M132" s="124"/>
      <c r="N132" s="124"/>
      <c r="O132" s="124"/>
      <c r="P132" s="124"/>
      <c r="Q132" s="124"/>
      <c r="R132" s="124"/>
      <c r="S132" s="124"/>
    </row>
    <row r="133" spans="1:19" x14ac:dyDescent="0.25">
      <c r="A133" s="124"/>
      <c r="B133" s="124"/>
      <c r="C133" s="124"/>
      <c r="D133" s="124"/>
      <c r="E133" s="124"/>
      <c r="F133" s="124"/>
      <c r="G133" s="124"/>
      <c r="H133" s="124"/>
      <c r="I133" s="124"/>
      <c r="J133" s="124"/>
      <c r="K133" s="124"/>
      <c r="L133" s="124"/>
      <c r="M133" s="124"/>
      <c r="N133" s="124"/>
      <c r="O133" s="124"/>
      <c r="P133" s="124"/>
      <c r="Q133" s="124"/>
      <c r="R133" s="124"/>
      <c r="S133" s="124"/>
    </row>
    <row r="134" spans="1:19" x14ac:dyDescent="0.25">
      <c r="A134" s="124"/>
      <c r="B134" s="124"/>
      <c r="C134" s="124"/>
      <c r="D134" s="124"/>
      <c r="E134" s="124"/>
      <c r="F134" s="124"/>
      <c r="G134" s="124"/>
      <c r="H134" s="124"/>
      <c r="I134" s="124"/>
      <c r="J134" s="124"/>
      <c r="K134" s="124"/>
      <c r="L134" s="124"/>
      <c r="M134" s="124"/>
      <c r="N134" s="124"/>
      <c r="O134" s="124"/>
      <c r="P134" s="124"/>
      <c r="Q134" s="124"/>
      <c r="R134" s="124"/>
      <c r="S134" s="124"/>
    </row>
    <row r="135" spans="1:19" x14ac:dyDescent="0.25">
      <c r="A135" s="124"/>
      <c r="B135" s="124"/>
      <c r="C135" s="124"/>
      <c r="D135" s="124"/>
      <c r="E135" s="124"/>
      <c r="F135" s="124"/>
      <c r="G135" s="124"/>
      <c r="H135" s="124"/>
      <c r="I135" s="124"/>
      <c r="J135" s="124"/>
      <c r="K135" s="124"/>
      <c r="L135" s="124"/>
      <c r="M135" s="124"/>
      <c r="N135" s="124"/>
      <c r="O135" s="124"/>
      <c r="P135" s="124"/>
      <c r="Q135" s="124"/>
      <c r="R135" s="124"/>
      <c r="S135" s="124"/>
    </row>
    <row r="136" spans="1:19" x14ac:dyDescent="0.25">
      <c r="A136" s="124"/>
      <c r="B136" s="124"/>
      <c r="C136" s="124"/>
      <c r="D136" s="124"/>
      <c r="E136" s="124"/>
      <c r="F136" s="124"/>
      <c r="G136" s="124"/>
      <c r="H136" s="124"/>
      <c r="I136" s="124"/>
      <c r="J136" s="124"/>
      <c r="K136" s="124"/>
      <c r="L136" s="124"/>
      <c r="M136" s="124"/>
      <c r="N136" s="124"/>
      <c r="O136" s="124"/>
      <c r="P136" s="124"/>
      <c r="Q136" s="124"/>
      <c r="R136" s="124"/>
      <c r="S136" s="124"/>
    </row>
    <row r="137" spans="1:19" x14ac:dyDescent="0.25">
      <c r="A137" s="124"/>
      <c r="B137" s="124"/>
      <c r="C137" s="124"/>
      <c r="D137" s="124"/>
      <c r="E137" s="124"/>
      <c r="F137" s="124"/>
      <c r="G137" s="124"/>
      <c r="H137" s="124"/>
      <c r="I137" s="124"/>
      <c r="J137" s="124"/>
      <c r="K137" s="124"/>
      <c r="L137" s="124"/>
      <c r="M137" s="124"/>
      <c r="N137" s="124"/>
      <c r="O137" s="124"/>
      <c r="P137" s="124"/>
      <c r="Q137" s="124"/>
      <c r="R137" s="124"/>
      <c r="S137" s="124"/>
    </row>
    <row r="138" spans="1:19" x14ac:dyDescent="0.25">
      <c r="A138" s="124"/>
      <c r="B138" s="124"/>
      <c r="C138" s="124"/>
      <c r="D138" s="124"/>
      <c r="E138" s="124"/>
      <c r="F138" s="124"/>
      <c r="G138" s="124"/>
      <c r="H138" s="124"/>
      <c r="I138" s="124"/>
      <c r="J138" s="124"/>
      <c r="K138" s="124"/>
      <c r="L138" s="124"/>
      <c r="M138" s="124"/>
      <c r="N138" s="124"/>
      <c r="O138" s="124"/>
      <c r="P138" s="124"/>
      <c r="Q138" s="124"/>
      <c r="R138" s="124"/>
      <c r="S138" s="124"/>
    </row>
    <row r="139" spans="1:19" x14ac:dyDescent="0.25">
      <c r="A139" s="124"/>
      <c r="B139" s="124"/>
      <c r="C139" s="124"/>
      <c r="D139" s="124"/>
      <c r="E139" s="124"/>
      <c r="F139" s="124"/>
      <c r="G139" s="124"/>
      <c r="H139" s="124"/>
      <c r="I139" s="124"/>
      <c r="J139" s="124"/>
      <c r="K139" s="124"/>
      <c r="L139" s="124"/>
      <c r="M139" s="124"/>
      <c r="N139" s="124"/>
      <c r="O139" s="124"/>
      <c r="P139" s="124"/>
      <c r="Q139" s="124"/>
      <c r="R139" s="124"/>
      <c r="S139" s="124"/>
    </row>
    <row r="140" spans="1:19" x14ac:dyDescent="0.25">
      <c r="A140" s="124"/>
      <c r="B140" s="124"/>
      <c r="C140" s="124"/>
      <c r="D140" s="124"/>
      <c r="E140" s="124"/>
      <c r="F140" s="124"/>
      <c r="G140" s="124"/>
      <c r="H140" s="124"/>
      <c r="I140" s="124"/>
      <c r="J140" s="124"/>
      <c r="K140" s="124"/>
      <c r="L140" s="124"/>
      <c r="M140" s="124"/>
      <c r="N140" s="124"/>
      <c r="O140" s="124"/>
      <c r="P140" s="124"/>
      <c r="Q140" s="124"/>
      <c r="R140" s="124"/>
      <c r="S140" s="124"/>
    </row>
    <row r="141" spans="1:19" x14ac:dyDescent="0.25">
      <c r="A141" s="124"/>
      <c r="B141" s="124"/>
      <c r="C141" s="124"/>
      <c r="D141" s="124"/>
      <c r="E141" s="124"/>
      <c r="F141" s="124"/>
      <c r="G141" s="124"/>
      <c r="H141" s="124"/>
      <c r="I141" s="124"/>
      <c r="J141" s="124"/>
      <c r="K141" s="124"/>
      <c r="L141" s="124"/>
      <c r="M141" s="124"/>
      <c r="N141" s="124"/>
      <c r="O141" s="124"/>
      <c r="P141" s="124"/>
      <c r="Q141" s="124"/>
      <c r="R141" s="124"/>
      <c r="S141" s="124"/>
    </row>
    <row r="142" spans="1:19" x14ac:dyDescent="0.25">
      <c r="A142" s="124"/>
      <c r="B142" s="124"/>
      <c r="C142" s="124"/>
      <c r="D142" s="124"/>
      <c r="E142" s="124"/>
      <c r="F142" s="124"/>
      <c r="G142" s="124"/>
      <c r="H142" s="124"/>
      <c r="I142" s="124"/>
      <c r="J142" s="124"/>
      <c r="K142" s="124"/>
      <c r="L142" s="124"/>
      <c r="M142" s="124"/>
      <c r="N142" s="124"/>
      <c r="O142" s="124"/>
      <c r="P142" s="124"/>
      <c r="Q142" s="124"/>
      <c r="R142" s="124"/>
      <c r="S142" s="124"/>
    </row>
    <row r="143" spans="1:19" x14ac:dyDescent="0.25">
      <c r="A143" s="124"/>
      <c r="B143" s="124"/>
      <c r="C143" s="124"/>
      <c r="D143" s="124"/>
      <c r="E143" s="124"/>
      <c r="F143" s="124"/>
      <c r="G143" s="124"/>
      <c r="H143" s="124"/>
      <c r="I143" s="124"/>
      <c r="J143" s="124"/>
      <c r="K143" s="124"/>
      <c r="L143" s="124"/>
      <c r="M143" s="124"/>
      <c r="N143" s="124"/>
      <c r="O143" s="124"/>
      <c r="P143" s="124"/>
      <c r="Q143" s="124"/>
      <c r="R143" s="124"/>
      <c r="S143" s="124"/>
    </row>
    <row r="144" spans="1:19" x14ac:dyDescent="0.25">
      <c r="A144" s="124"/>
      <c r="B144" s="124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  <c r="P144" s="124"/>
      <c r="Q144" s="124"/>
      <c r="R144" s="124"/>
      <c r="S144" s="124"/>
    </row>
    <row r="145" spans="1:19" x14ac:dyDescent="0.25">
      <c r="A145" s="124"/>
      <c r="B145" s="124"/>
      <c r="C145" s="124"/>
      <c r="D145" s="124"/>
      <c r="E145" s="124"/>
      <c r="F145" s="124"/>
      <c r="G145" s="124"/>
      <c r="H145" s="124"/>
      <c r="I145" s="124"/>
      <c r="J145" s="124"/>
      <c r="K145" s="124"/>
      <c r="L145" s="124"/>
      <c r="M145" s="124"/>
      <c r="N145" s="124"/>
      <c r="O145" s="124"/>
      <c r="P145" s="124"/>
      <c r="Q145" s="124"/>
      <c r="R145" s="124"/>
      <c r="S145" s="124"/>
    </row>
    <row r="146" spans="1:19" x14ac:dyDescent="0.25">
      <c r="A146" s="124"/>
      <c r="B146" s="124"/>
      <c r="C146" s="124"/>
      <c r="D146" s="124"/>
      <c r="E146" s="124"/>
      <c r="F146" s="124"/>
      <c r="G146" s="124"/>
      <c r="H146" s="124"/>
      <c r="I146" s="124"/>
      <c r="J146" s="124"/>
      <c r="K146" s="124"/>
      <c r="L146" s="124"/>
      <c r="M146" s="124"/>
      <c r="N146" s="124"/>
      <c r="O146" s="124"/>
      <c r="P146" s="124"/>
      <c r="Q146" s="124"/>
      <c r="R146" s="124"/>
      <c r="S146" s="124"/>
    </row>
    <row r="147" spans="1:19" x14ac:dyDescent="0.25">
      <c r="A147" s="124"/>
      <c r="B147" s="124"/>
      <c r="C147" s="124"/>
      <c r="D147" s="124"/>
      <c r="E147" s="124"/>
      <c r="F147" s="124"/>
      <c r="G147" s="124"/>
      <c r="H147" s="124"/>
      <c r="I147" s="124"/>
      <c r="J147" s="124"/>
      <c r="K147" s="124"/>
      <c r="L147" s="124"/>
      <c r="M147" s="124"/>
      <c r="N147" s="124"/>
      <c r="O147" s="124"/>
      <c r="P147" s="124"/>
      <c r="Q147" s="124"/>
      <c r="R147" s="124"/>
      <c r="S147" s="124"/>
    </row>
    <row r="148" spans="1:19" x14ac:dyDescent="0.25">
      <c r="A148" s="124"/>
      <c r="B148" s="124"/>
      <c r="C148" s="124"/>
      <c r="D148" s="124"/>
      <c r="E148" s="124"/>
      <c r="F148" s="124"/>
      <c r="G148" s="124"/>
      <c r="H148" s="124"/>
      <c r="I148" s="124"/>
      <c r="J148" s="124"/>
      <c r="K148" s="124"/>
      <c r="L148" s="124"/>
      <c r="M148" s="124"/>
      <c r="N148" s="124"/>
      <c r="O148" s="124"/>
      <c r="P148" s="124"/>
      <c r="Q148" s="124"/>
      <c r="R148" s="124"/>
      <c r="S148" s="124"/>
    </row>
    <row r="149" spans="1:19" x14ac:dyDescent="0.25">
      <c r="A149" s="124"/>
      <c r="B149" s="124"/>
      <c r="C149" s="124"/>
      <c r="D149" s="124"/>
      <c r="E149" s="124"/>
      <c r="F149" s="124"/>
      <c r="G149" s="124"/>
      <c r="H149" s="124"/>
      <c r="I149" s="124"/>
      <c r="J149" s="124"/>
      <c r="K149" s="124"/>
      <c r="L149" s="124"/>
      <c r="M149" s="124"/>
      <c r="N149" s="124"/>
      <c r="O149" s="124"/>
      <c r="P149" s="124"/>
      <c r="Q149" s="124"/>
      <c r="R149" s="124"/>
      <c r="S149" s="124"/>
    </row>
    <row r="150" spans="1:19" x14ac:dyDescent="0.25">
      <c r="A150" s="124"/>
      <c r="B150" s="124"/>
      <c r="C150" s="124"/>
      <c r="D150" s="124"/>
      <c r="E150" s="124"/>
      <c r="F150" s="124"/>
      <c r="G150" s="124"/>
      <c r="H150" s="124"/>
      <c r="I150" s="124"/>
      <c r="J150" s="124"/>
      <c r="K150" s="124"/>
      <c r="L150" s="124"/>
      <c r="M150" s="124"/>
      <c r="N150" s="124"/>
      <c r="O150" s="124"/>
      <c r="P150" s="124"/>
      <c r="Q150" s="124"/>
      <c r="R150" s="124"/>
      <c r="S150" s="124"/>
    </row>
    <row r="151" spans="1:19" x14ac:dyDescent="0.25">
      <c r="A151" s="124"/>
      <c r="B151" s="124"/>
      <c r="C151" s="124"/>
      <c r="D151" s="124"/>
      <c r="E151" s="124"/>
      <c r="F151" s="124"/>
      <c r="G151" s="124"/>
      <c r="H151" s="124"/>
      <c r="I151" s="124"/>
      <c r="J151" s="124"/>
      <c r="K151" s="124"/>
      <c r="L151" s="124"/>
      <c r="M151" s="124"/>
      <c r="N151" s="124"/>
      <c r="O151" s="124"/>
      <c r="P151" s="124"/>
      <c r="Q151" s="124"/>
      <c r="R151" s="124"/>
      <c r="S151" s="124"/>
    </row>
    <row r="152" spans="1:19" x14ac:dyDescent="0.25">
      <c r="A152" s="124"/>
      <c r="B152" s="124"/>
      <c r="C152" s="124"/>
      <c r="D152" s="124"/>
      <c r="E152" s="124"/>
      <c r="F152" s="124"/>
      <c r="G152" s="124"/>
      <c r="H152" s="124"/>
      <c r="I152" s="124"/>
      <c r="J152" s="124"/>
      <c r="K152" s="124"/>
      <c r="L152" s="124"/>
      <c r="M152" s="124"/>
      <c r="N152" s="124"/>
      <c r="O152" s="124"/>
      <c r="P152" s="124"/>
      <c r="Q152" s="124"/>
      <c r="R152" s="124"/>
      <c r="S152" s="124"/>
    </row>
    <row r="153" spans="1:19" x14ac:dyDescent="0.25">
      <c r="A153" s="124"/>
      <c r="B153" s="124"/>
      <c r="C153" s="124"/>
      <c r="D153" s="124"/>
      <c r="E153" s="124"/>
      <c r="F153" s="124"/>
      <c r="G153" s="124"/>
      <c r="H153" s="124"/>
      <c r="I153" s="124"/>
      <c r="J153" s="124"/>
      <c r="K153" s="124"/>
      <c r="L153" s="124"/>
      <c r="M153" s="124"/>
      <c r="N153" s="124"/>
      <c r="O153" s="124"/>
      <c r="P153" s="124"/>
      <c r="Q153" s="124"/>
      <c r="R153" s="124"/>
      <c r="S153" s="124"/>
    </row>
    <row r="154" spans="1:19" x14ac:dyDescent="0.25">
      <c r="A154" s="124"/>
      <c r="B154" s="124"/>
      <c r="C154" s="124"/>
      <c r="D154" s="124"/>
      <c r="E154" s="124"/>
      <c r="F154" s="124"/>
      <c r="G154" s="124"/>
      <c r="H154" s="124"/>
      <c r="I154" s="124"/>
      <c r="J154" s="124"/>
      <c r="K154" s="124"/>
      <c r="L154" s="124"/>
      <c r="M154" s="124"/>
      <c r="N154" s="124"/>
      <c r="O154" s="124"/>
      <c r="P154" s="124"/>
      <c r="Q154" s="124"/>
      <c r="R154" s="124"/>
      <c r="S154" s="124"/>
    </row>
    <row r="155" spans="1:19" x14ac:dyDescent="0.25">
      <c r="A155" s="124"/>
      <c r="B155" s="124"/>
      <c r="C155" s="124"/>
      <c r="D155" s="124"/>
      <c r="E155" s="124"/>
      <c r="F155" s="124"/>
      <c r="G155" s="124"/>
      <c r="H155" s="124"/>
      <c r="I155" s="124"/>
      <c r="J155" s="124"/>
      <c r="K155" s="124"/>
      <c r="L155" s="124"/>
      <c r="M155" s="124"/>
      <c r="N155" s="124"/>
      <c r="O155" s="124"/>
      <c r="P155" s="124"/>
      <c r="Q155" s="124"/>
      <c r="R155" s="124"/>
      <c r="S155" s="124"/>
    </row>
    <row r="156" spans="1:19" x14ac:dyDescent="0.25">
      <c r="A156" s="124"/>
      <c r="B156" s="124"/>
      <c r="C156" s="124"/>
      <c r="D156" s="124"/>
      <c r="E156" s="124"/>
      <c r="F156" s="124"/>
      <c r="G156" s="124"/>
      <c r="H156" s="124"/>
      <c r="I156" s="124"/>
      <c r="J156" s="124"/>
      <c r="K156" s="124"/>
      <c r="L156" s="124"/>
      <c r="M156" s="124"/>
      <c r="N156" s="124"/>
      <c r="O156" s="124"/>
      <c r="P156" s="124"/>
      <c r="Q156" s="124"/>
      <c r="R156" s="124"/>
      <c r="S156" s="124"/>
    </row>
    <row r="157" spans="1:19" x14ac:dyDescent="0.25">
      <c r="A157" s="124"/>
      <c r="B157" s="124"/>
      <c r="C157" s="124"/>
      <c r="D157" s="124"/>
      <c r="E157" s="124"/>
      <c r="F157" s="124"/>
      <c r="G157" s="124"/>
      <c r="H157" s="124"/>
      <c r="I157" s="124"/>
      <c r="J157" s="124"/>
      <c r="K157" s="124"/>
      <c r="L157" s="124"/>
      <c r="M157" s="124"/>
      <c r="N157" s="124"/>
      <c r="O157" s="124"/>
      <c r="P157" s="124"/>
      <c r="Q157" s="124"/>
      <c r="R157" s="124"/>
      <c r="S157" s="124"/>
    </row>
    <row r="158" spans="1:19" x14ac:dyDescent="0.25">
      <c r="A158" s="124"/>
      <c r="B158" s="124"/>
      <c r="C158" s="124"/>
      <c r="D158" s="124"/>
      <c r="E158" s="124"/>
      <c r="F158" s="124"/>
      <c r="G158" s="124"/>
      <c r="H158" s="124"/>
      <c r="I158" s="124"/>
      <c r="J158" s="124"/>
      <c r="K158" s="124"/>
      <c r="L158" s="124"/>
      <c r="M158" s="124"/>
      <c r="N158" s="124"/>
      <c r="O158" s="124"/>
      <c r="P158" s="124"/>
      <c r="Q158" s="124"/>
      <c r="R158" s="124"/>
      <c r="S158" s="124"/>
    </row>
    <row r="159" spans="1:19" x14ac:dyDescent="0.25">
      <c r="A159" s="124"/>
      <c r="B159" s="124"/>
      <c r="C159" s="124"/>
      <c r="D159" s="124"/>
      <c r="E159" s="124"/>
      <c r="F159" s="124"/>
      <c r="G159" s="124"/>
      <c r="H159" s="124"/>
      <c r="I159" s="124"/>
      <c r="J159" s="124"/>
      <c r="K159" s="124"/>
      <c r="L159" s="124"/>
      <c r="M159" s="124"/>
      <c r="N159" s="124"/>
      <c r="O159" s="124"/>
      <c r="P159" s="124"/>
      <c r="Q159" s="124"/>
      <c r="R159" s="124"/>
      <c r="S159" s="124"/>
    </row>
    <row r="160" spans="1:19" x14ac:dyDescent="0.25">
      <c r="A160" s="124"/>
      <c r="B160" s="124"/>
      <c r="C160" s="124"/>
      <c r="D160" s="124"/>
      <c r="E160" s="124"/>
      <c r="F160" s="124"/>
      <c r="G160" s="124"/>
      <c r="H160" s="124"/>
      <c r="I160" s="124"/>
      <c r="J160" s="124"/>
      <c r="K160" s="124"/>
      <c r="L160" s="124"/>
      <c r="M160" s="124"/>
      <c r="N160" s="124"/>
      <c r="O160" s="124"/>
      <c r="P160" s="124"/>
      <c r="Q160" s="124"/>
      <c r="R160" s="124"/>
      <c r="S160" s="124"/>
    </row>
    <row r="161" spans="1:19" x14ac:dyDescent="0.25">
      <c r="A161" s="124"/>
      <c r="B161" s="124"/>
      <c r="C161" s="124"/>
      <c r="D161" s="124"/>
      <c r="E161" s="124"/>
      <c r="F161" s="124"/>
      <c r="G161" s="124"/>
      <c r="H161" s="124"/>
      <c r="I161" s="124"/>
      <c r="J161" s="124"/>
      <c r="K161" s="124"/>
      <c r="L161" s="124"/>
      <c r="M161" s="124"/>
      <c r="N161" s="124"/>
      <c r="O161" s="124"/>
      <c r="P161" s="124"/>
      <c r="Q161" s="124"/>
      <c r="R161" s="124"/>
      <c r="S161" s="124"/>
    </row>
    <row r="162" spans="1:19" x14ac:dyDescent="0.25">
      <c r="A162" s="124"/>
      <c r="B162" s="124"/>
      <c r="C162" s="124"/>
      <c r="D162" s="124"/>
      <c r="E162" s="124"/>
      <c r="F162" s="124"/>
      <c r="G162" s="124"/>
      <c r="H162" s="124"/>
      <c r="I162" s="124"/>
      <c r="J162" s="124"/>
      <c r="K162" s="124"/>
      <c r="L162" s="124"/>
      <c r="M162" s="124"/>
      <c r="N162" s="124"/>
      <c r="O162" s="124"/>
      <c r="P162" s="124"/>
      <c r="Q162" s="124"/>
      <c r="R162" s="124"/>
      <c r="S162" s="124"/>
    </row>
    <row r="163" spans="1:19" x14ac:dyDescent="0.25">
      <c r="A163" s="124"/>
      <c r="B163" s="124"/>
      <c r="C163" s="124"/>
      <c r="D163" s="124"/>
      <c r="E163" s="124"/>
      <c r="F163" s="124"/>
      <c r="G163" s="124"/>
      <c r="H163" s="124"/>
      <c r="I163" s="124"/>
      <c r="J163" s="124"/>
      <c r="K163" s="124"/>
      <c r="L163" s="124"/>
      <c r="M163" s="124"/>
      <c r="N163" s="124"/>
      <c r="O163" s="124"/>
      <c r="P163" s="124"/>
      <c r="Q163" s="124"/>
      <c r="R163" s="124"/>
      <c r="S163" s="124"/>
    </row>
    <row r="164" spans="1:19" x14ac:dyDescent="0.25">
      <c r="A164" s="124"/>
      <c r="B164" s="124"/>
      <c r="C164" s="124"/>
      <c r="D164" s="124"/>
      <c r="E164" s="124"/>
      <c r="F164" s="124"/>
      <c r="G164" s="124"/>
      <c r="H164" s="124"/>
      <c r="I164" s="124"/>
      <c r="J164" s="124"/>
      <c r="K164" s="124"/>
      <c r="L164" s="124"/>
      <c r="M164" s="124"/>
      <c r="N164" s="124"/>
      <c r="O164" s="124"/>
      <c r="P164" s="124"/>
      <c r="Q164" s="124"/>
      <c r="R164" s="124"/>
      <c r="S164" s="124"/>
    </row>
    <row r="165" spans="1:19" x14ac:dyDescent="0.25">
      <c r="A165" s="124"/>
      <c r="B165" s="124"/>
      <c r="C165" s="124"/>
      <c r="D165" s="124"/>
      <c r="E165" s="124"/>
      <c r="F165" s="124"/>
      <c r="G165" s="124"/>
      <c r="H165" s="124"/>
      <c r="I165" s="124"/>
      <c r="J165" s="124"/>
      <c r="K165" s="124"/>
      <c r="L165" s="124"/>
      <c r="M165" s="124"/>
      <c r="N165" s="124"/>
      <c r="O165" s="124"/>
      <c r="P165" s="124"/>
      <c r="Q165" s="124"/>
      <c r="R165" s="124"/>
      <c r="S165" s="124"/>
    </row>
    <row r="166" spans="1:19" x14ac:dyDescent="0.25">
      <c r="A166" s="124"/>
      <c r="B166" s="124"/>
      <c r="C166" s="124"/>
      <c r="D166" s="124"/>
      <c r="E166" s="124"/>
      <c r="F166" s="124"/>
      <c r="G166" s="124"/>
      <c r="H166" s="124"/>
      <c r="I166" s="124"/>
      <c r="J166" s="124"/>
      <c r="K166" s="124"/>
      <c r="L166" s="124"/>
      <c r="M166" s="124"/>
      <c r="N166" s="124"/>
      <c r="O166" s="124"/>
      <c r="P166" s="124"/>
      <c r="Q166" s="124"/>
      <c r="R166" s="124"/>
      <c r="S166" s="124"/>
    </row>
    <row r="167" spans="1:19" x14ac:dyDescent="0.25">
      <c r="A167" s="124"/>
      <c r="B167" s="124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</row>
    <row r="168" spans="1:19" x14ac:dyDescent="0.25">
      <c r="A168" s="124"/>
      <c r="B168" s="124"/>
      <c r="C168" s="124"/>
      <c r="D168" s="124"/>
      <c r="E168" s="124"/>
      <c r="F168" s="124"/>
      <c r="G168" s="124"/>
      <c r="H168" s="124"/>
      <c r="I168" s="124"/>
      <c r="J168" s="124"/>
      <c r="K168" s="124"/>
      <c r="L168" s="124"/>
      <c r="M168" s="124"/>
      <c r="N168" s="124"/>
      <c r="O168" s="124"/>
      <c r="P168" s="124"/>
      <c r="Q168" s="124"/>
      <c r="R168" s="124"/>
      <c r="S168" s="124"/>
    </row>
    <row r="169" spans="1:19" x14ac:dyDescent="0.25">
      <c r="A169" s="124"/>
      <c r="B169" s="124"/>
      <c r="C169" s="124"/>
      <c r="D169" s="124"/>
      <c r="E169" s="124"/>
      <c r="F169" s="124"/>
      <c r="G169" s="124"/>
      <c r="H169" s="124"/>
      <c r="I169" s="124"/>
      <c r="J169" s="124"/>
      <c r="K169" s="124"/>
      <c r="L169" s="124"/>
      <c r="M169" s="124"/>
      <c r="N169" s="124"/>
      <c r="O169" s="124"/>
      <c r="P169" s="124"/>
      <c r="Q169" s="124"/>
      <c r="R169" s="124"/>
      <c r="S169" s="124"/>
    </row>
    <row r="170" spans="1:19" x14ac:dyDescent="0.25">
      <c r="A170" s="124"/>
      <c r="B170" s="124"/>
      <c r="C170" s="124"/>
      <c r="D170" s="124"/>
      <c r="E170" s="124"/>
      <c r="F170" s="124"/>
      <c r="G170" s="124"/>
      <c r="H170" s="124"/>
      <c r="I170" s="124"/>
      <c r="J170" s="124"/>
      <c r="K170" s="124"/>
      <c r="L170" s="124"/>
      <c r="M170" s="124"/>
      <c r="N170" s="124"/>
      <c r="O170" s="124"/>
      <c r="P170" s="124"/>
      <c r="Q170" s="124"/>
      <c r="R170" s="124"/>
      <c r="S170" s="124"/>
    </row>
    <row r="171" spans="1:19" x14ac:dyDescent="0.25">
      <c r="A171" s="124"/>
      <c r="B171" s="124"/>
      <c r="C171" s="124"/>
      <c r="D171" s="124"/>
      <c r="E171" s="124"/>
      <c r="F171" s="124"/>
      <c r="G171" s="124"/>
      <c r="H171" s="124"/>
      <c r="I171" s="124"/>
      <c r="J171" s="124"/>
      <c r="K171" s="124"/>
      <c r="L171" s="124"/>
      <c r="M171" s="124"/>
      <c r="N171" s="124"/>
      <c r="O171" s="124"/>
      <c r="P171" s="124"/>
      <c r="Q171" s="124"/>
      <c r="R171" s="124"/>
      <c r="S171" s="124"/>
    </row>
    <row r="172" spans="1:19" x14ac:dyDescent="0.25">
      <c r="A172" s="124"/>
      <c r="B172" s="124"/>
      <c r="C172" s="124"/>
      <c r="D172" s="124"/>
      <c r="E172" s="124"/>
      <c r="F172" s="124"/>
      <c r="G172" s="124"/>
      <c r="H172" s="124"/>
      <c r="I172" s="124"/>
      <c r="J172" s="124"/>
      <c r="K172" s="124"/>
      <c r="L172" s="124"/>
      <c r="M172" s="124"/>
      <c r="N172" s="124"/>
      <c r="O172" s="124"/>
      <c r="P172" s="124"/>
      <c r="Q172" s="124"/>
      <c r="R172" s="124"/>
      <c r="S172" s="124"/>
    </row>
    <row r="173" spans="1:19" x14ac:dyDescent="0.25">
      <c r="A173" s="124"/>
      <c r="B173" s="124"/>
      <c r="C173" s="124"/>
      <c r="D173" s="124"/>
      <c r="E173" s="124"/>
      <c r="F173" s="124"/>
      <c r="G173" s="124"/>
      <c r="H173" s="124"/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</row>
    <row r="174" spans="1:19" x14ac:dyDescent="0.25">
      <c r="A174" s="124"/>
      <c r="B174" s="124"/>
      <c r="C174" s="124"/>
      <c r="D174" s="124"/>
      <c r="E174" s="124"/>
      <c r="F174" s="124"/>
      <c r="G174" s="124"/>
      <c r="H174" s="124"/>
      <c r="I174" s="124"/>
      <c r="J174" s="124"/>
      <c r="K174" s="124"/>
      <c r="L174" s="124"/>
      <c r="M174" s="124"/>
      <c r="N174" s="124"/>
      <c r="O174" s="124"/>
      <c r="P174" s="124"/>
      <c r="Q174" s="124"/>
      <c r="R174" s="124"/>
      <c r="S174" s="124"/>
    </row>
    <row r="175" spans="1:19" x14ac:dyDescent="0.25">
      <c r="A175" s="124"/>
      <c r="B175" s="124"/>
      <c r="C175" s="124"/>
      <c r="D175" s="124"/>
      <c r="E175" s="124"/>
      <c r="F175" s="124"/>
      <c r="G175" s="124"/>
      <c r="H175" s="124"/>
      <c r="I175" s="124"/>
      <c r="J175" s="124"/>
      <c r="K175" s="124"/>
      <c r="L175" s="124"/>
      <c r="M175" s="124"/>
      <c r="N175" s="124"/>
      <c r="O175" s="124"/>
      <c r="P175" s="124"/>
      <c r="Q175" s="124"/>
      <c r="R175" s="124"/>
      <c r="S175" s="124"/>
    </row>
    <row r="176" spans="1:19" x14ac:dyDescent="0.25">
      <c r="A176" s="124"/>
      <c r="B176" s="124"/>
      <c r="C176" s="124"/>
      <c r="D176" s="124"/>
      <c r="E176" s="124"/>
      <c r="F176" s="124"/>
      <c r="G176" s="124"/>
      <c r="H176" s="124"/>
      <c r="I176" s="124"/>
      <c r="J176" s="124"/>
      <c r="K176" s="124"/>
      <c r="L176" s="124"/>
      <c r="M176" s="124"/>
      <c r="N176" s="124"/>
      <c r="O176" s="124"/>
      <c r="P176" s="124"/>
      <c r="Q176" s="124"/>
      <c r="R176" s="124"/>
      <c r="S176" s="124"/>
    </row>
    <row r="177" spans="1:19" x14ac:dyDescent="0.25">
      <c r="A177" s="124"/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</row>
    <row r="178" spans="1:19" x14ac:dyDescent="0.25">
      <c r="A178" s="124"/>
      <c r="B178" s="124"/>
      <c r="C178" s="124"/>
      <c r="D178" s="124"/>
      <c r="E178" s="124"/>
      <c r="F178" s="124"/>
      <c r="G178" s="124"/>
      <c r="H178" s="124"/>
      <c r="I178" s="124"/>
      <c r="J178" s="124"/>
      <c r="K178" s="124"/>
      <c r="L178" s="124"/>
      <c r="M178" s="124"/>
      <c r="N178" s="124"/>
      <c r="O178" s="124"/>
      <c r="P178" s="124"/>
      <c r="Q178" s="124"/>
      <c r="R178" s="124"/>
      <c r="S178" s="124"/>
    </row>
    <row r="179" spans="1:19" x14ac:dyDescent="0.25">
      <c r="A179" s="124"/>
      <c r="B179" s="124"/>
      <c r="C179" s="124"/>
      <c r="D179" s="124"/>
      <c r="E179" s="124"/>
      <c r="F179" s="124"/>
      <c r="G179" s="124"/>
      <c r="H179" s="124"/>
      <c r="I179" s="124"/>
      <c r="J179" s="124"/>
      <c r="K179" s="124"/>
      <c r="L179" s="124"/>
      <c r="M179" s="124"/>
      <c r="N179" s="124"/>
      <c r="O179" s="124"/>
      <c r="P179" s="124"/>
      <c r="Q179" s="124"/>
      <c r="R179" s="124"/>
      <c r="S179" s="124"/>
    </row>
    <row r="180" spans="1:19" x14ac:dyDescent="0.25">
      <c r="A180" s="124"/>
      <c r="B180" s="124"/>
      <c r="C180" s="124"/>
      <c r="D180" s="124"/>
      <c r="E180" s="124"/>
      <c r="F180" s="124"/>
      <c r="G180" s="124"/>
      <c r="H180" s="124"/>
      <c r="I180" s="124"/>
      <c r="J180" s="124"/>
      <c r="K180" s="124"/>
      <c r="L180" s="124"/>
      <c r="M180" s="124"/>
      <c r="N180" s="124"/>
      <c r="O180" s="124"/>
      <c r="P180" s="124"/>
      <c r="Q180" s="124"/>
      <c r="R180" s="124"/>
      <c r="S180" s="124"/>
    </row>
    <row r="181" spans="1:19" x14ac:dyDescent="0.25">
      <c r="A181" s="124"/>
      <c r="B181" s="124"/>
      <c r="C181" s="124"/>
      <c r="D181" s="124"/>
      <c r="E181" s="124"/>
      <c r="F181" s="124"/>
      <c r="G181" s="124"/>
      <c r="H181" s="124"/>
      <c r="I181" s="124"/>
      <c r="J181" s="124"/>
      <c r="K181" s="124"/>
      <c r="L181" s="124"/>
      <c r="M181" s="124"/>
      <c r="N181" s="124"/>
      <c r="O181" s="124"/>
      <c r="P181" s="124"/>
      <c r="Q181" s="124"/>
      <c r="R181" s="124"/>
      <c r="S181" s="124"/>
    </row>
    <row r="182" spans="1:19" x14ac:dyDescent="0.25">
      <c r="A182" s="124"/>
      <c r="B182" s="124"/>
      <c r="C182" s="124"/>
      <c r="D182" s="124"/>
      <c r="E182" s="124"/>
      <c r="F182" s="124"/>
      <c r="G182" s="124"/>
      <c r="H182" s="124"/>
      <c r="I182" s="124"/>
      <c r="J182" s="124"/>
      <c r="K182" s="124"/>
      <c r="L182" s="124"/>
      <c r="M182" s="124"/>
      <c r="N182" s="124"/>
      <c r="O182" s="124"/>
      <c r="P182" s="124"/>
      <c r="Q182" s="124"/>
      <c r="R182" s="124"/>
      <c r="S182" s="124"/>
    </row>
    <row r="183" spans="1:19" x14ac:dyDescent="0.25">
      <c r="A183" s="124"/>
      <c r="B183" s="124"/>
      <c r="C183" s="124"/>
      <c r="D183" s="124"/>
      <c r="E183" s="124"/>
      <c r="F183" s="124"/>
      <c r="G183" s="124"/>
      <c r="H183" s="124"/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</row>
    <row r="184" spans="1:19" x14ac:dyDescent="0.25">
      <c r="A184" s="124"/>
      <c r="B184" s="124"/>
      <c r="C184" s="124"/>
      <c r="D184" s="124"/>
      <c r="E184" s="124"/>
      <c r="F184" s="124"/>
      <c r="G184" s="124"/>
      <c r="H184" s="124"/>
      <c r="I184" s="124"/>
      <c r="J184" s="124"/>
      <c r="K184" s="124"/>
      <c r="L184" s="124"/>
      <c r="M184" s="124"/>
      <c r="N184" s="124"/>
      <c r="O184" s="124"/>
      <c r="P184" s="124"/>
      <c r="Q184" s="124"/>
      <c r="R184" s="124"/>
      <c r="S184" s="124"/>
    </row>
    <row r="185" spans="1:19" x14ac:dyDescent="0.25">
      <c r="A185" s="124"/>
      <c r="B185" s="124"/>
      <c r="C185" s="124"/>
      <c r="D185" s="124"/>
      <c r="E185" s="124"/>
      <c r="F185" s="124"/>
      <c r="G185" s="124"/>
      <c r="H185" s="124"/>
      <c r="I185" s="124"/>
      <c r="J185" s="124"/>
      <c r="K185" s="124"/>
      <c r="L185" s="124"/>
      <c r="M185" s="124"/>
      <c r="N185" s="124"/>
      <c r="O185" s="124"/>
      <c r="P185" s="124"/>
      <c r="Q185" s="124"/>
      <c r="R185" s="124"/>
      <c r="S185" s="124"/>
    </row>
    <row r="186" spans="1:19" x14ac:dyDescent="0.25">
      <c r="A186" s="124"/>
      <c r="B186" s="124"/>
      <c r="C186" s="124"/>
      <c r="D186" s="124"/>
      <c r="E186" s="124"/>
      <c r="F186" s="124"/>
      <c r="G186" s="124"/>
      <c r="H186" s="124"/>
      <c r="I186" s="124"/>
      <c r="J186" s="124"/>
      <c r="K186" s="124"/>
      <c r="L186" s="124"/>
      <c r="M186" s="124"/>
      <c r="N186" s="124"/>
      <c r="O186" s="124"/>
      <c r="P186" s="124"/>
      <c r="Q186" s="124"/>
      <c r="R186" s="124"/>
      <c r="S186" s="124"/>
    </row>
    <row r="187" spans="1:19" x14ac:dyDescent="0.25">
      <c r="A187" s="124"/>
      <c r="B187" s="124"/>
      <c r="C187" s="124"/>
      <c r="D187" s="124"/>
      <c r="E187" s="124"/>
      <c r="F187" s="124"/>
      <c r="G187" s="124"/>
      <c r="H187" s="124"/>
      <c r="I187" s="124"/>
      <c r="J187" s="124"/>
      <c r="K187" s="124"/>
      <c r="L187" s="124"/>
      <c r="M187" s="124"/>
      <c r="N187" s="124"/>
      <c r="O187" s="124"/>
      <c r="P187" s="124"/>
      <c r="Q187" s="124"/>
      <c r="R187" s="124"/>
      <c r="S187" s="124"/>
    </row>
    <row r="188" spans="1:19" x14ac:dyDescent="0.25">
      <c r="A188" s="124"/>
      <c r="B188" s="124"/>
      <c r="C188" s="124"/>
      <c r="D188" s="124"/>
      <c r="E188" s="124"/>
      <c r="F188" s="124"/>
      <c r="G188" s="124"/>
      <c r="H188" s="124"/>
      <c r="I188" s="124"/>
      <c r="J188" s="124"/>
      <c r="K188" s="124"/>
      <c r="L188" s="124"/>
      <c r="M188" s="124"/>
      <c r="N188" s="124"/>
      <c r="O188" s="124"/>
      <c r="P188" s="124"/>
      <c r="Q188" s="124"/>
      <c r="R188" s="124"/>
      <c r="S188" s="124"/>
    </row>
    <row r="189" spans="1:19" x14ac:dyDescent="0.25">
      <c r="A189" s="124"/>
      <c r="B189" s="124"/>
      <c r="C189" s="124"/>
      <c r="D189" s="124"/>
      <c r="E189" s="124"/>
      <c r="F189" s="124"/>
      <c r="G189" s="124"/>
      <c r="H189" s="124"/>
      <c r="I189" s="124"/>
      <c r="J189" s="124"/>
      <c r="K189" s="124"/>
      <c r="L189" s="124"/>
      <c r="M189" s="124"/>
      <c r="N189" s="124"/>
      <c r="O189" s="124"/>
      <c r="P189" s="124"/>
      <c r="Q189" s="124"/>
      <c r="R189" s="124"/>
      <c r="S189" s="124"/>
    </row>
    <row r="190" spans="1:19" x14ac:dyDescent="0.25">
      <c r="A190" s="124"/>
      <c r="B190" s="124"/>
      <c r="C190" s="124"/>
      <c r="D190" s="124"/>
      <c r="E190" s="124"/>
      <c r="F190" s="124"/>
      <c r="G190" s="124"/>
      <c r="H190" s="124"/>
      <c r="I190" s="124"/>
      <c r="J190" s="124"/>
      <c r="K190" s="124"/>
      <c r="L190" s="124"/>
      <c r="M190" s="124"/>
      <c r="N190" s="124"/>
      <c r="O190" s="124"/>
      <c r="P190" s="124"/>
      <c r="Q190" s="124"/>
      <c r="R190" s="124"/>
      <c r="S190" s="124"/>
    </row>
    <row r="191" spans="1:19" x14ac:dyDescent="0.25">
      <c r="A191" s="124"/>
      <c r="B191" s="124"/>
      <c r="C191" s="124"/>
      <c r="D191" s="124"/>
      <c r="E191" s="124"/>
      <c r="F191" s="124"/>
      <c r="G191" s="124"/>
      <c r="H191" s="124"/>
      <c r="I191" s="124"/>
      <c r="J191" s="124"/>
      <c r="K191" s="124"/>
      <c r="L191" s="124"/>
      <c r="M191" s="124"/>
      <c r="N191" s="124"/>
      <c r="O191" s="124"/>
      <c r="P191" s="124"/>
      <c r="Q191" s="124"/>
      <c r="R191" s="124"/>
      <c r="S191" s="124"/>
    </row>
    <row r="192" spans="1:19" x14ac:dyDescent="0.25">
      <c r="A192" s="124"/>
      <c r="B192" s="124"/>
      <c r="C192" s="124"/>
      <c r="D192" s="124"/>
      <c r="E192" s="124"/>
      <c r="F192" s="124"/>
      <c r="G192" s="124"/>
      <c r="H192" s="124"/>
      <c r="I192" s="124"/>
      <c r="J192" s="124"/>
      <c r="K192" s="124"/>
      <c r="L192" s="124"/>
      <c r="M192" s="124"/>
      <c r="N192" s="124"/>
      <c r="O192" s="124"/>
      <c r="P192" s="124"/>
      <c r="Q192" s="124"/>
      <c r="R192" s="124"/>
      <c r="S192" s="124"/>
    </row>
    <row r="193" spans="1:19" x14ac:dyDescent="0.25">
      <c r="A193" s="124"/>
      <c r="B193" s="124"/>
      <c r="C193" s="124"/>
      <c r="D193" s="124"/>
      <c r="E193" s="124"/>
      <c r="F193" s="124"/>
      <c r="G193" s="124"/>
      <c r="H193" s="124"/>
      <c r="I193" s="124"/>
      <c r="J193" s="124"/>
      <c r="K193" s="124"/>
      <c r="L193" s="124"/>
      <c r="M193" s="124"/>
      <c r="N193" s="124"/>
      <c r="O193" s="124"/>
      <c r="P193" s="124"/>
      <c r="Q193" s="124"/>
      <c r="R193" s="124"/>
      <c r="S193" s="124"/>
    </row>
    <row r="194" spans="1:19" x14ac:dyDescent="0.25">
      <c r="A194" s="124"/>
      <c r="B194" s="124"/>
      <c r="C194" s="124"/>
      <c r="D194" s="124"/>
      <c r="E194" s="124"/>
      <c r="F194" s="124"/>
      <c r="G194" s="124"/>
      <c r="H194" s="124"/>
      <c r="I194" s="124"/>
      <c r="J194" s="124"/>
      <c r="K194" s="124"/>
      <c r="L194" s="124"/>
      <c r="M194" s="124"/>
      <c r="N194" s="124"/>
      <c r="O194" s="124"/>
      <c r="P194" s="124"/>
      <c r="Q194" s="124"/>
      <c r="R194" s="124"/>
      <c r="S194" s="124"/>
    </row>
    <row r="195" spans="1:19" x14ac:dyDescent="0.25">
      <c r="A195" s="124"/>
      <c r="B195" s="124"/>
      <c r="C195" s="124"/>
      <c r="D195" s="124"/>
      <c r="E195" s="124"/>
      <c r="F195" s="124"/>
      <c r="G195" s="124"/>
      <c r="H195" s="124"/>
      <c r="I195" s="124"/>
      <c r="J195" s="124"/>
      <c r="K195" s="124"/>
      <c r="L195" s="124"/>
      <c r="M195" s="124"/>
      <c r="N195" s="124"/>
      <c r="O195" s="124"/>
      <c r="P195" s="124"/>
      <c r="Q195" s="124"/>
      <c r="R195" s="124"/>
      <c r="S195" s="124"/>
    </row>
    <row r="196" spans="1:19" x14ac:dyDescent="0.25">
      <c r="A196" s="124"/>
      <c r="B196" s="124"/>
      <c r="C196" s="124"/>
      <c r="D196" s="124"/>
      <c r="E196" s="124"/>
      <c r="F196" s="124"/>
      <c r="G196" s="124"/>
      <c r="H196" s="124"/>
      <c r="I196" s="124"/>
      <c r="J196" s="124"/>
      <c r="K196" s="124"/>
      <c r="L196" s="124"/>
      <c r="M196" s="124"/>
      <c r="N196" s="124"/>
      <c r="O196" s="124"/>
      <c r="P196" s="124"/>
      <c r="Q196" s="124"/>
      <c r="R196" s="124"/>
      <c r="S196" s="124"/>
    </row>
    <row r="197" spans="1:19" x14ac:dyDescent="0.25">
      <c r="A197" s="124"/>
      <c r="B197" s="124"/>
      <c r="C197" s="124"/>
      <c r="D197" s="124"/>
      <c r="E197" s="124"/>
      <c r="F197" s="124"/>
      <c r="G197" s="124"/>
      <c r="H197" s="124"/>
      <c r="I197" s="124"/>
      <c r="J197" s="124"/>
      <c r="K197" s="124"/>
      <c r="L197" s="124"/>
      <c r="M197" s="124"/>
      <c r="N197" s="124"/>
      <c r="O197" s="124"/>
      <c r="P197" s="124"/>
      <c r="Q197" s="124"/>
      <c r="R197" s="124"/>
      <c r="S197" s="124"/>
    </row>
    <row r="198" spans="1:19" x14ac:dyDescent="0.25">
      <c r="A198" s="124"/>
      <c r="B198" s="124"/>
      <c r="C198" s="124"/>
      <c r="D198" s="124"/>
      <c r="E198" s="124"/>
      <c r="F198" s="124"/>
      <c r="G198" s="124"/>
      <c r="H198" s="124"/>
      <c r="I198" s="124"/>
      <c r="J198" s="124"/>
      <c r="K198" s="124"/>
      <c r="L198" s="124"/>
      <c r="M198" s="124"/>
      <c r="N198" s="124"/>
      <c r="O198" s="124"/>
      <c r="P198" s="124"/>
      <c r="Q198" s="124"/>
      <c r="R198" s="124"/>
      <c r="S198" s="124"/>
    </row>
    <row r="199" spans="1:19" x14ac:dyDescent="0.25">
      <c r="A199" s="124"/>
      <c r="B199" s="124"/>
      <c r="C199" s="124"/>
      <c r="D199" s="124"/>
      <c r="E199" s="124"/>
      <c r="F199" s="124"/>
      <c r="G199" s="124"/>
      <c r="H199" s="124"/>
      <c r="I199" s="124"/>
      <c r="J199" s="124"/>
      <c r="K199" s="124"/>
      <c r="L199" s="124"/>
      <c r="M199" s="124"/>
      <c r="N199" s="124"/>
      <c r="O199" s="124"/>
      <c r="P199" s="124"/>
      <c r="Q199" s="124"/>
      <c r="R199" s="124"/>
      <c r="S199" s="124"/>
    </row>
    <row r="200" spans="1:19" x14ac:dyDescent="0.25">
      <c r="A200" s="124"/>
      <c r="B200" s="124"/>
      <c r="C200" s="124"/>
      <c r="D200" s="124"/>
      <c r="E200" s="124"/>
      <c r="F200" s="124"/>
      <c r="G200" s="124"/>
      <c r="H200" s="124"/>
      <c r="I200" s="124"/>
      <c r="J200" s="124"/>
      <c r="K200" s="124"/>
      <c r="L200" s="124"/>
      <c r="M200" s="124"/>
      <c r="N200" s="124"/>
      <c r="O200" s="124"/>
      <c r="P200" s="124"/>
      <c r="Q200" s="124"/>
      <c r="R200" s="124"/>
      <c r="S200" s="124"/>
    </row>
    <row r="201" spans="1:19" x14ac:dyDescent="0.25">
      <c r="A201" s="124"/>
      <c r="B201" s="124"/>
      <c r="C201" s="124"/>
      <c r="D201" s="124"/>
      <c r="E201" s="124"/>
      <c r="F201" s="124"/>
      <c r="G201" s="124"/>
      <c r="H201" s="124"/>
      <c r="I201" s="124"/>
      <c r="J201" s="124"/>
      <c r="K201" s="124"/>
      <c r="L201" s="124"/>
      <c r="M201" s="124"/>
      <c r="N201" s="124"/>
      <c r="O201" s="124"/>
      <c r="P201" s="124"/>
      <c r="Q201" s="124"/>
      <c r="R201" s="124"/>
      <c r="S201" s="124"/>
    </row>
    <row r="202" spans="1:19" x14ac:dyDescent="0.25">
      <c r="A202" s="124"/>
      <c r="B202" s="124"/>
      <c r="C202" s="124"/>
      <c r="D202" s="124"/>
      <c r="E202" s="124"/>
      <c r="F202" s="124"/>
      <c r="G202" s="124"/>
      <c r="H202" s="124"/>
      <c r="I202" s="124"/>
      <c r="J202" s="124"/>
      <c r="K202" s="124"/>
      <c r="L202" s="124"/>
      <c r="M202" s="124"/>
      <c r="N202" s="124"/>
      <c r="O202" s="124"/>
      <c r="P202" s="124"/>
      <c r="Q202" s="124"/>
      <c r="R202" s="124"/>
      <c r="S202" s="124"/>
    </row>
    <row r="203" spans="1:19" x14ac:dyDescent="0.25">
      <c r="A203" s="124"/>
      <c r="B203" s="124"/>
      <c r="C203" s="124"/>
      <c r="D203" s="124"/>
      <c r="E203" s="124"/>
      <c r="F203" s="124"/>
      <c r="G203" s="124"/>
      <c r="H203" s="124"/>
      <c r="I203" s="124"/>
      <c r="J203" s="124"/>
      <c r="K203" s="124"/>
      <c r="L203" s="124"/>
      <c r="M203" s="124"/>
      <c r="N203" s="124"/>
      <c r="O203" s="124"/>
      <c r="P203" s="124"/>
      <c r="Q203" s="124"/>
      <c r="R203" s="124"/>
      <c r="S203" s="124"/>
    </row>
    <row r="204" spans="1:19" x14ac:dyDescent="0.25">
      <c r="A204" s="124"/>
      <c r="B204" s="124"/>
      <c r="C204" s="124"/>
      <c r="D204" s="124"/>
      <c r="E204" s="124"/>
      <c r="F204" s="124"/>
      <c r="G204" s="124"/>
      <c r="H204" s="124"/>
      <c r="I204" s="124"/>
      <c r="J204" s="124"/>
      <c r="K204" s="124"/>
      <c r="L204" s="124"/>
      <c r="M204" s="124"/>
      <c r="N204" s="124"/>
      <c r="O204" s="124"/>
      <c r="P204" s="124"/>
      <c r="Q204" s="124"/>
      <c r="R204" s="124"/>
      <c r="S204" s="124"/>
    </row>
    <row r="205" spans="1:19" x14ac:dyDescent="0.25">
      <c r="A205" s="124"/>
      <c r="B205" s="124"/>
      <c r="C205" s="124"/>
      <c r="D205" s="124"/>
      <c r="E205" s="124"/>
      <c r="F205" s="124"/>
      <c r="G205" s="124"/>
      <c r="H205" s="124"/>
      <c r="I205" s="124"/>
      <c r="J205" s="124"/>
      <c r="K205" s="124"/>
      <c r="L205" s="124"/>
      <c r="M205" s="124"/>
      <c r="N205" s="124"/>
      <c r="O205" s="124"/>
      <c r="P205" s="124"/>
      <c r="Q205" s="124"/>
      <c r="R205" s="124"/>
      <c r="S205" s="124"/>
    </row>
    <row r="206" spans="1:19" x14ac:dyDescent="0.25">
      <c r="A206" s="124"/>
      <c r="B206" s="124"/>
      <c r="C206" s="124"/>
      <c r="D206" s="124"/>
      <c r="E206" s="124"/>
      <c r="F206" s="124"/>
      <c r="G206" s="124"/>
      <c r="H206" s="124"/>
      <c r="I206" s="124"/>
      <c r="J206" s="124"/>
      <c r="K206" s="124"/>
      <c r="L206" s="124"/>
      <c r="M206" s="124"/>
      <c r="N206" s="124"/>
      <c r="O206" s="124"/>
      <c r="P206" s="124"/>
      <c r="Q206" s="124"/>
      <c r="R206" s="124"/>
      <c r="S206" s="124"/>
    </row>
    <row r="207" spans="1:19" x14ac:dyDescent="0.25">
      <c r="A207" s="124"/>
      <c r="B207" s="124"/>
      <c r="C207" s="124"/>
      <c r="D207" s="124"/>
      <c r="E207" s="124"/>
      <c r="F207" s="124"/>
      <c r="G207" s="124"/>
      <c r="H207" s="124"/>
      <c r="I207" s="124"/>
      <c r="J207" s="124"/>
      <c r="K207" s="124"/>
      <c r="L207" s="124"/>
      <c r="M207" s="124"/>
      <c r="N207" s="124"/>
      <c r="O207" s="124"/>
      <c r="P207" s="124"/>
      <c r="Q207" s="124"/>
      <c r="R207" s="124"/>
      <c r="S207" s="124"/>
    </row>
    <row r="208" spans="1:19" x14ac:dyDescent="0.25">
      <c r="A208" s="124"/>
      <c r="B208" s="124"/>
      <c r="C208" s="124"/>
      <c r="D208" s="124"/>
      <c r="E208" s="124"/>
      <c r="F208" s="124"/>
      <c r="G208" s="124"/>
      <c r="H208" s="124"/>
      <c r="I208" s="124"/>
      <c r="J208" s="124"/>
      <c r="K208" s="124"/>
      <c r="L208" s="124"/>
      <c r="M208" s="124"/>
      <c r="N208" s="124"/>
      <c r="O208" s="124"/>
      <c r="P208" s="124"/>
      <c r="Q208" s="124"/>
      <c r="R208" s="124"/>
      <c r="S208" s="124"/>
    </row>
    <row r="209" spans="1:19" x14ac:dyDescent="0.25">
      <c r="A209" s="124"/>
      <c r="B209" s="124"/>
      <c r="C209" s="124"/>
      <c r="D209" s="124"/>
      <c r="E209" s="124"/>
      <c r="F209" s="124"/>
      <c r="G209" s="124"/>
      <c r="H209" s="124"/>
      <c r="I209" s="124"/>
      <c r="J209" s="124"/>
      <c r="K209" s="124"/>
      <c r="L209" s="124"/>
      <c r="M209" s="124"/>
      <c r="N209" s="124"/>
      <c r="O209" s="124"/>
      <c r="P209" s="124"/>
      <c r="Q209" s="124"/>
      <c r="R209" s="124"/>
      <c r="S209" s="124"/>
    </row>
    <row r="210" spans="1:19" x14ac:dyDescent="0.25">
      <c r="A210" s="124"/>
      <c r="B210" s="124"/>
      <c r="C210" s="124"/>
      <c r="D210" s="124"/>
      <c r="E210" s="124"/>
      <c r="F210" s="124"/>
      <c r="G210" s="124"/>
      <c r="H210" s="124"/>
      <c r="I210" s="124"/>
      <c r="J210" s="124"/>
      <c r="K210" s="124"/>
      <c r="L210" s="124"/>
      <c r="M210" s="124"/>
      <c r="N210" s="124"/>
      <c r="O210" s="124"/>
      <c r="P210" s="124"/>
      <c r="Q210" s="124"/>
      <c r="R210" s="124"/>
      <c r="S210" s="124"/>
    </row>
    <row r="211" spans="1:19" x14ac:dyDescent="0.25">
      <c r="A211" s="124"/>
      <c r="B211" s="124"/>
      <c r="C211" s="124"/>
      <c r="D211" s="124"/>
      <c r="E211" s="124"/>
      <c r="F211" s="124"/>
      <c r="G211" s="124"/>
      <c r="H211" s="124"/>
      <c r="I211" s="124"/>
      <c r="J211" s="124"/>
      <c r="K211" s="124"/>
      <c r="L211" s="124"/>
      <c r="M211" s="124"/>
      <c r="N211" s="124"/>
      <c r="O211" s="124"/>
      <c r="P211" s="124"/>
      <c r="Q211" s="124"/>
      <c r="R211" s="124"/>
      <c r="S211" s="124"/>
    </row>
    <row r="212" spans="1:19" x14ac:dyDescent="0.25">
      <c r="A212" s="124"/>
      <c r="B212" s="124"/>
      <c r="C212" s="124"/>
      <c r="D212" s="124"/>
      <c r="E212" s="124"/>
      <c r="F212" s="124"/>
      <c r="G212" s="124"/>
      <c r="H212" s="124"/>
      <c r="I212" s="124"/>
      <c r="J212" s="124"/>
      <c r="K212" s="124"/>
      <c r="L212" s="124"/>
      <c r="M212" s="124"/>
      <c r="N212" s="124"/>
      <c r="O212" s="124"/>
      <c r="P212" s="124"/>
      <c r="Q212" s="124"/>
      <c r="R212" s="124"/>
      <c r="S212" s="124"/>
    </row>
    <row r="213" spans="1:19" x14ac:dyDescent="0.25">
      <c r="A213" s="124"/>
      <c r="B213" s="124"/>
      <c r="C213" s="124"/>
      <c r="D213" s="124"/>
      <c r="E213" s="124"/>
      <c r="F213" s="124"/>
      <c r="G213" s="124"/>
      <c r="H213" s="124"/>
      <c r="I213" s="124"/>
      <c r="J213" s="124"/>
      <c r="K213" s="124"/>
      <c r="L213" s="124"/>
      <c r="M213" s="124"/>
      <c r="N213" s="124"/>
      <c r="O213" s="124"/>
      <c r="P213" s="124"/>
      <c r="Q213" s="124"/>
      <c r="R213" s="124"/>
      <c r="S213" s="124"/>
    </row>
    <row r="214" spans="1:19" x14ac:dyDescent="0.25">
      <c r="A214" s="124"/>
      <c r="B214" s="124"/>
      <c r="C214" s="124"/>
      <c r="D214" s="124"/>
      <c r="E214" s="124"/>
      <c r="F214" s="124"/>
      <c r="G214" s="124"/>
      <c r="H214" s="124"/>
      <c r="I214" s="124"/>
      <c r="J214" s="124"/>
      <c r="K214" s="124"/>
      <c r="L214" s="124"/>
      <c r="M214" s="124"/>
      <c r="N214" s="124"/>
      <c r="O214" s="124"/>
      <c r="P214" s="124"/>
      <c r="Q214" s="124"/>
      <c r="R214" s="124"/>
      <c r="S214" s="124"/>
    </row>
    <row r="215" spans="1:19" x14ac:dyDescent="0.25">
      <c r="A215" s="124"/>
      <c r="B215" s="124"/>
      <c r="C215" s="124"/>
      <c r="D215" s="124"/>
      <c r="E215" s="124"/>
      <c r="F215" s="124"/>
      <c r="G215" s="124"/>
      <c r="H215" s="124"/>
      <c r="I215" s="124"/>
      <c r="J215" s="124"/>
      <c r="K215" s="124"/>
      <c r="L215" s="124"/>
      <c r="M215" s="124"/>
      <c r="N215" s="124"/>
      <c r="O215" s="124"/>
      <c r="P215" s="124"/>
      <c r="Q215" s="124"/>
      <c r="R215" s="124"/>
      <c r="S215" s="124"/>
    </row>
    <row r="216" spans="1:19" x14ac:dyDescent="0.25">
      <c r="A216" s="124"/>
      <c r="B216" s="124"/>
      <c r="C216" s="124"/>
      <c r="D216" s="124"/>
      <c r="E216" s="124"/>
      <c r="F216" s="124"/>
      <c r="G216" s="124"/>
      <c r="H216" s="124"/>
      <c r="I216" s="124"/>
      <c r="J216" s="124"/>
      <c r="K216" s="124"/>
      <c r="L216" s="124"/>
      <c r="M216" s="124"/>
      <c r="N216" s="124"/>
      <c r="O216" s="124"/>
      <c r="P216" s="124"/>
      <c r="Q216" s="124"/>
      <c r="R216" s="124"/>
      <c r="S216" s="124"/>
    </row>
    <row r="217" spans="1:19" x14ac:dyDescent="0.25">
      <c r="A217" s="124"/>
      <c r="B217" s="124"/>
      <c r="C217" s="124"/>
      <c r="D217" s="124"/>
      <c r="E217" s="124"/>
      <c r="F217" s="124"/>
      <c r="G217" s="124"/>
      <c r="H217" s="124"/>
      <c r="I217" s="124"/>
      <c r="J217" s="124"/>
      <c r="K217" s="124"/>
      <c r="L217" s="124"/>
      <c r="M217" s="124"/>
      <c r="N217" s="124"/>
      <c r="O217" s="124"/>
      <c r="P217" s="124"/>
      <c r="Q217" s="124"/>
      <c r="R217" s="124"/>
      <c r="S217" s="124"/>
    </row>
    <row r="218" spans="1:19" x14ac:dyDescent="0.25">
      <c r="A218" s="124"/>
      <c r="B218" s="124"/>
      <c r="C218" s="124"/>
      <c r="D218" s="124"/>
      <c r="E218" s="124"/>
      <c r="F218" s="124"/>
      <c r="G218" s="124"/>
      <c r="H218" s="124"/>
      <c r="I218" s="124"/>
      <c r="J218" s="124"/>
      <c r="K218" s="124"/>
      <c r="L218" s="124"/>
      <c r="M218" s="124"/>
      <c r="N218" s="124"/>
      <c r="O218" s="124"/>
      <c r="P218" s="124"/>
      <c r="Q218" s="124"/>
      <c r="R218" s="124"/>
      <c r="S218" s="124"/>
    </row>
    <row r="219" spans="1:19" x14ac:dyDescent="0.25">
      <c r="A219" s="124"/>
      <c r="B219" s="124"/>
      <c r="C219" s="124"/>
      <c r="D219" s="124"/>
      <c r="E219" s="124"/>
      <c r="F219" s="124"/>
      <c r="G219" s="124"/>
      <c r="H219" s="124"/>
      <c r="I219" s="124"/>
      <c r="J219" s="124"/>
      <c r="K219" s="124"/>
      <c r="L219" s="124"/>
      <c r="M219" s="124"/>
      <c r="N219" s="124"/>
      <c r="O219" s="124"/>
      <c r="P219" s="124"/>
      <c r="Q219" s="124"/>
      <c r="R219" s="124"/>
      <c r="S219" s="124"/>
    </row>
    <row r="220" spans="1:19" x14ac:dyDescent="0.25">
      <c r="A220" s="124"/>
      <c r="B220" s="124"/>
      <c r="C220" s="124"/>
      <c r="D220" s="124"/>
      <c r="E220" s="124"/>
      <c r="F220" s="124"/>
      <c r="G220" s="124"/>
      <c r="H220" s="124"/>
      <c r="I220" s="124"/>
      <c r="J220" s="124"/>
      <c r="K220" s="124"/>
      <c r="L220" s="124"/>
      <c r="M220" s="124"/>
      <c r="N220" s="124"/>
      <c r="O220" s="124"/>
      <c r="P220" s="124"/>
      <c r="Q220" s="124"/>
      <c r="R220" s="124"/>
      <c r="S220" s="124"/>
    </row>
    <row r="221" spans="1:19" x14ac:dyDescent="0.25">
      <c r="A221" s="124"/>
      <c r="B221" s="124"/>
      <c r="C221" s="124"/>
      <c r="D221" s="124"/>
      <c r="E221" s="124"/>
      <c r="F221" s="124"/>
      <c r="G221" s="124"/>
      <c r="H221" s="124"/>
      <c r="I221" s="124"/>
      <c r="J221" s="124"/>
      <c r="K221" s="124"/>
      <c r="L221" s="124"/>
      <c r="M221" s="124"/>
      <c r="N221" s="124"/>
      <c r="O221" s="124"/>
      <c r="P221" s="124"/>
      <c r="Q221" s="124"/>
      <c r="R221" s="124"/>
      <c r="S221" s="124"/>
    </row>
    <row r="222" spans="1:19" x14ac:dyDescent="0.25">
      <c r="A222" s="124"/>
      <c r="B222" s="124"/>
      <c r="C222" s="124"/>
      <c r="D222" s="124"/>
      <c r="E222" s="124"/>
      <c r="F222" s="124"/>
      <c r="G222" s="124"/>
      <c r="H222" s="124"/>
      <c r="I222" s="124"/>
      <c r="J222" s="124"/>
      <c r="K222" s="124"/>
      <c r="L222" s="124"/>
      <c r="M222" s="124"/>
      <c r="N222" s="124"/>
      <c r="O222" s="124"/>
      <c r="P222" s="124"/>
      <c r="Q222" s="124"/>
      <c r="R222" s="124"/>
      <c r="S222" s="124"/>
    </row>
    <row r="223" spans="1:19" x14ac:dyDescent="0.25">
      <c r="A223" s="124"/>
      <c r="B223" s="124"/>
      <c r="C223" s="124"/>
      <c r="D223" s="124"/>
      <c r="E223" s="124"/>
      <c r="F223" s="124"/>
      <c r="G223" s="124"/>
      <c r="H223" s="124"/>
      <c r="I223" s="124"/>
      <c r="J223" s="124"/>
      <c r="K223" s="124"/>
      <c r="L223" s="124"/>
      <c r="M223" s="124"/>
      <c r="N223" s="124"/>
      <c r="O223" s="124"/>
      <c r="P223" s="124"/>
      <c r="Q223" s="124"/>
      <c r="R223" s="124"/>
      <c r="S223" s="124"/>
    </row>
    <row r="224" spans="1:19" x14ac:dyDescent="0.25">
      <c r="A224" s="124"/>
      <c r="B224" s="124"/>
      <c r="C224" s="124"/>
      <c r="D224" s="124"/>
      <c r="E224" s="124"/>
      <c r="F224" s="124"/>
      <c r="G224" s="124"/>
      <c r="H224" s="124"/>
      <c r="I224" s="124"/>
      <c r="J224" s="124"/>
      <c r="K224" s="124"/>
      <c r="L224" s="124"/>
      <c r="M224" s="124"/>
      <c r="N224" s="124"/>
      <c r="O224" s="124"/>
      <c r="P224" s="124"/>
      <c r="Q224" s="124"/>
      <c r="R224" s="124"/>
      <c r="S224" s="124"/>
    </row>
    <row r="225" spans="1:19" x14ac:dyDescent="0.25">
      <c r="A225" s="124"/>
      <c r="B225" s="124"/>
      <c r="C225" s="124"/>
      <c r="D225" s="124"/>
      <c r="E225" s="124"/>
      <c r="F225" s="124"/>
      <c r="G225" s="124"/>
      <c r="H225" s="124"/>
      <c r="I225" s="124"/>
      <c r="J225" s="124"/>
      <c r="K225" s="124"/>
      <c r="L225" s="124"/>
      <c r="M225" s="124"/>
      <c r="N225" s="124"/>
      <c r="O225" s="124"/>
      <c r="P225" s="124"/>
      <c r="Q225" s="124"/>
      <c r="R225" s="124"/>
      <c r="S225" s="124"/>
    </row>
    <row r="226" spans="1:19" x14ac:dyDescent="0.25">
      <c r="A226" s="124"/>
      <c r="B226" s="124"/>
      <c r="C226" s="124"/>
      <c r="D226" s="124"/>
      <c r="E226" s="124"/>
      <c r="F226" s="124"/>
      <c r="G226" s="124"/>
      <c r="H226" s="124"/>
      <c r="I226" s="124"/>
      <c r="J226" s="124"/>
      <c r="K226" s="124"/>
      <c r="L226" s="124"/>
      <c r="M226" s="124"/>
      <c r="N226" s="124"/>
      <c r="O226" s="124"/>
      <c r="P226" s="124"/>
      <c r="Q226" s="124"/>
      <c r="R226" s="124"/>
      <c r="S226" s="124"/>
    </row>
    <row r="227" spans="1:19" x14ac:dyDescent="0.25">
      <c r="A227" s="124"/>
      <c r="B227" s="124"/>
      <c r="C227" s="124"/>
      <c r="D227" s="124"/>
      <c r="E227" s="124"/>
      <c r="F227" s="124"/>
      <c r="G227" s="124"/>
      <c r="H227" s="124"/>
      <c r="I227" s="124"/>
      <c r="J227" s="124"/>
      <c r="K227" s="124"/>
      <c r="L227" s="124"/>
      <c r="M227" s="124"/>
      <c r="N227" s="124"/>
      <c r="O227" s="124"/>
      <c r="P227" s="124"/>
      <c r="Q227" s="124"/>
      <c r="R227" s="124"/>
      <c r="S227" s="124"/>
    </row>
    <row r="228" spans="1:19" x14ac:dyDescent="0.25">
      <c r="A228" s="124"/>
      <c r="B228" s="124"/>
      <c r="C228" s="124"/>
      <c r="D228" s="124"/>
      <c r="E228" s="124"/>
      <c r="F228" s="124"/>
      <c r="G228" s="124"/>
      <c r="H228" s="124"/>
      <c r="I228" s="124"/>
      <c r="J228" s="124"/>
      <c r="K228" s="124"/>
      <c r="L228" s="124"/>
      <c r="M228" s="124"/>
      <c r="N228" s="124"/>
      <c r="O228" s="124"/>
      <c r="P228" s="124"/>
      <c r="Q228" s="124"/>
      <c r="R228" s="124"/>
      <c r="S228" s="124"/>
    </row>
    <row r="229" spans="1:19" x14ac:dyDescent="0.25">
      <c r="A229" s="124"/>
      <c r="B229" s="124"/>
      <c r="C229" s="124"/>
      <c r="D229" s="124"/>
      <c r="E229" s="124"/>
      <c r="F229" s="124"/>
      <c r="G229" s="124"/>
      <c r="H229" s="124"/>
      <c r="I229" s="124"/>
      <c r="J229" s="124"/>
      <c r="K229" s="124"/>
      <c r="L229" s="124"/>
      <c r="M229" s="124"/>
      <c r="N229" s="124"/>
      <c r="O229" s="124"/>
      <c r="P229" s="124"/>
      <c r="Q229" s="124"/>
      <c r="R229" s="124"/>
      <c r="S229" s="124"/>
    </row>
    <row r="230" spans="1:19" x14ac:dyDescent="0.25">
      <c r="A230" s="124"/>
      <c r="B230" s="124"/>
      <c r="C230" s="124"/>
      <c r="D230" s="124"/>
      <c r="E230" s="124"/>
      <c r="F230" s="124"/>
      <c r="G230" s="124"/>
      <c r="H230" s="124"/>
      <c r="I230" s="124"/>
      <c r="J230" s="124"/>
      <c r="K230" s="124"/>
      <c r="L230" s="124"/>
      <c r="M230" s="124"/>
      <c r="N230" s="124"/>
      <c r="O230" s="124"/>
      <c r="P230" s="124"/>
      <c r="Q230" s="124"/>
      <c r="R230" s="124"/>
      <c r="S230" s="124"/>
    </row>
    <row r="231" spans="1:19" x14ac:dyDescent="0.25">
      <c r="A231" s="124"/>
      <c r="B231" s="124"/>
      <c r="C231" s="124"/>
      <c r="D231" s="124"/>
      <c r="E231" s="124"/>
      <c r="F231" s="124"/>
      <c r="G231" s="124"/>
      <c r="H231" s="124"/>
      <c r="I231" s="124"/>
      <c r="J231" s="124"/>
      <c r="K231" s="124"/>
      <c r="L231" s="124"/>
      <c r="M231" s="124"/>
      <c r="N231" s="124"/>
      <c r="O231" s="124"/>
      <c r="P231" s="124"/>
      <c r="Q231" s="124"/>
      <c r="R231" s="124"/>
      <c r="S231" s="124"/>
    </row>
    <row r="232" spans="1:19" x14ac:dyDescent="0.25">
      <c r="A232" s="124"/>
      <c r="B232" s="124"/>
      <c r="C232" s="124"/>
      <c r="D232" s="124"/>
      <c r="E232" s="124"/>
      <c r="F232" s="124"/>
      <c r="G232" s="124"/>
      <c r="H232" s="124"/>
      <c r="I232" s="124"/>
      <c r="J232" s="124"/>
      <c r="K232" s="124"/>
      <c r="L232" s="124"/>
      <c r="M232" s="124"/>
      <c r="N232" s="124"/>
      <c r="O232" s="124"/>
      <c r="P232" s="124"/>
      <c r="Q232" s="124"/>
      <c r="R232" s="124"/>
      <c r="S232" s="124"/>
    </row>
    <row r="233" spans="1:19" x14ac:dyDescent="0.25">
      <c r="A233" s="124"/>
      <c r="B233" s="124"/>
      <c r="C233" s="124"/>
      <c r="D233" s="124"/>
      <c r="E233" s="124"/>
      <c r="F233" s="124"/>
      <c r="G233" s="124"/>
      <c r="H233" s="124"/>
      <c r="I233" s="124"/>
      <c r="J233" s="124"/>
      <c r="K233" s="124"/>
      <c r="L233" s="124"/>
      <c r="M233" s="124"/>
      <c r="N233" s="124"/>
      <c r="O233" s="124"/>
      <c r="P233" s="124"/>
      <c r="Q233" s="124"/>
      <c r="R233" s="124"/>
      <c r="S233" s="124"/>
    </row>
    <row r="234" spans="1:19" x14ac:dyDescent="0.25">
      <c r="A234" s="124"/>
      <c r="B234" s="124"/>
      <c r="C234" s="124"/>
      <c r="D234" s="124"/>
      <c r="E234" s="124"/>
      <c r="F234" s="124"/>
      <c r="G234" s="124"/>
      <c r="H234" s="124"/>
      <c r="I234" s="124"/>
      <c r="J234" s="124"/>
      <c r="K234" s="124"/>
      <c r="L234" s="124"/>
      <c r="M234" s="124"/>
      <c r="N234" s="124"/>
      <c r="O234" s="124"/>
      <c r="P234" s="124"/>
      <c r="Q234" s="124"/>
      <c r="R234" s="124"/>
      <c r="S234" s="124"/>
    </row>
    <row r="235" spans="1:19" x14ac:dyDescent="0.25">
      <c r="A235" s="124"/>
      <c r="B235" s="124"/>
      <c r="C235" s="124"/>
      <c r="D235" s="124"/>
      <c r="E235" s="124"/>
      <c r="F235" s="124"/>
      <c r="G235" s="124"/>
      <c r="H235" s="124"/>
      <c r="I235" s="124"/>
      <c r="J235" s="124"/>
      <c r="K235" s="124"/>
      <c r="L235" s="124"/>
      <c r="M235" s="124"/>
      <c r="N235" s="124"/>
      <c r="O235" s="124"/>
      <c r="P235" s="124"/>
      <c r="Q235" s="124"/>
      <c r="R235" s="124"/>
      <c r="S235" s="124"/>
    </row>
    <row r="236" spans="1:19" x14ac:dyDescent="0.25">
      <c r="A236" s="124"/>
      <c r="B236" s="124"/>
      <c r="C236" s="124"/>
      <c r="D236" s="124"/>
      <c r="E236" s="124"/>
      <c r="F236" s="124"/>
      <c r="G236" s="124"/>
      <c r="H236" s="124"/>
      <c r="I236" s="124"/>
      <c r="J236" s="124"/>
      <c r="K236" s="124"/>
      <c r="L236" s="124"/>
      <c r="M236" s="124"/>
      <c r="N236" s="124"/>
      <c r="O236" s="124"/>
      <c r="P236" s="124"/>
      <c r="Q236" s="124"/>
      <c r="R236" s="124"/>
      <c r="S236" s="124"/>
    </row>
    <row r="237" spans="1:19" x14ac:dyDescent="0.25">
      <c r="A237" s="124"/>
      <c r="B237" s="124"/>
      <c r="C237" s="124"/>
      <c r="D237" s="124"/>
      <c r="E237" s="124"/>
      <c r="F237" s="124"/>
      <c r="G237" s="124"/>
      <c r="H237" s="124"/>
      <c r="I237" s="124"/>
      <c r="J237" s="124"/>
      <c r="K237" s="124"/>
      <c r="L237" s="124"/>
      <c r="M237" s="124"/>
      <c r="N237" s="124"/>
      <c r="O237" s="124"/>
      <c r="P237" s="124"/>
      <c r="Q237" s="124"/>
      <c r="R237" s="124"/>
      <c r="S237" s="124"/>
    </row>
    <row r="238" spans="1:19" x14ac:dyDescent="0.25">
      <c r="A238" s="124"/>
      <c r="B238" s="124"/>
      <c r="C238" s="124"/>
      <c r="D238" s="124"/>
      <c r="E238" s="124"/>
      <c r="F238" s="124"/>
      <c r="G238" s="124"/>
      <c r="H238" s="124"/>
      <c r="I238" s="124"/>
      <c r="J238" s="124"/>
      <c r="K238" s="124"/>
      <c r="L238" s="124"/>
      <c r="M238" s="124"/>
      <c r="N238" s="124"/>
      <c r="O238" s="124"/>
      <c r="P238" s="124"/>
      <c r="Q238" s="124"/>
      <c r="R238" s="124"/>
      <c r="S238" s="124"/>
    </row>
    <row r="239" spans="1:19" x14ac:dyDescent="0.25">
      <c r="A239" s="124"/>
      <c r="B239" s="124"/>
      <c r="C239" s="124"/>
      <c r="D239" s="124"/>
      <c r="E239" s="124"/>
      <c r="F239" s="124"/>
      <c r="G239" s="124"/>
      <c r="H239" s="124"/>
      <c r="I239" s="124"/>
      <c r="J239" s="124"/>
      <c r="K239" s="124"/>
      <c r="L239" s="124"/>
      <c r="M239" s="124"/>
      <c r="N239" s="124"/>
      <c r="O239" s="124"/>
      <c r="P239" s="124"/>
      <c r="Q239" s="124"/>
      <c r="R239" s="124"/>
      <c r="S239" s="124"/>
    </row>
    <row r="240" spans="1:19" x14ac:dyDescent="0.25">
      <c r="A240" s="124"/>
      <c r="B240" s="124"/>
      <c r="C240" s="124"/>
      <c r="D240" s="124"/>
      <c r="E240" s="124"/>
      <c r="F240" s="124"/>
      <c r="G240" s="124"/>
      <c r="H240" s="124"/>
      <c r="I240" s="124"/>
      <c r="J240" s="124"/>
      <c r="K240" s="124"/>
      <c r="L240" s="124"/>
      <c r="M240" s="124"/>
      <c r="N240" s="124"/>
      <c r="O240" s="124"/>
      <c r="P240" s="124"/>
      <c r="Q240" s="124"/>
      <c r="R240" s="124"/>
      <c r="S240" s="124"/>
    </row>
    <row r="241" spans="1:19" x14ac:dyDescent="0.25">
      <c r="A241" s="124"/>
      <c r="B241" s="124"/>
      <c r="C241" s="124"/>
      <c r="D241" s="124"/>
      <c r="E241" s="124"/>
      <c r="F241" s="124"/>
      <c r="G241" s="124"/>
      <c r="H241" s="124"/>
      <c r="I241" s="124"/>
      <c r="J241" s="124"/>
      <c r="K241" s="124"/>
      <c r="L241" s="124"/>
      <c r="M241" s="124"/>
      <c r="N241" s="124"/>
      <c r="O241" s="124"/>
      <c r="P241" s="124"/>
      <c r="Q241" s="124"/>
      <c r="R241" s="124"/>
      <c r="S241" s="124"/>
    </row>
    <row r="242" spans="1:19" x14ac:dyDescent="0.25">
      <c r="A242" s="124"/>
      <c r="B242" s="124"/>
      <c r="C242" s="124"/>
      <c r="D242" s="124"/>
      <c r="E242" s="124"/>
      <c r="F242" s="124"/>
      <c r="G242" s="124"/>
      <c r="H242" s="124"/>
      <c r="I242" s="124"/>
      <c r="J242" s="124"/>
      <c r="K242" s="124"/>
      <c r="L242" s="124"/>
      <c r="M242" s="124"/>
      <c r="N242" s="124"/>
      <c r="O242" s="124"/>
      <c r="P242" s="124"/>
      <c r="Q242" s="124"/>
      <c r="R242" s="124"/>
      <c r="S242" s="124"/>
    </row>
    <row r="243" spans="1:19" x14ac:dyDescent="0.25">
      <c r="A243" s="124"/>
      <c r="B243" s="124"/>
      <c r="C243" s="124"/>
      <c r="D243" s="124"/>
      <c r="E243" s="124"/>
      <c r="F243" s="124"/>
      <c r="G243" s="124"/>
      <c r="H243" s="124"/>
      <c r="I243" s="124"/>
      <c r="J243" s="124"/>
      <c r="K243" s="124"/>
      <c r="L243" s="124"/>
      <c r="M243" s="124"/>
      <c r="N243" s="124"/>
      <c r="O243" s="124"/>
      <c r="P243" s="124"/>
      <c r="Q243" s="124"/>
      <c r="R243" s="124"/>
      <c r="S243" s="124"/>
    </row>
    <row r="244" spans="1:19" x14ac:dyDescent="0.25">
      <c r="A244" s="124"/>
      <c r="B244" s="124"/>
      <c r="C244" s="124"/>
      <c r="D244" s="124"/>
      <c r="E244" s="124"/>
      <c r="F244" s="124"/>
      <c r="G244" s="124"/>
      <c r="H244" s="124"/>
      <c r="I244" s="124"/>
      <c r="J244" s="124"/>
      <c r="K244" s="124"/>
      <c r="L244" s="124"/>
      <c r="M244" s="124"/>
      <c r="N244" s="124"/>
      <c r="O244" s="124"/>
      <c r="P244" s="124"/>
      <c r="Q244" s="124"/>
      <c r="R244" s="124"/>
      <c r="S244" s="124"/>
    </row>
    <row r="245" spans="1:19" x14ac:dyDescent="0.25">
      <c r="A245" s="124"/>
      <c r="B245" s="124"/>
      <c r="C245" s="124"/>
      <c r="D245" s="124"/>
      <c r="E245" s="124"/>
      <c r="F245" s="124"/>
      <c r="G245" s="124"/>
      <c r="H245" s="124"/>
      <c r="I245" s="124"/>
      <c r="J245" s="124"/>
      <c r="K245" s="124"/>
      <c r="L245" s="124"/>
      <c r="M245" s="124"/>
      <c r="N245" s="124"/>
      <c r="O245" s="124"/>
      <c r="P245" s="124"/>
      <c r="Q245" s="124"/>
      <c r="R245" s="124"/>
      <c r="S245" s="124"/>
    </row>
    <row r="246" spans="1:19" x14ac:dyDescent="0.25">
      <c r="A246" s="124"/>
      <c r="B246" s="124"/>
      <c r="C246" s="124"/>
      <c r="D246" s="124"/>
      <c r="E246" s="124"/>
      <c r="F246" s="124"/>
      <c r="G246" s="124"/>
      <c r="H246" s="124"/>
      <c r="I246" s="124"/>
      <c r="J246" s="124"/>
      <c r="K246" s="124"/>
      <c r="L246" s="124"/>
      <c r="M246" s="124"/>
      <c r="N246" s="124"/>
      <c r="O246" s="124"/>
      <c r="P246" s="124"/>
      <c r="Q246" s="124"/>
      <c r="R246" s="124"/>
      <c r="S246" s="124"/>
    </row>
    <row r="247" spans="1:19" x14ac:dyDescent="0.25">
      <c r="A247" s="124"/>
      <c r="B247" s="124"/>
      <c r="C247" s="124"/>
      <c r="D247" s="124"/>
      <c r="E247" s="124"/>
      <c r="F247" s="124"/>
      <c r="G247" s="124"/>
      <c r="H247" s="124"/>
      <c r="I247" s="124"/>
      <c r="J247" s="124"/>
      <c r="K247" s="124"/>
      <c r="L247" s="124"/>
      <c r="M247" s="124"/>
      <c r="N247" s="124"/>
      <c r="O247" s="124"/>
      <c r="P247" s="124"/>
      <c r="Q247" s="124"/>
      <c r="R247" s="124"/>
      <c r="S247" s="124"/>
    </row>
    <row r="248" spans="1:19" x14ac:dyDescent="0.25">
      <c r="A248" s="124"/>
      <c r="B248" s="124"/>
      <c r="C248" s="124"/>
      <c r="D248" s="124"/>
      <c r="E248" s="124"/>
      <c r="F248" s="124"/>
      <c r="G248" s="124"/>
      <c r="H248" s="124"/>
      <c r="I248" s="124"/>
      <c r="J248" s="124"/>
      <c r="K248" s="124"/>
      <c r="L248" s="124"/>
      <c r="M248" s="124"/>
      <c r="N248" s="124"/>
      <c r="O248" s="124"/>
      <c r="P248" s="124"/>
      <c r="Q248" s="124"/>
      <c r="R248" s="124"/>
      <c r="S248" s="124"/>
    </row>
    <row r="249" spans="1:19" x14ac:dyDescent="0.25">
      <c r="A249" s="124"/>
      <c r="B249" s="124"/>
      <c r="C249" s="124"/>
      <c r="D249" s="124"/>
      <c r="E249" s="124"/>
      <c r="F249" s="124"/>
      <c r="G249" s="124"/>
      <c r="H249" s="124"/>
      <c r="I249" s="124"/>
      <c r="J249" s="124"/>
      <c r="K249" s="124"/>
      <c r="L249" s="124"/>
      <c r="M249" s="124"/>
      <c r="N249" s="124"/>
      <c r="O249" s="124"/>
      <c r="P249" s="124"/>
      <c r="Q249" s="124"/>
      <c r="R249" s="124"/>
      <c r="S249" s="124"/>
    </row>
    <row r="250" spans="1:19" x14ac:dyDescent="0.25">
      <c r="A250" s="124"/>
      <c r="B250" s="124"/>
      <c r="C250" s="124"/>
      <c r="D250" s="124"/>
      <c r="E250" s="124"/>
      <c r="F250" s="124"/>
      <c r="G250" s="124"/>
      <c r="H250" s="124"/>
      <c r="I250" s="124"/>
      <c r="J250" s="124"/>
      <c r="K250" s="124"/>
      <c r="L250" s="124"/>
      <c r="M250" s="124"/>
      <c r="N250" s="124"/>
      <c r="O250" s="124"/>
      <c r="P250" s="124"/>
      <c r="Q250" s="124"/>
      <c r="R250" s="124"/>
      <c r="S250" s="124"/>
    </row>
    <row r="251" spans="1:19" x14ac:dyDescent="0.25">
      <c r="A251" s="124"/>
      <c r="B251" s="124"/>
      <c r="C251" s="124"/>
      <c r="D251" s="124"/>
      <c r="E251" s="124"/>
      <c r="F251" s="124"/>
      <c r="G251" s="124"/>
      <c r="H251" s="124"/>
      <c r="I251" s="124"/>
      <c r="J251" s="124"/>
      <c r="K251" s="124"/>
      <c r="L251" s="124"/>
      <c r="M251" s="124"/>
      <c r="N251" s="124"/>
      <c r="O251" s="124"/>
      <c r="P251" s="124"/>
      <c r="Q251" s="124"/>
      <c r="R251" s="124"/>
      <c r="S251" s="124"/>
    </row>
    <row r="252" spans="1:19" x14ac:dyDescent="0.25">
      <c r="A252" s="124"/>
      <c r="B252" s="124"/>
      <c r="C252" s="124"/>
      <c r="D252" s="124"/>
      <c r="E252" s="124"/>
      <c r="F252" s="124"/>
      <c r="G252" s="124"/>
      <c r="H252" s="124"/>
      <c r="I252" s="124"/>
      <c r="J252" s="124"/>
      <c r="K252" s="124"/>
      <c r="L252" s="124"/>
      <c r="M252" s="124"/>
      <c r="N252" s="124"/>
      <c r="O252" s="124"/>
      <c r="P252" s="124"/>
      <c r="Q252" s="124"/>
      <c r="R252" s="124"/>
      <c r="S252" s="124"/>
    </row>
    <row r="253" spans="1:19" x14ac:dyDescent="0.25">
      <c r="A253" s="124"/>
      <c r="B253" s="124"/>
      <c r="C253" s="124"/>
      <c r="D253" s="124"/>
      <c r="E253" s="124"/>
      <c r="F253" s="124"/>
      <c r="G253" s="124"/>
      <c r="H253" s="124"/>
      <c r="I253" s="124"/>
      <c r="J253" s="124"/>
      <c r="K253" s="124"/>
      <c r="L253" s="124"/>
      <c r="M253" s="124"/>
      <c r="N253" s="124"/>
      <c r="O253" s="124"/>
      <c r="P253" s="124"/>
      <c r="Q253" s="124"/>
      <c r="R253" s="124"/>
      <c r="S253" s="124"/>
    </row>
    <row r="254" spans="1:19" x14ac:dyDescent="0.25">
      <c r="A254" s="124"/>
      <c r="B254" s="124"/>
      <c r="C254" s="124"/>
      <c r="D254" s="124"/>
      <c r="E254" s="124"/>
      <c r="F254" s="124"/>
      <c r="G254" s="124"/>
      <c r="H254" s="124"/>
      <c r="I254" s="124"/>
      <c r="J254" s="124"/>
      <c r="K254" s="124"/>
      <c r="L254" s="124"/>
      <c r="M254" s="124"/>
      <c r="N254" s="124"/>
      <c r="O254" s="124"/>
      <c r="P254" s="124"/>
      <c r="Q254" s="124"/>
      <c r="R254" s="124"/>
      <c r="S254" s="124"/>
    </row>
    <row r="255" spans="1:19" x14ac:dyDescent="0.25">
      <c r="A255" s="124"/>
      <c r="B255" s="124"/>
      <c r="C255" s="124"/>
      <c r="D255" s="124"/>
      <c r="E255" s="124"/>
      <c r="F255" s="124"/>
      <c r="G255" s="124"/>
      <c r="H255" s="124"/>
      <c r="I255" s="124"/>
      <c r="J255" s="124"/>
      <c r="K255" s="124"/>
      <c r="L255" s="124"/>
      <c r="M255" s="124"/>
      <c r="N255" s="124"/>
      <c r="O255" s="124"/>
      <c r="P255" s="124"/>
      <c r="Q255" s="124"/>
      <c r="R255" s="124"/>
      <c r="S255" s="124"/>
    </row>
    <row r="256" spans="1:19" x14ac:dyDescent="0.25">
      <c r="A256" s="124"/>
      <c r="B256" s="124"/>
      <c r="C256" s="124"/>
      <c r="D256" s="124"/>
      <c r="E256" s="124"/>
      <c r="F256" s="124"/>
      <c r="G256" s="124"/>
      <c r="H256" s="124"/>
      <c r="I256" s="124"/>
      <c r="J256" s="124"/>
      <c r="K256" s="124"/>
      <c r="L256" s="124"/>
      <c r="M256" s="124"/>
      <c r="N256" s="124"/>
      <c r="O256" s="124"/>
      <c r="P256" s="124"/>
      <c r="Q256" s="124"/>
      <c r="R256" s="124"/>
      <c r="S256" s="124"/>
    </row>
    <row r="257" spans="1:19" x14ac:dyDescent="0.25">
      <c r="A257" s="124"/>
      <c r="B257" s="124"/>
      <c r="C257" s="124"/>
      <c r="D257" s="124"/>
      <c r="E257" s="124"/>
      <c r="F257" s="124"/>
      <c r="G257" s="124"/>
      <c r="H257" s="124"/>
      <c r="I257" s="124"/>
      <c r="J257" s="124"/>
      <c r="K257" s="124"/>
      <c r="L257" s="124"/>
      <c r="M257" s="124"/>
      <c r="N257" s="124"/>
      <c r="O257" s="124"/>
      <c r="P257" s="124"/>
      <c r="Q257" s="124"/>
      <c r="R257" s="124"/>
      <c r="S257" s="124"/>
    </row>
    <row r="258" spans="1:19" x14ac:dyDescent="0.25">
      <c r="A258" s="124"/>
      <c r="B258" s="124"/>
      <c r="C258" s="124"/>
      <c r="D258" s="124"/>
      <c r="E258" s="124"/>
      <c r="F258" s="124"/>
      <c r="G258" s="124"/>
      <c r="H258" s="124"/>
      <c r="I258" s="124"/>
      <c r="J258" s="124"/>
      <c r="K258" s="124"/>
      <c r="L258" s="124"/>
      <c r="M258" s="124"/>
      <c r="N258" s="124"/>
      <c r="O258" s="124"/>
      <c r="P258" s="124"/>
      <c r="Q258" s="124"/>
      <c r="R258" s="124"/>
      <c r="S258" s="124"/>
    </row>
    <row r="259" spans="1:19" x14ac:dyDescent="0.25">
      <c r="A259" s="124"/>
      <c r="B259" s="124"/>
      <c r="C259" s="124"/>
      <c r="D259" s="124"/>
      <c r="E259" s="124"/>
      <c r="F259" s="124"/>
      <c r="G259" s="124"/>
      <c r="H259" s="124"/>
      <c r="I259" s="124"/>
      <c r="J259" s="124"/>
      <c r="K259" s="124"/>
      <c r="L259" s="124"/>
      <c r="M259" s="124"/>
      <c r="N259" s="124"/>
      <c r="O259" s="124"/>
      <c r="P259" s="124"/>
      <c r="Q259" s="124"/>
      <c r="R259" s="124"/>
      <c r="S259" s="124"/>
    </row>
    <row r="260" spans="1:19" x14ac:dyDescent="0.25">
      <c r="A260" s="124"/>
      <c r="B260" s="124"/>
      <c r="C260" s="124"/>
      <c r="D260" s="124"/>
      <c r="E260" s="124"/>
      <c r="F260" s="124"/>
      <c r="G260" s="124"/>
      <c r="H260" s="124"/>
      <c r="I260" s="124"/>
      <c r="J260" s="124"/>
      <c r="K260" s="124"/>
      <c r="L260" s="124"/>
      <c r="M260" s="124"/>
      <c r="N260" s="124"/>
      <c r="O260" s="124"/>
      <c r="P260" s="124"/>
      <c r="Q260" s="124"/>
      <c r="R260" s="124"/>
      <c r="S260" s="124"/>
    </row>
    <row r="261" spans="1:19" x14ac:dyDescent="0.25">
      <c r="A261" s="124"/>
      <c r="B261" s="124"/>
      <c r="C261" s="124"/>
      <c r="D261" s="124"/>
      <c r="E261" s="124"/>
      <c r="F261" s="124"/>
      <c r="G261" s="124"/>
      <c r="H261" s="124"/>
      <c r="I261" s="124"/>
      <c r="J261" s="124"/>
      <c r="K261" s="124"/>
      <c r="L261" s="124"/>
      <c r="M261" s="124"/>
      <c r="N261" s="124"/>
      <c r="O261" s="124"/>
      <c r="P261" s="124"/>
      <c r="Q261" s="124"/>
      <c r="R261" s="124"/>
      <c r="S261" s="124"/>
    </row>
    <row r="262" spans="1:19" x14ac:dyDescent="0.25">
      <c r="A262" s="124"/>
      <c r="B262" s="124"/>
      <c r="C262" s="124"/>
      <c r="D262" s="124"/>
      <c r="E262" s="124"/>
      <c r="F262" s="124"/>
      <c r="G262" s="124"/>
      <c r="H262" s="124"/>
      <c r="I262" s="124"/>
      <c r="J262" s="124"/>
      <c r="K262" s="124"/>
      <c r="L262" s="124"/>
      <c r="M262" s="124"/>
      <c r="N262" s="124"/>
      <c r="O262" s="124"/>
      <c r="P262" s="124"/>
      <c r="Q262" s="124"/>
      <c r="R262" s="124"/>
      <c r="S262" s="124"/>
    </row>
    <row r="263" spans="1:19" x14ac:dyDescent="0.25">
      <c r="A263" s="124"/>
      <c r="B263" s="124"/>
      <c r="C263" s="124"/>
      <c r="D263" s="124"/>
      <c r="E263" s="124"/>
      <c r="F263" s="124"/>
      <c r="G263" s="124"/>
      <c r="H263" s="124"/>
      <c r="I263" s="124"/>
      <c r="J263" s="124"/>
      <c r="K263" s="124"/>
      <c r="L263" s="124"/>
      <c r="M263" s="124"/>
      <c r="N263" s="124"/>
      <c r="O263" s="124"/>
      <c r="P263" s="124"/>
      <c r="Q263" s="124"/>
      <c r="R263" s="124"/>
      <c r="S263" s="124"/>
    </row>
    <row r="264" spans="1:19" x14ac:dyDescent="0.25">
      <c r="A264" s="124"/>
      <c r="B264" s="124"/>
      <c r="C264" s="124"/>
      <c r="D264" s="124"/>
      <c r="E264" s="124"/>
      <c r="F264" s="124"/>
      <c r="G264" s="124"/>
      <c r="H264" s="124"/>
      <c r="I264" s="124"/>
      <c r="J264" s="124"/>
      <c r="K264" s="124"/>
      <c r="L264" s="124"/>
      <c r="M264" s="124"/>
      <c r="N264" s="124"/>
      <c r="O264" s="124"/>
      <c r="P264" s="124"/>
      <c r="Q264" s="124"/>
      <c r="R264" s="124"/>
      <c r="S264" s="124"/>
    </row>
    <row r="265" spans="1:19" x14ac:dyDescent="0.25">
      <c r="A265" s="124"/>
      <c r="B265" s="124"/>
      <c r="C265" s="124"/>
      <c r="D265" s="124"/>
      <c r="E265" s="124"/>
      <c r="F265" s="124"/>
      <c r="G265" s="124"/>
      <c r="H265" s="124"/>
      <c r="I265" s="124"/>
      <c r="J265" s="124"/>
      <c r="K265" s="124"/>
      <c r="L265" s="124"/>
      <c r="M265" s="124"/>
      <c r="N265" s="124"/>
      <c r="O265" s="124"/>
      <c r="P265" s="124"/>
      <c r="Q265" s="124"/>
      <c r="R265" s="124"/>
      <c r="S265" s="124"/>
    </row>
    <row r="266" spans="1:19" x14ac:dyDescent="0.25">
      <c r="A266" s="124"/>
      <c r="B266" s="124"/>
      <c r="C266" s="124"/>
      <c r="D266" s="124"/>
      <c r="E266" s="124"/>
      <c r="F266" s="124"/>
      <c r="G266" s="124"/>
      <c r="H266" s="124"/>
      <c r="I266" s="124"/>
      <c r="J266" s="124"/>
      <c r="K266" s="124"/>
      <c r="L266" s="124"/>
      <c r="M266" s="124"/>
      <c r="N266" s="124"/>
      <c r="O266" s="124"/>
      <c r="P266" s="124"/>
      <c r="Q266" s="124"/>
      <c r="R266" s="124"/>
      <c r="S266" s="124"/>
    </row>
    <row r="267" spans="1:19" x14ac:dyDescent="0.25">
      <c r="A267" s="124"/>
      <c r="B267" s="124"/>
      <c r="C267" s="124"/>
      <c r="D267" s="124"/>
      <c r="E267" s="124"/>
      <c r="F267" s="124"/>
      <c r="G267" s="124"/>
      <c r="H267" s="124"/>
      <c r="I267" s="124"/>
      <c r="J267" s="124"/>
      <c r="K267" s="124"/>
      <c r="L267" s="124"/>
      <c r="M267" s="124"/>
      <c r="N267" s="124"/>
      <c r="O267" s="124"/>
      <c r="P267" s="124"/>
      <c r="Q267" s="124"/>
      <c r="R267" s="124"/>
      <c r="S267" s="124"/>
    </row>
    <row r="268" spans="1:19" x14ac:dyDescent="0.25">
      <c r="A268" s="124"/>
      <c r="B268" s="124"/>
      <c r="C268" s="124"/>
      <c r="D268" s="124"/>
      <c r="E268" s="124"/>
      <c r="F268" s="124"/>
      <c r="G268" s="124"/>
      <c r="H268" s="124"/>
      <c r="I268" s="124"/>
      <c r="J268" s="124"/>
      <c r="K268" s="124"/>
      <c r="L268" s="124"/>
      <c r="M268" s="124"/>
      <c r="N268" s="124"/>
      <c r="O268" s="124"/>
      <c r="P268" s="124"/>
      <c r="Q268" s="124"/>
      <c r="R268" s="124"/>
      <c r="S268" s="124"/>
    </row>
    <row r="269" spans="1:19" x14ac:dyDescent="0.25">
      <c r="A269" s="124"/>
      <c r="B269" s="124"/>
      <c r="C269" s="124"/>
      <c r="D269" s="124"/>
      <c r="E269" s="124"/>
      <c r="F269" s="124"/>
      <c r="G269" s="124"/>
      <c r="H269" s="124"/>
      <c r="I269" s="124"/>
      <c r="J269" s="124"/>
      <c r="K269" s="124"/>
      <c r="L269" s="124"/>
      <c r="M269" s="124"/>
      <c r="N269" s="124"/>
      <c r="O269" s="124"/>
      <c r="P269" s="124"/>
      <c r="Q269" s="124"/>
      <c r="R269" s="124"/>
      <c r="S269" s="124"/>
    </row>
    <row r="270" spans="1:19" x14ac:dyDescent="0.25">
      <c r="A270" s="124"/>
      <c r="B270" s="124"/>
      <c r="C270" s="124"/>
      <c r="D270" s="124"/>
      <c r="E270" s="124"/>
      <c r="F270" s="124"/>
      <c r="G270" s="124"/>
      <c r="H270" s="124"/>
      <c r="I270" s="124"/>
      <c r="J270" s="124"/>
      <c r="K270" s="124"/>
      <c r="L270" s="124"/>
      <c r="M270" s="124"/>
      <c r="N270" s="124"/>
      <c r="O270" s="124"/>
      <c r="P270" s="124"/>
      <c r="Q270" s="124"/>
      <c r="R270" s="124"/>
      <c r="S270" s="124"/>
    </row>
    <row r="271" spans="1:19" x14ac:dyDescent="0.25">
      <c r="A271" s="124"/>
      <c r="B271" s="124"/>
      <c r="C271" s="124"/>
      <c r="D271" s="124"/>
      <c r="E271" s="124"/>
      <c r="F271" s="124"/>
      <c r="G271" s="124"/>
      <c r="H271" s="124"/>
      <c r="I271" s="124"/>
      <c r="J271" s="124"/>
      <c r="K271" s="124"/>
      <c r="L271" s="124"/>
      <c r="M271" s="124"/>
      <c r="N271" s="124"/>
      <c r="O271" s="124"/>
      <c r="P271" s="124"/>
      <c r="Q271" s="124"/>
      <c r="R271" s="124"/>
      <c r="S271" s="124"/>
    </row>
    <row r="272" spans="1:19" x14ac:dyDescent="0.25">
      <c r="A272" s="124"/>
      <c r="B272" s="124"/>
      <c r="C272" s="124"/>
      <c r="D272" s="124"/>
      <c r="E272" s="124"/>
      <c r="F272" s="124"/>
      <c r="G272" s="124"/>
      <c r="H272" s="124"/>
      <c r="I272" s="124"/>
      <c r="J272" s="124"/>
      <c r="K272" s="124"/>
      <c r="L272" s="124"/>
      <c r="M272" s="124"/>
      <c r="N272" s="124"/>
      <c r="O272" s="124"/>
      <c r="P272" s="124"/>
      <c r="Q272" s="124"/>
      <c r="R272" s="124"/>
      <c r="S272" s="124"/>
    </row>
    <row r="273" spans="1:19" x14ac:dyDescent="0.25">
      <c r="A273" s="124"/>
      <c r="B273" s="124"/>
      <c r="C273" s="124"/>
      <c r="D273" s="124"/>
      <c r="E273" s="124"/>
      <c r="F273" s="124"/>
      <c r="G273" s="124"/>
      <c r="H273" s="124"/>
      <c r="I273" s="124"/>
      <c r="J273" s="124"/>
      <c r="K273" s="124"/>
      <c r="L273" s="124"/>
      <c r="M273" s="124"/>
      <c r="N273" s="124"/>
      <c r="O273" s="124"/>
      <c r="P273" s="124"/>
      <c r="Q273" s="124"/>
      <c r="R273" s="124"/>
      <c r="S273" s="124"/>
    </row>
    <row r="274" spans="1:19" x14ac:dyDescent="0.25">
      <c r="A274" s="124"/>
      <c r="B274" s="124"/>
      <c r="C274" s="124"/>
      <c r="D274" s="124"/>
      <c r="E274" s="124"/>
      <c r="F274" s="124"/>
      <c r="G274" s="124"/>
      <c r="H274" s="124"/>
      <c r="I274" s="124"/>
      <c r="J274" s="124"/>
      <c r="K274" s="124"/>
      <c r="L274" s="124"/>
      <c r="M274" s="124"/>
      <c r="N274" s="124"/>
      <c r="O274" s="124"/>
      <c r="P274" s="124"/>
      <c r="Q274" s="124"/>
      <c r="R274" s="124"/>
      <c r="S274" s="124"/>
    </row>
    <row r="275" spans="1:19" x14ac:dyDescent="0.25">
      <c r="A275" s="124"/>
      <c r="B275" s="124"/>
      <c r="C275" s="124"/>
      <c r="D275" s="124"/>
      <c r="E275" s="124"/>
      <c r="F275" s="124"/>
      <c r="G275" s="124"/>
      <c r="H275" s="124"/>
      <c r="I275" s="124"/>
      <c r="J275" s="124"/>
      <c r="K275" s="124"/>
      <c r="L275" s="124"/>
      <c r="M275" s="124"/>
      <c r="N275" s="124"/>
      <c r="O275" s="124"/>
      <c r="P275" s="124"/>
      <c r="Q275" s="124"/>
      <c r="R275" s="124"/>
      <c r="S275" s="124"/>
    </row>
    <row r="276" spans="1:19" x14ac:dyDescent="0.25">
      <c r="A276" s="124"/>
      <c r="B276" s="124"/>
      <c r="C276" s="124"/>
      <c r="D276" s="124"/>
      <c r="E276" s="124"/>
      <c r="F276" s="124"/>
      <c r="G276" s="124"/>
      <c r="H276" s="124"/>
      <c r="I276" s="124"/>
      <c r="J276" s="124"/>
      <c r="K276" s="124"/>
      <c r="L276" s="124"/>
      <c r="M276" s="124"/>
      <c r="N276" s="124"/>
      <c r="O276" s="124"/>
      <c r="P276" s="124"/>
      <c r="Q276" s="124"/>
      <c r="R276" s="124"/>
      <c r="S276" s="124"/>
    </row>
    <row r="277" spans="1:19" x14ac:dyDescent="0.25">
      <c r="A277" s="124"/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N277" s="124"/>
      <c r="O277" s="124"/>
      <c r="P277" s="124"/>
      <c r="Q277" s="124"/>
      <c r="R277" s="124"/>
      <c r="S277" s="124"/>
    </row>
    <row r="278" spans="1:19" x14ac:dyDescent="0.25">
      <c r="A278" s="124"/>
      <c r="B278" s="124"/>
      <c r="C278" s="124"/>
      <c r="D278" s="124"/>
      <c r="E278" s="124"/>
      <c r="F278" s="124"/>
      <c r="G278" s="124"/>
      <c r="H278" s="124"/>
      <c r="I278" s="124"/>
      <c r="J278" s="124"/>
      <c r="K278" s="124"/>
      <c r="L278" s="124"/>
      <c r="M278" s="124"/>
      <c r="N278" s="124"/>
      <c r="O278" s="124"/>
      <c r="P278" s="124"/>
      <c r="Q278" s="124"/>
      <c r="R278" s="124"/>
      <c r="S278" s="124"/>
    </row>
    <row r="279" spans="1:19" x14ac:dyDescent="0.25">
      <c r="A279" s="124"/>
      <c r="B279" s="124"/>
      <c r="C279" s="124"/>
      <c r="D279" s="124"/>
      <c r="E279" s="124"/>
      <c r="F279" s="124"/>
      <c r="G279" s="124"/>
      <c r="H279" s="124"/>
      <c r="I279" s="124"/>
      <c r="J279" s="124"/>
      <c r="K279" s="124"/>
      <c r="L279" s="124"/>
      <c r="M279" s="124"/>
      <c r="N279" s="124"/>
      <c r="O279" s="124"/>
      <c r="P279" s="124"/>
      <c r="Q279" s="124"/>
      <c r="R279" s="124"/>
      <c r="S279" s="124"/>
    </row>
    <row r="280" spans="1:19" x14ac:dyDescent="0.25">
      <c r="A280" s="124"/>
      <c r="B280" s="124"/>
      <c r="C280" s="124"/>
      <c r="D280" s="124"/>
      <c r="E280" s="124"/>
      <c r="F280" s="124"/>
      <c r="G280" s="124"/>
      <c r="H280" s="124"/>
      <c r="I280" s="124"/>
      <c r="J280" s="124"/>
      <c r="K280" s="124"/>
      <c r="L280" s="124"/>
      <c r="M280" s="124"/>
      <c r="N280" s="124"/>
      <c r="O280" s="124"/>
      <c r="P280" s="124"/>
      <c r="Q280" s="124"/>
      <c r="R280" s="124"/>
      <c r="S280" s="124"/>
    </row>
    <row r="281" spans="1:19" x14ac:dyDescent="0.25">
      <c r="A281" s="124"/>
      <c r="B281" s="124"/>
      <c r="C281" s="124"/>
      <c r="D281" s="124"/>
      <c r="E281" s="124"/>
      <c r="F281" s="124"/>
      <c r="G281" s="124"/>
      <c r="H281" s="124"/>
      <c r="I281" s="124"/>
      <c r="J281" s="124"/>
      <c r="K281" s="124"/>
      <c r="L281" s="124"/>
      <c r="M281" s="124"/>
      <c r="N281" s="124"/>
      <c r="O281" s="124"/>
      <c r="P281" s="124"/>
      <c r="Q281" s="124"/>
      <c r="R281" s="124"/>
      <c r="S281" s="124"/>
    </row>
    <row r="282" spans="1:19" x14ac:dyDescent="0.25">
      <c r="A282" s="124"/>
      <c r="B282" s="124"/>
      <c r="C282" s="124"/>
      <c r="D282" s="124"/>
      <c r="E282" s="124"/>
      <c r="F282" s="124"/>
      <c r="G282" s="124"/>
      <c r="H282" s="124"/>
      <c r="I282" s="124"/>
      <c r="J282" s="124"/>
      <c r="K282" s="124"/>
      <c r="L282" s="124"/>
      <c r="M282" s="124"/>
      <c r="N282" s="124"/>
      <c r="O282" s="124"/>
      <c r="P282" s="124"/>
      <c r="Q282" s="124"/>
      <c r="R282" s="124"/>
      <c r="S282" s="124"/>
    </row>
    <row r="283" spans="1:19" x14ac:dyDescent="0.25">
      <c r="A283" s="124"/>
      <c r="B283" s="124"/>
      <c r="C283" s="124"/>
      <c r="D283" s="124"/>
      <c r="E283" s="124"/>
      <c r="F283" s="124"/>
      <c r="G283" s="124"/>
      <c r="H283" s="124"/>
      <c r="I283" s="124"/>
      <c r="J283" s="124"/>
      <c r="K283" s="124"/>
      <c r="L283" s="124"/>
      <c r="M283" s="124"/>
      <c r="N283" s="124"/>
      <c r="O283" s="124"/>
      <c r="P283" s="124"/>
      <c r="Q283" s="124"/>
      <c r="R283" s="124"/>
      <c r="S283" s="124"/>
    </row>
    <row r="284" spans="1:19" x14ac:dyDescent="0.25">
      <c r="A284" s="124"/>
      <c r="B284" s="124"/>
      <c r="C284" s="124"/>
      <c r="D284" s="124"/>
      <c r="E284" s="124"/>
      <c r="F284" s="124"/>
      <c r="G284" s="124"/>
      <c r="H284" s="124"/>
      <c r="I284" s="124"/>
      <c r="J284" s="124"/>
      <c r="K284" s="124"/>
      <c r="L284" s="124"/>
      <c r="M284" s="124"/>
      <c r="N284" s="124"/>
      <c r="O284" s="124"/>
      <c r="P284" s="124"/>
      <c r="Q284" s="124"/>
      <c r="R284" s="124"/>
      <c r="S284" s="124"/>
    </row>
    <row r="285" spans="1:19" x14ac:dyDescent="0.25">
      <c r="A285" s="124"/>
      <c r="B285" s="124"/>
      <c r="C285" s="124"/>
      <c r="D285" s="124"/>
      <c r="E285" s="124"/>
      <c r="F285" s="124"/>
      <c r="G285" s="124"/>
      <c r="H285" s="124"/>
      <c r="I285" s="124"/>
      <c r="J285" s="124"/>
      <c r="K285" s="124"/>
      <c r="L285" s="124"/>
      <c r="M285" s="124"/>
      <c r="N285" s="124"/>
      <c r="O285" s="124"/>
      <c r="P285" s="124"/>
      <c r="Q285" s="124"/>
      <c r="R285" s="124"/>
      <c r="S285" s="124"/>
    </row>
    <row r="286" spans="1:19" x14ac:dyDescent="0.25">
      <c r="A286" s="124"/>
      <c r="B286" s="124"/>
      <c r="C286" s="124"/>
      <c r="D286" s="124"/>
      <c r="E286" s="124"/>
      <c r="F286" s="124"/>
      <c r="G286" s="124"/>
      <c r="H286" s="124"/>
      <c r="I286" s="124"/>
      <c r="J286" s="124"/>
      <c r="K286" s="124"/>
      <c r="L286" s="124"/>
      <c r="M286" s="124"/>
      <c r="N286" s="124"/>
      <c r="O286" s="124"/>
      <c r="P286" s="124"/>
      <c r="Q286" s="124"/>
      <c r="R286" s="124"/>
      <c r="S286" s="124"/>
    </row>
    <row r="287" spans="1:19" x14ac:dyDescent="0.25">
      <c r="A287" s="124"/>
      <c r="B287" s="124"/>
      <c r="C287" s="124"/>
      <c r="D287" s="124"/>
      <c r="E287" s="124"/>
      <c r="F287" s="124"/>
      <c r="G287" s="124"/>
      <c r="H287" s="124"/>
      <c r="I287" s="124"/>
      <c r="J287" s="124"/>
      <c r="K287" s="124"/>
      <c r="L287" s="124"/>
      <c r="M287" s="124"/>
      <c r="N287" s="124"/>
      <c r="O287" s="124"/>
      <c r="P287" s="124"/>
      <c r="Q287" s="124"/>
      <c r="R287" s="124"/>
      <c r="S287" s="124"/>
    </row>
    <row r="288" spans="1:19" x14ac:dyDescent="0.25">
      <c r="A288" s="124"/>
      <c r="B288" s="124"/>
      <c r="C288" s="124"/>
      <c r="D288" s="124"/>
      <c r="E288" s="124"/>
      <c r="F288" s="124"/>
      <c r="G288" s="124"/>
      <c r="H288" s="124"/>
      <c r="I288" s="124"/>
      <c r="J288" s="124"/>
      <c r="K288" s="124"/>
      <c r="L288" s="124"/>
      <c r="M288" s="124"/>
      <c r="N288" s="124"/>
      <c r="O288" s="124"/>
      <c r="P288" s="124"/>
      <c r="Q288" s="124"/>
      <c r="R288" s="124"/>
      <c r="S288" s="124"/>
    </row>
    <row r="289" spans="1:19" x14ac:dyDescent="0.25">
      <c r="A289" s="124"/>
      <c r="B289" s="124"/>
      <c r="C289" s="124"/>
      <c r="D289" s="124"/>
      <c r="E289" s="124"/>
      <c r="F289" s="124"/>
      <c r="G289" s="124"/>
      <c r="H289" s="124"/>
      <c r="I289" s="124"/>
      <c r="J289" s="124"/>
      <c r="K289" s="124"/>
      <c r="L289" s="124"/>
      <c r="M289" s="124"/>
      <c r="N289" s="124"/>
      <c r="O289" s="124"/>
      <c r="P289" s="124"/>
      <c r="Q289" s="124"/>
      <c r="R289" s="124"/>
      <c r="S289" s="124"/>
    </row>
    <row r="290" spans="1:19" x14ac:dyDescent="0.25">
      <c r="A290" s="124"/>
      <c r="B290" s="124"/>
      <c r="C290" s="124"/>
      <c r="D290" s="124"/>
      <c r="E290" s="124"/>
      <c r="F290" s="124"/>
      <c r="G290" s="124"/>
      <c r="H290" s="124"/>
      <c r="I290" s="124"/>
      <c r="J290" s="124"/>
      <c r="K290" s="124"/>
      <c r="L290" s="124"/>
      <c r="M290" s="124"/>
      <c r="N290" s="124"/>
      <c r="O290" s="124"/>
      <c r="P290" s="124"/>
      <c r="Q290" s="124"/>
      <c r="R290" s="124"/>
      <c r="S290" s="124"/>
    </row>
    <row r="291" spans="1:19" x14ac:dyDescent="0.25">
      <c r="A291" s="124"/>
      <c r="B291" s="124"/>
      <c r="C291" s="124"/>
      <c r="D291" s="124"/>
      <c r="E291" s="124"/>
      <c r="F291" s="124"/>
      <c r="G291" s="124"/>
      <c r="H291" s="124"/>
      <c r="I291" s="124"/>
      <c r="J291" s="124"/>
      <c r="K291" s="124"/>
      <c r="L291" s="124"/>
      <c r="M291" s="124"/>
      <c r="N291" s="124"/>
      <c r="O291" s="124"/>
      <c r="P291" s="124"/>
      <c r="Q291" s="124"/>
      <c r="R291" s="124"/>
      <c r="S291" s="124"/>
    </row>
    <row r="292" spans="1:19" x14ac:dyDescent="0.25">
      <c r="A292" s="124"/>
      <c r="B292" s="124"/>
      <c r="C292" s="124"/>
      <c r="D292" s="124"/>
      <c r="E292" s="124"/>
      <c r="F292" s="124"/>
      <c r="G292" s="124"/>
      <c r="H292" s="124"/>
      <c r="I292" s="124"/>
      <c r="J292" s="124"/>
      <c r="K292" s="124"/>
      <c r="L292" s="124"/>
      <c r="M292" s="124"/>
      <c r="N292" s="124"/>
      <c r="O292" s="124"/>
      <c r="P292" s="124"/>
      <c r="Q292" s="124"/>
      <c r="R292" s="124"/>
      <c r="S292" s="124"/>
    </row>
    <row r="293" spans="1:19" x14ac:dyDescent="0.25">
      <c r="A293" s="124"/>
      <c r="B293" s="124"/>
      <c r="C293" s="124"/>
      <c r="D293" s="124"/>
      <c r="E293" s="124"/>
      <c r="F293" s="124"/>
      <c r="G293" s="124"/>
      <c r="H293" s="124"/>
      <c r="I293" s="124"/>
      <c r="J293" s="124"/>
      <c r="K293" s="124"/>
      <c r="L293" s="124"/>
      <c r="M293" s="124"/>
      <c r="N293" s="124"/>
      <c r="O293" s="124"/>
      <c r="P293" s="124"/>
      <c r="Q293" s="124"/>
      <c r="R293" s="124"/>
      <c r="S293" s="124"/>
    </row>
    <row r="294" spans="1:19" x14ac:dyDescent="0.25">
      <c r="A294" s="124"/>
      <c r="B294" s="124"/>
      <c r="C294" s="124"/>
      <c r="D294" s="124"/>
      <c r="E294" s="124"/>
      <c r="F294" s="124"/>
      <c r="G294" s="124"/>
      <c r="H294" s="124"/>
      <c r="I294" s="124"/>
      <c r="J294" s="124"/>
      <c r="K294" s="124"/>
      <c r="L294" s="124"/>
      <c r="M294" s="124"/>
      <c r="N294" s="124"/>
      <c r="O294" s="124"/>
      <c r="P294" s="124"/>
      <c r="Q294" s="124"/>
      <c r="R294" s="124"/>
      <c r="S294" s="124"/>
    </row>
    <row r="295" spans="1:19" x14ac:dyDescent="0.25">
      <c r="A295" s="124"/>
      <c r="B295" s="124"/>
      <c r="C295" s="124"/>
      <c r="D295" s="124"/>
      <c r="E295" s="124"/>
      <c r="F295" s="124"/>
      <c r="G295" s="124"/>
      <c r="H295" s="124"/>
      <c r="I295" s="124"/>
      <c r="J295" s="124"/>
      <c r="K295" s="124"/>
      <c r="L295" s="124"/>
      <c r="M295" s="124"/>
      <c r="N295" s="124"/>
      <c r="O295" s="124"/>
      <c r="P295" s="124"/>
      <c r="Q295" s="124"/>
      <c r="R295" s="124"/>
      <c r="S295" s="124"/>
    </row>
    <row r="296" spans="1:19" x14ac:dyDescent="0.25">
      <c r="A296" s="124"/>
      <c r="B296" s="124"/>
      <c r="C296" s="124"/>
      <c r="D296" s="124"/>
      <c r="E296" s="124"/>
      <c r="F296" s="124"/>
      <c r="G296" s="124"/>
      <c r="H296" s="124"/>
      <c r="I296" s="124"/>
      <c r="J296" s="124"/>
      <c r="K296" s="124"/>
      <c r="L296" s="124"/>
      <c r="M296" s="124"/>
      <c r="N296" s="124"/>
      <c r="O296" s="124"/>
      <c r="P296" s="124"/>
      <c r="Q296" s="124"/>
      <c r="R296" s="124"/>
      <c r="S296" s="124"/>
    </row>
    <row r="297" spans="1:19" x14ac:dyDescent="0.25">
      <c r="A297" s="124"/>
      <c r="B297" s="124"/>
      <c r="C297" s="124"/>
      <c r="D297" s="124"/>
      <c r="E297" s="124"/>
      <c r="F297" s="124"/>
      <c r="G297" s="124"/>
      <c r="H297" s="124"/>
      <c r="I297" s="124"/>
      <c r="J297" s="124"/>
      <c r="K297" s="124"/>
      <c r="L297" s="124"/>
      <c r="M297" s="124"/>
      <c r="N297" s="124"/>
      <c r="O297" s="124"/>
      <c r="P297" s="124"/>
      <c r="Q297" s="124"/>
      <c r="R297" s="124"/>
      <c r="S297" s="124"/>
    </row>
    <row r="298" spans="1:19" x14ac:dyDescent="0.25">
      <c r="A298" s="124"/>
      <c r="B298" s="124"/>
      <c r="C298" s="124"/>
      <c r="D298" s="124"/>
      <c r="E298" s="124"/>
      <c r="F298" s="124"/>
      <c r="G298" s="124"/>
      <c r="H298" s="124"/>
      <c r="I298" s="124"/>
      <c r="J298" s="124"/>
      <c r="K298" s="124"/>
      <c r="L298" s="124"/>
      <c r="M298" s="124"/>
      <c r="N298" s="124"/>
      <c r="O298" s="124"/>
      <c r="P298" s="124"/>
      <c r="Q298" s="124"/>
      <c r="R298" s="124"/>
      <c r="S298" s="124"/>
    </row>
    <row r="299" spans="1:19" x14ac:dyDescent="0.25">
      <c r="A299" s="124"/>
      <c r="B299" s="124"/>
      <c r="C299" s="124"/>
      <c r="D299" s="124"/>
      <c r="E299" s="124"/>
      <c r="F299" s="124"/>
      <c r="G299" s="124"/>
      <c r="H299" s="124"/>
      <c r="I299" s="124"/>
      <c r="J299" s="124"/>
      <c r="K299" s="124"/>
      <c r="L299" s="124"/>
      <c r="M299" s="124"/>
      <c r="N299" s="124"/>
      <c r="O299" s="124"/>
      <c r="P299" s="124"/>
      <c r="Q299" s="124"/>
      <c r="R299" s="124"/>
      <c r="S299" s="124"/>
    </row>
    <row r="300" spans="1:19" x14ac:dyDescent="0.25">
      <c r="A300" s="124"/>
      <c r="B300" s="124"/>
      <c r="C300" s="124"/>
      <c r="D300" s="124"/>
      <c r="E300" s="124"/>
      <c r="F300" s="124"/>
      <c r="G300" s="124"/>
      <c r="H300" s="124"/>
      <c r="I300" s="124"/>
      <c r="J300" s="124"/>
      <c r="K300" s="124"/>
      <c r="L300" s="124"/>
      <c r="M300" s="124"/>
      <c r="N300" s="124"/>
      <c r="O300" s="124"/>
      <c r="P300" s="124"/>
      <c r="Q300" s="124"/>
      <c r="R300" s="124"/>
      <c r="S300" s="124"/>
    </row>
    <row r="301" spans="1:19" x14ac:dyDescent="0.25">
      <c r="A301" s="124"/>
      <c r="B301" s="124"/>
      <c r="C301" s="124"/>
      <c r="D301" s="124"/>
      <c r="E301" s="124"/>
      <c r="F301" s="124"/>
      <c r="G301" s="124"/>
      <c r="H301" s="124"/>
      <c r="I301" s="124"/>
      <c r="J301" s="124"/>
      <c r="K301" s="124"/>
      <c r="L301" s="124"/>
      <c r="M301" s="124"/>
      <c r="N301" s="124"/>
      <c r="O301" s="124"/>
      <c r="P301" s="124"/>
      <c r="Q301" s="124"/>
      <c r="R301" s="124"/>
      <c r="S301" s="124"/>
    </row>
    <row r="302" spans="1:19" x14ac:dyDescent="0.25">
      <c r="A302" s="124"/>
      <c r="B302" s="124"/>
      <c r="C302" s="124"/>
      <c r="D302" s="124"/>
      <c r="E302" s="124"/>
      <c r="F302" s="124"/>
      <c r="G302" s="124"/>
      <c r="H302" s="124"/>
      <c r="I302" s="124"/>
      <c r="J302" s="124"/>
      <c r="K302" s="124"/>
      <c r="L302" s="124"/>
      <c r="M302" s="124"/>
      <c r="N302" s="124"/>
      <c r="O302" s="124"/>
      <c r="P302" s="124"/>
      <c r="Q302" s="124"/>
      <c r="R302" s="124"/>
      <c r="S302" s="124"/>
    </row>
    <row r="303" spans="1:19" x14ac:dyDescent="0.25">
      <c r="A303" s="124"/>
      <c r="B303" s="124"/>
      <c r="C303" s="124"/>
      <c r="D303" s="124"/>
      <c r="E303" s="124"/>
      <c r="F303" s="124"/>
      <c r="G303" s="124"/>
      <c r="H303" s="124"/>
      <c r="I303" s="124"/>
      <c r="J303" s="124"/>
      <c r="K303" s="124"/>
      <c r="L303" s="124"/>
      <c r="M303" s="124"/>
      <c r="N303" s="124"/>
      <c r="O303" s="124"/>
      <c r="P303" s="124"/>
      <c r="Q303" s="124"/>
      <c r="R303" s="124"/>
      <c r="S303" s="124"/>
    </row>
    <row r="304" spans="1:19" x14ac:dyDescent="0.25">
      <c r="A304" s="124"/>
      <c r="B304" s="124"/>
      <c r="C304" s="124"/>
      <c r="D304" s="124"/>
      <c r="E304" s="124"/>
      <c r="F304" s="124"/>
      <c r="G304" s="124"/>
      <c r="H304" s="124"/>
      <c r="I304" s="124"/>
      <c r="J304" s="124"/>
      <c r="K304" s="124"/>
      <c r="L304" s="124"/>
      <c r="M304" s="124"/>
      <c r="N304" s="124"/>
      <c r="O304" s="124"/>
      <c r="P304" s="124"/>
      <c r="Q304" s="124"/>
      <c r="R304" s="124"/>
      <c r="S304" s="124"/>
    </row>
    <row r="305" spans="1:19" x14ac:dyDescent="0.25">
      <c r="A305" s="124"/>
      <c r="B305" s="124"/>
      <c r="C305" s="124"/>
      <c r="D305" s="124"/>
      <c r="E305" s="124"/>
      <c r="F305" s="124"/>
      <c r="G305" s="124"/>
      <c r="H305" s="124"/>
      <c r="I305" s="124"/>
      <c r="J305" s="124"/>
      <c r="K305" s="124"/>
      <c r="L305" s="124"/>
      <c r="M305" s="124"/>
      <c r="N305" s="124"/>
      <c r="O305" s="124"/>
      <c r="P305" s="124"/>
      <c r="Q305" s="124"/>
      <c r="R305" s="124"/>
      <c r="S305" s="124"/>
    </row>
    <row r="306" spans="1:19" x14ac:dyDescent="0.25">
      <c r="A306" s="124"/>
      <c r="B306" s="124"/>
      <c r="C306" s="124"/>
      <c r="D306" s="124"/>
      <c r="E306" s="124"/>
      <c r="F306" s="124"/>
      <c r="G306" s="124"/>
      <c r="H306" s="124"/>
      <c r="I306" s="124"/>
      <c r="J306" s="124"/>
      <c r="K306" s="124"/>
      <c r="L306" s="124"/>
      <c r="M306" s="124"/>
      <c r="N306" s="124"/>
      <c r="O306" s="124"/>
      <c r="P306" s="124"/>
      <c r="Q306" s="124"/>
      <c r="R306" s="124"/>
      <c r="S306" s="124"/>
    </row>
    <row r="307" spans="1:19" x14ac:dyDescent="0.25">
      <c r="A307" s="124"/>
      <c r="B307" s="124"/>
      <c r="C307" s="124"/>
      <c r="D307" s="124"/>
      <c r="E307" s="124"/>
      <c r="F307" s="124"/>
      <c r="G307" s="124"/>
      <c r="H307" s="124"/>
      <c r="I307" s="124"/>
      <c r="J307" s="124"/>
      <c r="K307" s="124"/>
      <c r="L307" s="124"/>
      <c r="M307" s="124"/>
      <c r="N307" s="124"/>
      <c r="O307" s="124"/>
      <c r="P307" s="124"/>
      <c r="Q307" s="124"/>
      <c r="R307" s="124"/>
      <c r="S307" s="124"/>
    </row>
    <row r="308" spans="1:19" x14ac:dyDescent="0.25">
      <c r="A308" s="124"/>
      <c r="B308" s="124"/>
      <c r="C308" s="124"/>
      <c r="D308" s="124"/>
      <c r="E308" s="124"/>
      <c r="F308" s="124"/>
      <c r="G308" s="124"/>
      <c r="H308" s="124"/>
      <c r="I308" s="124"/>
      <c r="J308" s="124"/>
      <c r="K308" s="124"/>
      <c r="L308" s="124"/>
      <c r="M308" s="124"/>
      <c r="N308" s="124"/>
      <c r="O308" s="124"/>
      <c r="P308" s="124"/>
      <c r="Q308" s="124"/>
      <c r="R308" s="124"/>
      <c r="S308" s="124"/>
    </row>
    <row r="309" spans="1:19" x14ac:dyDescent="0.25">
      <c r="A309" s="124"/>
      <c r="B309" s="124"/>
      <c r="C309" s="124"/>
      <c r="D309" s="124"/>
      <c r="E309" s="124"/>
      <c r="F309" s="124"/>
      <c r="G309" s="124"/>
      <c r="H309" s="124"/>
      <c r="I309" s="124"/>
      <c r="J309" s="124"/>
      <c r="K309" s="124"/>
      <c r="L309" s="124"/>
      <c r="M309" s="124"/>
      <c r="N309" s="124"/>
      <c r="O309" s="124"/>
      <c r="P309" s="124"/>
      <c r="Q309" s="124"/>
      <c r="R309" s="124"/>
      <c r="S309" s="124"/>
    </row>
    <row r="310" spans="1:19" x14ac:dyDescent="0.25">
      <c r="A310" s="124"/>
      <c r="B310" s="124"/>
      <c r="C310" s="124"/>
      <c r="D310" s="124"/>
      <c r="E310" s="124"/>
      <c r="F310" s="124"/>
      <c r="G310" s="124"/>
      <c r="H310" s="124"/>
      <c r="I310" s="124"/>
      <c r="J310" s="124"/>
      <c r="K310" s="124"/>
      <c r="L310" s="124"/>
      <c r="M310" s="124"/>
      <c r="N310" s="124"/>
      <c r="O310" s="124"/>
      <c r="P310" s="124"/>
      <c r="Q310" s="124"/>
      <c r="R310" s="124"/>
      <c r="S310" s="124"/>
    </row>
    <row r="311" spans="1:19" x14ac:dyDescent="0.25">
      <c r="A311" s="124"/>
      <c r="B311" s="124"/>
      <c r="C311" s="124"/>
      <c r="D311" s="124"/>
      <c r="E311" s="124"/>
      <c r="F311" s="124"/>
      <c r="G311" s="124"/>
      <c r="H311" s="124"/>
      <c r="I311" s="124"/>
      <c r="J311" s="124"/>
      <c r="K311" s="124"/>
      <c r="L311" s="124"/>
      <c r="M311" s="124"/>
      <c r="N311" s="124"/>
      <c r="O311" s="124"/>
      <c r="P311" s="124"/>
      <c r="Q311" s="124"/>
      <c r="R311" s="124"/>
      <c r="S311" s="124"/>
    </row>
    <row r="312" spans="1:19" x14ac:dyDescent="0.25">
      <c r="A312" s="124"/>
      <c r="B312" s="124"/>
      <c r="C312" s="124"/>
      <c r="D312" s="124"/>
      <c r="E312" s="124"/>
      <c r="F312" s="124"/>
      <c r="G312" s="124"/>
      <c r="H312" s="124"/>
      <c r="I312" s="124"/>
      <c r="J312" s="124"/>
      <c r="K312" s="124"/>
      <c r="L312" s="124"/>
      <c r="M312" s="124"/>
      <c r="N312" s="124"/>
      <c r="O312" s="124"/>
      <c r="P312" s="124"/>
      <c r="Q312" s="124"/>
      <c r="R312" s="124"/>
      <c r="S312" s="124"/>
    </row>
    <row r="313" spans="1:19" x14ac:dyDescent="0.25">
      <c r="A313" s="124"/>
      <c r="B313" s="124"/>
      <c r="C313" s="124"/>
      <c r="D313" s="124"/>
      <c r="E313" s="124"/>
      <c r="F313" s="124"/>
      <c r="G313" s="124"/>
      <c r="H313" s="124"/>
      <c r="I313" s="124"/>
      <c r="J313" s="124"/>
      <c r="K313" s="124"/>
      <c r="L313" s="124"/>
      <c r="M313" s="124"/>
      <c r="N313" s="124"/>
      <c r="O313" s="124"/>
      <c r="P313" s="124"/>
      <c r="Q313" s="124"/>
      <c r="R313" s="124"/>
      <c r="S313" s="124"/>
    </row>
    <row r="314" spans="1:19" x14ac:dyDescent="0.25">
      <c r="A314" s="124"/>
      <c r="B314" s="124"/>
      <c r="C314" s="124"/>
      <c r="D314" s="124"/>
      <c r="E314" s="124"/>
      <c r="F314" s="124"/>
      <c r="G314" s="124"/>
      <c r="H314" s="124"/>
      <c r="I314" s="124"/>
      <c r="J314" s="124"/>
      <c r="K314" s="124"/>
      <c r="L314" s="124"/>
      <c r="M314" s="124"/>
      <c r="N314" s="124"/>
      <c r="O314" s="124"/>
      <c r="P314" s="124"/>
      <c r="Q314" s="124"/>
      <c r="R314" s="124"/>
      <c r="S314" s="124"/>
    </row>
    <row r="315" spans="1:19" x14ac:dyDescent="0.25">
      <c r="A315" s="124"/>
      <c r="B315" s="124"/>
      <c r="C315" s="124"/>
      <c r="D315" s="124"/>
      <c r="E315" s="124"/>
      <c r="F315" s="124"/>
      <c r="G315" s="124"/>
      <c r="H315" s="124"/>
      <c r="I315" s="124"/>
      <c r="J315" s="124"/>
      <c r="K315" s="124"/>
      <c r="L315" s="124"/>
      <c r="M315" s="124"/>
      <c r="N315" s="124"/>
      <c r="O315" s="124"/>
      <c r="P315" s="124"/>
      <c r="Q315" s="124"/>
      <c r="R315" s="124"/>
      <c r="S315" s="124"/>
    </row>
    <row r="316" spans="1:19" x14ac:dyDescent="0.25">
      <c r="A316" s="124"/>
      <c r="B316" s="124"/>
      <c r="C316" s="124"/>
      <c r="D316" s="124"/>
      <c r="E316" s="124"/>
      <c r="F316" s="124"/>
      <c r="G316" s="124"/>
      <c r="H316" s="124"/>
      <c r="I316" s="124"/>
      <c r="J316" s="124"/>
      <c r="K316" s="124"/>
      <c r="L316" s="124"/>
      <c r="M316" s="124"/>
      <c r="N316" s="124"/>
      <c r="O316" s="124"/>
      <c r="P316" s="124"/>
      <c r="Q316" s="124"/>
      <c r="R316" s="124"/>
      <c r="S316" s="124"/>
    </row>
    <row r="317" spans="1:19" x14ac:dyDescent="0.25">
      <c r="A317" s="124"/>
      <c r="B317" s="124"/>
      <c r="C317" s="124"/>
      <c r="D317" s="124"/>
      <c r="E317" s="124"/>
      <c r="F317" s="124"/>
      <c r="G317" s="124"/>
      <c r="H317" s="124"/>
      <c r="I317" s="124"/>
      <c r="J317" s="124"/>
      <c r="K317" s="124"/>
      <c r="L317" s="124"/>
      <c r="M317" s="124"/>
      <c r="N317" s="124"/>
      <c r="O317" s="124"/>
      <c r="P317" s="124"/>
      <c r="Q317" s="124"/>
      <c r="R317" s="124"/>
      <c r="S317" s="124"/>
    </row>
    <row r="318" spans="1:19" x14ac:dyDescent="0.25">
      <c r="A318" s="124"/>
      <c r="B318" s="124"/>
      <c r="C318" s="124"/>
      <c r="D318" s="124"/>
      <c r="E318" s="124"/>
      <c r="F318" s="124"/>
      <c r="G318" s="124"/>
      <c r="H318" s="124"/>
      <c r="I318" s="124"/>
      <c r="J318" s="124"/>
      <c r="K318" s="124"/>
      <c r="L318" s="124"/>
      <c r="M318" s="124"/>
      <c r="N318" s="124"/>
      <c r="O318" s="124"/>
      <c r="P318" s="124"/>
      <c r="Q318" s="124"/>
      <c r="R318" s="124"/>
      <c r="S318" s="124"/>
    </row>
    <row r="319" spans="1:19" x14ac:dyDescent="0.25">
      <c r="A319" s="124"/>
      <c r="B319" s="124"/>
      <c r="C319" s="124"/>
      <c r="D319" s="124"/>
      <c r="E319" s="124"/>
      <c r="F319" s="124"/>
      <c r="G319" s="124"/>
      <c r="H319" s="124"/>
      <c r="I319" s="124"/>
      <c r="J319" s="124"/>
      <c r="K319" s="124"/>
      <c r="L319" s="124"/>
      <c r="M319" s="124"/>
      <c r="N319" s="124"/>
      <c r="O319" s="124"/>
      <c r="P319" s="124"/>
      <c r="Q319" s="124"/>
      <c r="R319" s="124"/>
      <c r="S319" s="124"/>
    </row>
    <row r="320" spans="1:19" x14ac:dyDescent="0.25">
      <c r="A320" s="124"/>
      <c r="B320" s="124"/>
      <c r="C320" s="124"/>
      <c r="D320" s="124"/>
      <c r="E320" s="124"/>
      <c r="F320" s="124"/>
      <c r="G320" s="124"/>
      <c r="H320" s="124"/>
      <c r="I320" s="124"/>
      <c r="J320" s="124"/>
      <c r="K320" s="124"/>
      <c r="L320" s="124"/>
      <c r="M320" s="124"/>
      <c r="N320" s="124"/>
      <c r="O320" s="124"/>
      <c r="P320" s="124"/>
      <c r="Q320" s="124"/>
      <c r="R320" s="124"/>
      <c r="S320" s="124"/>
    </row>
    <row r="321" spans="1:19" x14ac:dyDescent="0.25">
      <c r="A321" s="124"/>
      <c r="B321" s="124"/>
      <c r="C321" s="124"/>
      <c r="D321" s="124"/>
      <c r="E321" s="124"/>
      <c r="F321" s="124"/>
      <c r="G321" s="124"/>
      <c r="H321" s="124"/>
      <c r="I321" s="124"/>
      <c r="J321" s="124"/>
      <c r="K321" s="124"/>
      <c r="L321" s="124"/>
      <c r="M321" s="124"/>
      <c r="N321" s="124"/>
      <c r="O321" s="124"/>
      <c r="P321" s="124"/>
      <c r="Q321" s="124"/>
      <c r="R321" s="124"/>
      <c r="S321" s="124"/>
    </row>
    <row r="322" spans="1:19" x14ac:dyDescent="0.25">
      <c r="A322" s="124"/>
      <c r="B322" s="124"/>
      <c r="C322" s="124"/>
      <c r="D322" s="124"/>
      <c r="E322" s="124"/>
      <c r="F322" s="124"/>
      <c r="G322" s="124"/>
      <c r="H322" s="124"/>
      <c r="I322" s="124"/>
      <c r="J322" s="124"/>
      <c r="K322" s="124"/>
      <c r="L322" s="124"/>
      <c r="M322" s="124"/>
      <c r="N322" s="124"/>
      <c r="O322" s="124"/>
      <c r="P322" s="124"/>
      <c r="Q322" s="124"/>
      <c r="R322" s="124"/>
      <c r="S322" s="124"/>
    </row>
    <row r="323" spans="1:19" x14ac:dyDescent="0.25">
      <c r="A323" s="124"/>
      <c r="B323" s="124"/>
      <c r="C323" s="124"/>
      <c r="D323" s="124"/>
      <c r="E323" s="124"/>
      <c r="F323" s="124"/>
      <c r="G323" s="124"/>
      <c r="H323" s="124"/>
      <c r="I323" s="124"/>
      <c r="J323" s="124"/>
      <c r="K323" s="124"/>
      <c r="L323" s="124"/>
      <c r="M323" s="124"/>
      <c r="N323" s="124"/>
      <c r="O323" s="124"/>
      <c r="P323" s="124"/>
      <c r="Q323" s="124"/>
      <c r="R323" s="124"/>
      <c r="S323" s="124"/>
    </row>
    <row r="324" spans="1:19" x14ac:dyDescent="0.25">
      <c r="A324" s="124"/>
      <c r="B324" s="124"/>
      <c r="C324" s="124"/>
      <c r="D324" s="124"/>
      <c r="E324" s="124"/>
      <c r="F324" s="124"/>
      <c r="G324" s="124"/>
      <c r="H324" s="124"/>
      <c r="I324" s="124"/>
      <c r="J324" s="124"/>
      <c r="K324" s="124"/>
      <c r="L324" s="124"/>
      <c r="M324" s="124"/>
      <c r="N324" s="124"/>
      <c r="O324" s="124"/>
      <c r="P324" s="124"/>
      <c r="Q324" s="124"/>
      <c r="R324" s="124"/>
      <c r="S324" s="124"/>
    </row>
    <row r="325" spans="1:19" x14ac:dyDescent="0.25">
      <c r="A325" s="124"/>
      <c r="B325" s="124"/>
      <c r="C325" s="124"/>
      <c r="D325" s="124"/>
      <c r="E325" s="124"/>
      <c r="F325" s="124"/>
      <c r="G325" s="124"/>
      <c r="H325" s="124"/>
      <c r="I325" s="124"/>
      <c r="J325" s="124"/>
      <c r="K325" s="124"/>
      <c r="L325" s="124"/>
      <c r="M325" s="124"/>
      <c r="N325" s="124"/>
      <c r="O325" s="124"/>
      <c r="P325" s="124"/>
      <c r="Q325" s="124"/>
      <c r="R325" s="124"/>
      <c r="S325" s="124"/>
    </row>
    <row r="326" spans="1:19" x14ac:dyDescent="0.25">
      <c r="A326" s="124"/>
      <c r="B326" s="124"/>
      <c r="C326" s="124"/>
      <c r="D326" s="124"/>
      <c r="E326" s="124"/>
      <c r="F326" s="124"/>
      <c r="G326" s="124"/>
      <c r="H326" s="124"/>
      <c r="I326" s="124"/>
      <c r="J326" s="124"/>
      <c r="K326" s="124"/>
      <c r="L326" s="124"/>
      <c r="M326" s="124"/>
      <c r="N326" s="124"/>
      <c r="O326" s="124"/>
      <c r="P326" s="124"/>
      <c r="Q326" s="124"/>
      <c r="R326" s="124"/>
      <c r="S326" s="124"/>
    </row>
    <row r="327" spans="1:19" x14ac:dyDescent="0.25">
      <c r="A327" s="124"/>
      <c r="B327" s="124"/>
      <c r="C327" s="124"/>
      <c r="D327" s="124"/>
      <c r="E327" s="124"/>
      <c r="F327" s="124"/>
      <c r="G327" s="124"/>
      <c r="H327" s="124"/>
      <c r="I327" s="124"/>
      <c r="J327" s="124"/>
      <c r="K327" s="124"/>
      <c r="L327" s="124"/>
      <c r="M327" s="124"/>
      <c r="N327" s="124"/>
      <c r="O327" s="124"/>
      <c r="P327" s="124"/>
      <c r="Q327" s="124"/>
      <c r="R327" s="124"/>
      <c r="S327" s="124"/>
    </row>
    <row r="328" spans="1:19" x14ac:dyDescent="0.25">
      <c r="A328" s="124"/>
      <c r="B328" s="124"/>
      <c r="C328" s="124"/>
      <c r="D328" s="124"/>
      <c r="E328" s="124"/>
      <c r="F328" s="124"/>
      <c r="G328" s="124"/>
      <c r="H328" s="124"/>
      <c r="I328" s="124"/>
      <c r="J328" s="124"/>
      <c r="K328" s="124"/>
      <c r="L328" s="124"/>
      <c r="M328" s="124"/>
      <c r="N328" s="124"/>
      <c r="O328" s="124"/>
      <c r="P328" s="124"/>
      <c r="Q328" s="124"/>
      <c r="R328" s="124"/>
      <c r="S328" s="124"/>
    </row>
    <row r="329" spans="1:19" x14ac:dyDescent="0.25">
      <c r="A329" s="124"/>
      <c r="B329" s="124"/>
      <c r="C329" s="124"/>
      <c r="D329" s="124"/>
      <c r="E329" s="124"/>
      <c r="F329" s="124"/>
      <c r="G329" s="124"/>
      <c r="H329" s="124"/>
      <c r="I329" s="124"/>
      <c r="J329" s="124"/>
      <c r="K329" s="124"/>
      <c r="L329" s="124"/>
      <c r="M329" s="124"/>
      <c r="N329" s="124"/>
      <c r="O329" s="124"/>
      <c r="P329" s="124"/>
      <c r="Q329" s="124"/>
      <c r="R329" s="124"/>
      <c r="S329" s="124"/>
    </row>
    <row r="330" spans="1:19" x14ac:dyDescent="0.25">
      <c r="A330" s="124"/>
      <c r="B330" s="124"/>
      <c r="C330" s="124"/>
      <c r="D330" s="124"/>
      <c r="E330" s="124"/>
      <c r="F330" s="124"/>
      <c r="G330" s="124"/>
      <c r="H330" s="124"/>
      <c r="I330" s="124"/>
      <c r="J330" s="124"/>
      <c r="K330" s="124"/>
      <c r="L330" s="124"/>
      <c r="M330" s="124"/>
      <c r="N330" s="124"/>
      <c r="O330" s="124"/>
      <c r="P330" s="124"/>
      <c r="Q330" s="124"/>
      <c r="R330" s="124"/>
      <c r="S330" s="124"/>
    </row>
    <row r="331" spans="1:19" x14ac:dyDescent="0.25">
      <c r="A331" s="124"/>
      <c r="B331" s="124"/>
      <c r="C331" s="124"/>
      <c r="D331" s="124"/>
      <c r="E331" s="124"/>
      <c r="F331" s="124"/>
      <c r="G331" s="124"/>
      <c r="H331" s="124"/>
      <c r="I331" s="124"/>
      <c r="J331" s="124"/>
      <c r="K331" s="124"/>
      <c r="L331" s="124"/>
      <c r="M331" s="124"/>
      <c r="N331" s="124"/>
      <c r="O331" s="124"/>
      <c r="P331" s="124"/>
      <c r="Q331" s="124"/>
      <c r="R331" s="124"/>
      <c r="S331" s="124"/>
    </row>
    <row r="332" spans="1:19" x14ac:dyDescent="0.25">
      <c r="A332" s="124"/>
      <c r="B332" s="124"/>
      <c r="C332" s="124"/>
      <c r="D332" s="124"/>
      <c r="E332" s="124"/>
      <c r="F332" s="124"/>
      <c r="G332" s="124"/>
      <c r="H332" s="124"/>
      <c r="I332" s="124"/>
      <c r="J332" s="124"/>
      <c r="K332" s="124"/>
      <c r="L332" s="124"/>
      <c r="M332" s="124"/>
      <c r="N332" s="124"/>
      <c r="O332" s="124"/>
      <c r="P332" s="124"/>
      <c r="Q332" s="124"/>
      <c r="R332" s="124"/>
      <c r="S332" s="124"/>
    </row>
    <row r="333" spans="1:19" x14ac:dyDescent="0.25">
      <c r="A333" s="124"/>
      <c r="B333" s="124"/>
      <c r="C333" s="124"/>
      <c r="D333" s="124"/>
      <c r="E333" s="124"/>
      <c r="F333" s="124"/>
      <c r="G333" s="124"/>
      <c r="H333" s="124"/>
      <c r="I333" s="124"/>
      <c r="J333" s="124"/>
      <c r="K333" s="124"/>
      <c r="L333" s="124"/>
      <c r="M333" s="124"/>
      <c r="N333" s="124"/>
      <c r="O333" s="124"/>
      <c r="P333" s="124"/>
      <c r="Q333" s="124"/>
      <c r="R333" s="124"/>
      <c r="S333" s="124"/>
    </row>
    <row r="334" spans="1:19" x14ac:dyDescent="0.25">
      <c r="A334" s="124"/>
      <c r="B334" s="124"/>
      <c r="C334" s="124"/>
      <c r="D334" s="124"/>
      <c r="E334" s="124"/>
      <c r="F334" s="124"/>
      <c r="G334" s="124"/>
      <c r="H334" s="124"/>
      <c r="I334" s="124"/>
      <c r="J334" s="124"/>
      <c r="K334" s="124"/>
      <c r="L334" s="124"/>
      <c r="M334" s="124"/>
      <c r="N334" s="124"/>
      <c r="O334" s="124"/>
      <c r="P334" s="124"/>
      <c r="Q334" s="124"/>
      <c r="R334" s="124"/>
      <c r="S334" s="124"/>
    </row>
    <row r="335" spans="1:19" x14ac:dyDescent="0.25">
      <c r="A335" s="124"/>
      <c r="B335" s="124"/>
      <c r="C335" s="124"/>
      <c r="D335" s="124"/>
      <c r="E335" s="124"/>
      <c r="F335" s="124"/>
      <c r="G335" s="124"/>
      <c r="H335" s="124"/>
      <c r="I335" s="124"/>
      <c r="J335" s="124"/>
      <c r="K335" s="124"/>
      <c r="L335" s="124"/>
      <c r="M335" s="124"/>
      <c r="N335" s="124"/>
      <c r="O335" s="124"/>
      <c r="P335" s="124"/>
      <c r="Q335" s="124"/>
      <c r="R335" s="124"/>
      <c r="S335" s="124"/>
    </row>
    <row r="336" spans="1:19" x14ac:dyDescent="0.25">
      <c r="A336" s="124"/>
      <c r="B336" s="124"/>
      <c r="C336" s="124"/>
      <c r="D336" s="124"/>
      <c r="E336" s="124"/>
      <c r="F336" s="124"/>
      <c r="G336" s="124"/>
      <c r="H336" s="124"/>
      <c r="I336" s="124"/>
      <c r="J336" s="124"/>
      <c r="K336" s="124"/>
      <c r="L336" s="124"/>
      <c r="M336" s="124"/>
      <c r="N336" s="124"/>
      <c r="O336" s="124"/>
      <c r="P336" s="124"/>
      <c r="Q336" s="124"/>
      <c r="R336" s="124"/>
      <c r="S336" s="124"/>
    </row>
    <row r="337" spans="1:19" x14ac:dyDescent="0.25">
      <c r="A337" s="124"/>
      <c r="B337" s="124"/>
      <c r="C337" s="124"/>
      <c r="D337" s="124"/>
      <c r="E337" s="124"/>
      <c r="F337" s="124"/>
      <c r="G337" s="124"/>
      <c r="H337" s="124"/>
      <c r="I337" s="124"/>
      <c r="J337" s="124"/>
      <c r="K337" s="124"/>
      <c r="L337" s="124"/>
      <c r="M337" s="124"/>
      <c r="N337" s="124"/>
      <c r="O337" s="124"/>
      <c r="P337" s="124"/>
      <c r="Q337" s="124"/>
      <c r="R337" s="124"/>
      <c r="S337" s="124"/>
    </row>
    <row r="338" spans="1:19" x14ac:dyDescent="0.25">
      <c r="A338" s="124"/>
      <c r="B338" s="124"/>
      <c r="C338" s="124"/>
      <c r="D338" s="124"/>
      <c r="E338" s="124"/>
      <c r="F338" s="124"/>
      <c r="G338" s="124"/>
      <c r="H338" s="124"/>
      <c r="I338" s="124"/>
      <c r="J338" s="124"/>
      <c r="K338" s="124"/>
      <c r="L338" s="124"/>
      <c r="M338" s="124"/>
      <c r="N338" s="124"/>
      <c r="O338" s="124"/>
      <c r="P338" s="124"/>
      <c r="Q338" s="124"/>
      <c r="R338" s="124"/>
      <c r="S338" s="124"/>
    </row>
    <row r="339" spans="1:19" x14ac:dyDescent="0.25">
      <c r="A339" s="124"/>
      <c r="B339" s="124"/>
      <c r="C339" s="124"/>
      <c r="D339" s="124"/>
      <c r="E339" s="124"/>
      <c r="F339" s="124"/>
      <c r="G339" s="124"/>
      <c r="H339" s="124"/>
      <c r="I339" s="124"/>
      <c r="J339" s="124"/>
      <c r="K339" s="124"/>
      <c r="L339" s="124"/>
      <c r="M339" s="124"/>
      <c r="N339" s="124"/>
      <c r="O339" s="124"/>
      <c r="P339" s="124"/>
      <c r="Q339" s="124"/>
      <c r="R339" s="124"/>
      <c r="S339" s="124"/>
    </row>
    <row r="340" spans="1:19" x14ac:dyDescent="0.25">
      <c r="A340" s="124"/>
      <c r="B340" s="124"/>
      <c r="C340" s="124"/>
      <c r="D340" s="124"/>
      <c r="E340" s="124"/>
      <c r="F340" s="124"/>
      <c r="G340" s="124"/>
      <c r="H340" s="124"/>
      <c r="I340" s="124"/>
      <c r="J340" s="124"/>
      <c r="K340" s="124"/>
      <c r="L340" s="124"/>
      <c r="M340" s="124"/>
      <c r="N340" s="124"/>
      <c r="O340" s="124"/>
      <c r="P340" s="124"/>
      <c r="Q340" s="124"/>
      <c r="R340" s="124"/>
      <c r="S340" s="124"/>
    </row>
    <row r="341" spans="1:19" x14ac:dyDescent="0.25">
      <c r="A341" s="124"/>
      <c r="B341" s="124"/>
      <c r="C341" s="124"/>
      <c r="D341" s="124"/>
      <c r="E341" s="124"/>
      <c r="F341" s="124"/>
      <c r="G341" s="124"/>
      <c r="H341" s="124"/>
      <c r="I341" s="124"/>
      <c r="J341" s="124"/>
      <c r="K341" s="124"/>
      <c r="L341" s="124"/>
      <c r="M341" s="124"/>
      <c r="N341" s="124"/>
      <c r="O341" s="124"/>
      <c r="P341" s="124"/>
      <c r="Q341" s="124"/>
      <c r="R341" s="124"/>
      <c r="S341" s="124"/>
    </row>
    <row r="342" spans="1:19" x14ac:dyDescent="0.25">
      <c r="A342" s="124"/>
      <c r="B342" s="124"/>
      <c r="C342" s="124"/>
      <c r="D342" s="124"/>
      <c r="E342" s="124"/>
      <c r="F342" s="124"/>
      <c r="G342" s="124"/>
      <c r="H342" s="124"/>
      <c r="I342" s="124"/>
      <c r="J342" s="124"/>
      <c r="K342" s="124"/>
      <c r="L342" s="124"/>
      <c r="M342" s="124"/>
      <c r="N342" s="124"/>
      <c r="O342" s="124"/>
      <c r="P342" s="124"/>
      <c r="Q342" s="124"/>
      <c r="R342" s="124"/>
      <c r="S342" s="124"/>
    </row>
    <row r="343" spans="1:19" x14ac:dyDescent="0.25">
      <c r="A343" s="124"/>
      <c r="B343" s="124"/>
      <c r="C343" s="124"/>
      <c r="D343" s="124"/>
      <c r="E343" s="124"/>
      <c r="F343" s="124"/>
      <c r="G343" s="124"/>
      <c r="H343" s="124"/>
      <c r="I343" s="124"/>
      <c r="J343" s="124"/>
      <c r="K343" s="124"/>
      <c r="L343" s="124"/>
      <c r="M343" s="124"/>
      <c r="N343" s="124"/>
      <c r="O343" s="124"/>
      <c r="P343" s="124"/>
      <c r="Q343" s="124"/>
      <c r="R343" s="124"/>
      <c r="S343" s="124"/>
    </row>
    <row r="344" spans="1:19" x14ac:dyDescent="0.25">
      <c r="A344" s="124"/>
      <c r="B344" s="124"/>
      <c r="C344" s="124"/>
      <c r="D344" s="124"/>
      <c r="E344" s="124"/>
      <c r="F344" s="124"/>
      <c r="G344" s="124"/>
      <c r="H344" s="124"/>
      <c r="I344" s="124"/>
      <c r="J344" s="124"/>
      <c r="K344" s="124"/>
      <c r="L344" s="124"/>
      <c r="M344" s="124"/>
      <c r="N344" s="124"/>
      <c r="O344" s="124"/>
      <c r="P344" s="124"/>
      <c r="Q344" s="124"/>
      <c r="R344" s="124"/>
      <c r="S344" s="124"/>
    </row>
    <row r="345" spans="1:19" x14ac:dyDescent="0.25">
      <c r="A345" s="124"/>
      <c r="B345" s="124"/>
      <c r="C345" s="124"/>
      <c r="D345" s="124"/>
      <c r="E345" s="124"/>
      <c r="F345" s="124"/>
      <c r="G345" s="124"/>
      <c r="H345" s="124"/>
      <c r="I345" s="124"/>
      <c r="J345" s="124"/>
      <c r="K345" s="124"/>
      <c r="L345" s="124"/>
      <c r="M345" s="124"/>
      <c r="N345" s="124"/>
      <c r="O345" s="124"/>
      <c r="P345" s="124"/>
      <c r="Q345" s="124"/>
      <c r="R345" s="124"/>
      <c r="S345" s="124"/>
    </row>
    <row r="346" spans="1:19" x14ac:dyDescent="0.25">
      <c r="A346" s="124"/>
      <c r="B346" s="124"/>
      <c r="C346" s="124"/>
      <c r="D346" s="124"/>
      <c r="E346" s="124"/>
      <c r="F346" s="124"/>
      <c r="G346" s="124"/>
      <c r="H346" s="124"/>
      <c r="I346" s="124"/>
      <c r="J346" s="124"/>
      <c r="K346" s="124"/>
      <c r="L346" s="124"/>
      <c r="M346" s="124"/>
      <c r="N346" s="124"/>
      <c r="O346" s="124"/>
      <c r="P346" s="124"/>
      <c r="Q346" s="124"/>
      <c r="R346" s="124"/>
      <c r="S346" s="124"/>
    </row>
    <row r="347" spans="1:19" x14ac:dyDescent="0.25">
      <c r="A347" s="124"/>
      <c r="B347" s="124"/>
      <c r="C347" s="124"/>
      <c r="D347" s="124"/>
      <c r="E347" s="124"/>
      <c r="F347" s="124"/>
      <c r="G347" s="124"/>
      <c r="H347" s="124"/>
      <c r="I347" s="124"/>
      <c r="J347" s="124"/>
      <c r="K347" s="124"/>
      <c r="L347" s="124"/>
      <c r="M347" s="124"/>
      <c r="N347" s="124"/>
      <c r="O347" s="124"/>
      <c r="P347" s="124"/>
      <c r="Q347" s="124"/>
      <c r="R347" s="124"/>
      <c r="S347" s="124"/>
    </row>
    <row r="348" spans="1:19" x14ac:dyDescent="0.25">
      <c r="A348" s="124"/>
      <c r="B348" s="124"/>
      <c r="C348" s="124"/>
      <c r="D348" s="124"/>
      <c r="E348" s="124"/>
      <c r="F348" s="124"/>
      <c r="G348" s="124"/>
      <c r="H348" s="124"/>
      <c r="I348" s="124"/>
      <c r="J348" s="124"/>
      <c r="K348" s="124"/>
      <c r="L348" s="124"/>
      <c r="M348" s="124"/>
      <c r="N348" s="124"/>
      <c r="O348" s="124"/>
      <c r="P348" s="124"/>
      <c r="Q348" s="124"/>
      <c r="R348" s="124"/>
      <c r="S348" s="124"/>
    </row>
    <row r="349" spans="1:19" x14ac:dyDescent="0.25">
      <c r="A349" s="124"/>
      <c r="B349" s="124"/>
      <c r="C349" s="124"/>
      <c r="D349" s="124"/>
      <c r="E349" s="124"/>
      <c r="F349" s="124"/>
      <c r="G349" s="124"/>
      <c r="H349" s="124"/>
      <c r="I349" s="124"/>
      <c r="J349" s="124"/>
      <c r="K349" s="124"/>
      <c r="L349" s="124"/>
      <c r="M349" s="124"/>
      <c r="N349" s="124"/>
      <c r="O349" s="124"/>
      <c r="P349" s="124"/>
      <c r="Q349" s="124"/>
      <c r="R349" s="124"/>
      <c r="S349" s="124"/>
    </row>
    <row r="350" spans="1:19" x14ac:dyDescent="0.25">
      <c r="A350" s="124"/>
      <c r="B350" s="124"/>
      <c r="C350" s="124"/>
      <c r="D350" s="124"/>
      <c r="E350" s="124"/>
      <c r="F350" s="124"/>
      <c r="G350" s="124"/>
      <c r="H350" s="124"/>
      <c r="I350" s="124"/>
      <c r="J350" s="124"/>
      <c r="K350" s="124"/>
      <c r="L350" s="124"/>
      <c r="M350" s="124"/>
      <c r="N350" s="124"/>
      <c r="O350" s="124"/>
      <c r="P350" s="124"/>
      <c r="Q350" s="124"/>
      <c r="R350" s="124"/>
      <c r="S350" s="124"/>
    </row>
    <row r="351" spans="1:19" x14ac:dyDescent="0.25">
      <c r="A351" s="124"/>
      <c r="B351" s="124"/>
      <c r="C351" s="124"/>
      <c r="D351" s="124"/>
      <c r="E351" s="124"/>
      <c r="F351" s="124"/>
      <c r="G351" s="124"/>
      <c r="H351" s="124"/>
      <c r="I351" s="124"/>
      <c r="J351" s="124"/>
      <c r="K351" s="124"/>
      <c r="L351" s="124"/>
      <c r="M351" s="124"/>
      <c r="N351" s="124"/>
      <c r="O351" s="124"/>
      <c r="P351" s="124"/>
      <c r="Q351" s="124"/>
      <c r="R351" s="124"/>
      <c r="S351" s="124"/>
    </row>
    <row r="352" spans="1:19" x14ac:dyDescent="0.25">
      <c r="A352" s="124"/>
      <c r="B352" s="124"/>
      <c r="C352" s="124"/>
      <c r="D352" s="124"/>
      <c r="E352" s="124"/>
      <c r="F352" s="124"/>
      <c r="G352" s="124"/>
      <c r="H352" s="124"/>
      <c r="I352" s="124"/>
      <c r="J352" s="124"/>
      <c r="K352" s="124"/>
      <c r="L352" s="124"/>
      <c r="M352" s="124"/>
      <c r="N352" s="124"/>
      <c r="O352" s="124"/>
      <c r="P352" s="124"/>
      <c r="Q352" s="124"/>
      <c r="R352" s="124"/>
      <c r="S352" s="124"/>
    </row>
    <row r="353" spans="1:19" x14ac:dyDescent="0.25">
      <c r="A353" s="124"/>
      <c r="B353" s="124"/>
      <c r="C353" s="124"/>
      <c r="D353" s="124"/>
      <c r="E353" s="124"/>
      <c r="F353" s="124"/>
      <c r="G353" s="124"/>
      <c r="H353" s="124"/>
      <c r="I353" s="124"/>
      <c r="J353" s="124"/>
      <c r="K353" s="124"/>
      <c r="L353" s="124"/>
      <c r="M353" s="124"/>
      <c r="N353" s="124"/>
      <c r="O353" s="124"/>
      <c r="P353" s="124"/>
      <c r="Q353" s="124"/>
      <c r="R353" s="124"/>
      <c r="S353" s="124"/>
    </row>
    <row r="354" spans="1:19" x14ac:dyDescent="0.25">
      <c r="A354" s="124"/>
      <c r="B354" s="124"/>
      <c r="C354" s="124"/>
      <c r="D354" s="124"/>
      <c r="E354" s="124"/>
      <c r="F354" s="124"/>
      <c r="G354" s="124"/>
      <c r="H354" s="124"/>
      <c r="I354" s="124"/>
      <c r="J354" s="124"/>
      <c r="K354" s="124"/>
      <c r="L354" s="124"/>
      <c r="M354" s="124"/>
      <c r="N354" s="124"/>
      <c r="O354" s="124"/>
      <c r="P354" s="124"/>
      <c r="Q354" s="124"/>
      <c r="R354" s="124"/>
      <c r="S354" s="124"/>
    </row>
    <row r="355" spans="1:19" x14ac:dyDescent="0.25">
      <c r="A355" s="124"/>
      <c r="B355" s="124"/>
      <c r="C355" s="124"/>
      <c r="D355" s="124"/>
      <c r="E355" s="124"/>
      <c r="F355" s="124"/>
      <c r="G355" s="124"/>
      <c r="H355" s="124"/>
      <c r="I355" s="124"/>
      <c r="J355" s="124"/>
      <c r="K355" s="124"/>
      <c r="L355" s="124"/>
      <c r="M355" s="124"/>
      <c r="N355" s="124"/>
      <c r="O355" s="124"/>
      <c r="P355" s="124"/>
      <c r="Q355" s="124"/>
      <c r="R355" s="124"/>
      <c r="S355" s="124"/>
    </row>
    <row r="356" spans="1:19" x14ac:dyDescent="0.25">
      <c r="A356" s="124"/>
      <c r="B356" s="124"/>
      <c r="C356" s="124"/>
      <c r="D356" s="124"/>
      <c r="E356" s="124"/>
      <c r="F356" s="124"/>
      <c r="G356" s="124"/>
      <c r="H356" s="124"/>
      <c r="I356" s="124"/>
      <c r="J356" s="124"/>
      <c r="K356" s="124"/>
      <c r="L356" s="124"/>
      <c r="M356" s="124"/>
      <c r="N356" s="124"/>
      <c r="O356" s="124"/>
      <c r="P356" s="124"/>
      <c r="Q356" s="124"/>
      <c r="R356" s="124"/>
      <c r="S356" s="124"/>
    </row>
    <row r="357" spans="1:19" x14ac:dyDescent="0.25">
      <c r="A357" s="124"/>
      <c r="B357" s="124"/>
      <c r="C357" s="124"/>
      <c r="D357" s="124"/>
      <c r="E357" s="124"/>
      <c r="F357" s="124"/>
      <c r="G357" s="124"/>
      <c r="H357" s="124"/>
      <c r="I357" s="124"/>
      <c r="J357" s="124"/>
      <c r="K357" s="124"/>
      <c r="L357" s="124"/>
      <c r="M357" s="124"/>
      <c r="N357" s="124"/>
      <c r="O357" s="124"/>
      <c r="P357" s="124"/>
      <c r="Q357" s="124"/>
      <c r="R357" s="124"/>
      <c r="S357" s="124"/>
    </row>
    <row r="358" spans="1:19" x14ac:dyDescent="0.25">
      <c r="A358" s="124"/>
      <c r="B358" s="124"/>
      <c r="C358" s="124"/>
      <c r="D358" s="124"/>
      <c r="E358" s="124"/>
      <c r="F358" s="124"/>
      <c r="G358" s="124"/>
      <c r="H358" s="124"/>
      <c r="I358" s="124"/>
      <c r="J358" s="124"/>
      <c r="K358" s="124"/>
      <c r="L358" s="124"/>
      <c r="M358" s="124"/>
      <c r="N358" s="124"/>
      <c r="O358" s="124"/>
      <c r="P358" s="124"/>
      <c r="Q358" s="124"/>
      <c r="R358" s="124"/>
      <c r="S358" s="124"/>
    </row>
    <row r="359" spans="1:19" x14ac:dyDescent="0.25">
      <c r="A359" s="124"/>
      <c r="B359" s="124"/>
      <c r="C359" s="124"/>
      <c r="D359" s="124"/>
      <c r="E359" s="124"/>
      <c r="F359" s="124"/>
      <c r="G359" s="124"/>
      <c r="H359" s="124"/>
      <c r="I359" s="124"/>
      <c r="J359" s="124"/>
      <c r="K359" s="124"/>
      <c r="L359" s="124"/>
      <c r="M359" s="124"/>
      <c r="N359" s="124"/>
      <c r="O359" s="124"/>
      <c r="P359" s="124"/>
      <c r="Q359" s="124"/>
      <c r="R359" s="124"/>
      <c r="S359" s="124"/>
    </row>
    <row r="360" spans="1:19" x14ac:dyDescent="0.25">
      <c r="A360" s="124"/>
      <c r="B360" s="124"/>
      <c r="C360" s="124"/>
      <c r="D360" s="124"/>
      <c r="E360" s="124"/>
      <c r="F360" s="124"/>
      <c r="G360" s="124"/>
      <c r="H360" s="124"/>
      <c r="I360" s="124"/>
      <c r="J360" s="124"/>
      <c r="K360" s="124"/>
      <c r="L360" s="124"/>
      <c r="M360" s="124"/>
      <c r="N360" s="124"/>
      <c r="O360" s="124"/>
      <c r="P360" s="124"/>
      <c r="Q360" s="124"/>
      <c r="R360" s="124"/>
      <c r="S360" s="124"/>
    </row>
    <row r="361" spans="1:19" x14ac:dyDescent="0.25">
      <c r="A361" s="124"/>
      <c r="B361" s="124"/>
      <c r="C361" s="124"/>
      <c r="D361" s="124"/>
      <c r="E361" s="124"/>
      <c r="F361" s="124"/>
      <c r="G361" s="124"/>
      <c r="H361" s="124"/>
      <c r="I361" s="124"/>
      <c r="J361" s="124"/>
      <c r="K361" s="124"/>
      <c r="L361" s="124"/>
      <c r="M361" s="124"/>
      <c r="N361" s="124"/>
      <c r="O361" s="124"/>
      <c r="P361" s="124"/>
      <c r="Q361" s="124"/>
      <c r="R361" s="124"/>
      <c r="S361" s="124"/>
    </row>
    <row r="362" spans="1:19" x14ac:dyDescent="0.25">
      <c r="A362" s="124"/>
      <c r="B362" s="124"/>
      <c r="C362" s="124"/>
      <c r="D362" s="124"/>
      <c r="E362" s="124"/>
      <c r="F362" s="124"/>
      <c r="G362" s="124"/>
      <c r="H362" s="124"/>
      <c r="I362" s="124"/>
      <c r="J362" s="124"/>
      <c r="K362" s="124"/>
      <c r="L362" s="124"/>
      <c r="M362" s="124"/>
      <c r="N362" s="124"/>
      <c r="O362" s="124"/>
      <c r="P362" s="124"/>
      <c r="Q362" s="124"/>
      <c r="R362" s="124"/>
      <c r="S362" s="124"/>
    </row>
    <row r="363" spans="1:19" x14ac:dyDescent="0.25">
      <c r="A363" s="124"/>
      <c r="B363" s="124"/>
      <c r="C363" s="124"/>
      <c r="D363" s="124"/>
      <c r="E363" s="124"/>
      <c r="F363" s="124"/>
      <c r="G363" s="124"/>
      <c r="H363" s="124"/>
      <c r="I363" s="124"/>
      <c r="J363" s="124"/>
      <c r="K363" s="124"/>
      <c r="L363" s="124"/>
      <c r="M363" s="124"/>
      <c r="N363" s="124"/>
      <c r="O363" s="124"/>
      <c r="P363" s="124"/>
      <c r="Q363" s="124"/>
      <c r="R363" s="124"/>
      <c r="S363" s="124"/>
    </row>
    <row r="364" spans="1:19" x14ac:dyDescent="0.25">
      <c r="A364" s="124"/>
      <c r="B364" s="124"/>
      <c r="C364" s="124"/>
      <c r="D364" s="124"/>
      <c r="E364" s="124"/>
      <c r="F364" s="124"/>
      <c r="G364" s="124"/>
      <c r="H364" s="124"/>
      <c r="I364" s="124"/>
      <c r="J364" s="124"/>
      <c r="K364" s="124"/>
      <c r="L364" s="124"/>
      <c r="M364" s="124"/>
      <c r="N364" s="124"/>
      <c r="O364" s="124"/>
      <c r="P364" s="124"/>
      <c r="Q364" s="124"/>
      <c r="R364" s="124"/>
      <c r="S364" s="124"/>
    </row>
    <row r="365" spans="1:19" x14ac:dyDescent="0.25">
      <c r="A365" s="124"/>
      <c r="B365" s="124"/>
      <c r="C365" s="124"/>
      <c r="D365" s="124"/>
      <c r="E365" s="124"/>
      <c r="F365" s="124"/>
      <c r="G365" s="124"/>
      <c r="H365" s="124"/>
      <c r="I365" s="124"/>
      <c r="J365" s="124"/>
      <c r="K365" s="124"/>
      <c r="L365" s="124"/>
      <c r="M365" s="124"/>
      <c r="N365" s="124"/>
      <c r="O365" s="124"/>
      <c r="P365" s="124"/>
      <c r="Q365" s="124"/>
      <c r="R365" s="124"/>
      <c r="S365" s="124"/>
    </row>
    <row r="366" spans="1:19" x14ac:dyDescent="0.25">
      <c r="A366" s="124"/>
      <c r="B366" s="124"/>
      <c r="C366" s="124"/>
      <c r="D366" s="124"/>
      <c r="E366" s="124"/>
      <c r="F366" s="124"/>
      <c r="G366" s="124"/>
      <c r="H366" s="124"/>
      <c r="I366" s="124"/>
      <c r="J366" s="124"/>
      <c r="K366" s="124"/>
      <c r="L366" s="124"/>
      <c r="M366" s="124"/>
      <c r="N366" s="124"/>
      <c r="O366" s="124"/>
      <c r="P366" s="124"/>
      <c r="Q366" s="124"/>
      <c r="R366" s="124"/>
      <c r="S366" s="124"/>
    </row>
    <row r="367" spans="1:19" x14ac:dyDescent="0.25">
      <c r="A367" s="124"/>
      <c r="B367" s="124"/>
      <c r="C367" s="124"/>
      <c r="D367" s="124"/>
      <c r="E367" s="124"/>
      <c r="F367" s="124"/>
      <c r="G367" s="124"/>
      <c r="H367" s="124"/>
      <c r="I367" s="124"/>
      <c r="J367" s="124"/>
      <c r="K367" s="124"/>
      <c r="L367" s="124"/>
      <c r="M367" s="124"/>
      <c r="N367" s="124"/>
      <c r="O367" s="124"/>
      <c r="P367" s="124"/>
      <c r="Q367" s="124"/>
      <c r="R367" s="124"/>
      <c r="S367" s="124"/>
    </row>
    <row r="368" spans="1:19" x14ac:dyDescent="0.25">
      <c r="A368" s="124"/>
      <c r="B368" s="124"/>
      <c r="C368" s="124"/>
      <c r="D368" s="124"/>
      <c r="E368" s="124"/>
      <c r="F368" s="124"/>
      <c r="G368" s="124"/>
      <c r="H368" s="124"/>
      <c r="I368" s="124"/>
      <c r="J368" s="124"/>
      <c r="K368" s="124"/>
      <c r="L368" s="124"/>
      <c r="M368" s="124"/>
      <c r="N368" s="124"/>
      <c r="O368" s="124"/>
      <c r="P368" s="124"/>
      <c r="Q368" s="124"/>
      <c r="R368" s="124"/>
      <c r="S368" s="124"/>
    </row>
    <row r="369" spans="1:19" x14ac:dyDescent="0.25">
      <c r="A369" s="124"/>
      <c r="B369" s="124"/>
      <c r="C369" s="124"/>
      <c r="D369" s="124"/>
      <c r="E369" s="124"/>
      <c r="F369" s="124"/>
      <c r="G369" s="124"/>
      <c r="H369" s="124"/>
      <c r="I369" s="124"/>
      <c r="J369" s="124"/>
      <c r="K369" s="124"/>
      <c r="L369" s="124"/>
      <c r="M369" s="124"/>
      <c r="N369" s="124"/>
      <c r="O369" s="124"/>
      <c r="P369" s="124"/>
      <c r="Q369" s="124"/>
      <c r="R369" s="124"/>
      <c r="S369" s="124"/>
    </row>
    <row r="370" spans="1:19" x14ac:dyDescent="0.25">
      <c r="A370" s="124"/>
      <c r="B370" s="124"/>
      <c r="C370" s="124"/>
      <c r="D370" s="124"/>
      <c r="E370" s="124"/>
      <c r="F370" s="124"/>
      <c r="G370" s="124"/>
      <c r="H370" s="124"/>
      <c r="I370" s="124"/>
      <c r="J370" s="124"/>
      <c r="K370" s="124"/>
      <c r="L370" s="124"/>
      <c r="M370" s="124"/>
      <c r="N370" s="124"/>
      <c r="O370" s="124"/>
      <c r="P370" s="124"/>
      <c r="Q370" s="124"/>
      <c r="R370" s="124"/>
      <c r="S370" s="124"/>
    </row>
    <row r="371" spans="1:19" x14ac:dyDescent="0.25">
      <c r="A371" s="124"/>
      <c r="B371" s="124"/>
      <c r="C371" s="124"/>
      <c r="D371" s="124"/>
      <c r="E371" s="124"/>
      <c r="F371" s="124"/>
      <c r="G371" s="124"/>
      <c r="H371" s="124"/>
      <c r="I371" s="124"/>
      <c r="J371" s="124"/>
      <c r="K371" s="124"/>
      <c r="L371" s="124"/>
      <c r="M371" s="124"/>
      <c r="N371" s="124"/>
      <c r="O371" s="124"/>
      <c r="P371" s="124"/>
      <c r="Q371" s="124"/>
      <c r="R371" s="124"/>
      <c r="S371" s="124"/>
    </row>
    <row r="372" spans="1:19" x14ac:dyDescent="0.25">
      <c r="A372" s="124"/>
      <c r="B372" s="124"/>
      <c r="C372" s="124"/>
      <c r="D372" s="124"/>
      <c r="E372" s="124"/>
      <c r="F372" s="124"/>
      <c r="G372" s="124"/>
      <c r="H372" s="124"/>
      <c r="I372" s="124"/>
      <c r="J372" s="124"/>
      <c r="K372" s="124"/>
      <c r="L372" s="124"/>
      <c r="M372" s="124"/>
      <c r="N372" s="124"/>
      <c r="O372" s="124"/>
      <c r="P372" s="124"/>
      <c r="Q372" s="124"/>
      <c r="R372" s="124"/>
      <c r="S372" s="124"/>
    </row>
    <row r="373" spans="1:19" x14ac:dyDescent="0.25">
      <c r="A373" s="124"/>
      <c r="B373" s="124"/>
      <c r="C373" s="124"/>
      <c r="D373" s="124"/>
      <c r="E373" s="124"/>
      <c r="F373" s="124"/>
      <c r="G373" s="124"/>
      <c r="H373" s="124"/>
      <c r="I373" s="124"/>
      <c r="J373" s="124"/>
      <c r="K373" s="124"/>
      <c r="L373" s="124"/>
      <c r="M373" s="124"/>
      <c r="N373" s="124"/>
      <c r="O373" s="124"/>
      <c r="P373" s="124"/>
      <c r="Q373" s="124"/>
      <c r="R373" s="124"/>
      <c r="S373" s="124"/>
    </row>
    <row r="374" spans="1:19" x14ac:dyDescent="0.25">
      <c r="A374" s="124"/>
      <c r="B374" s="124"/>
      <c r="C374" s="124"/>
      <c r="D374" s="124"/>
      <c r="E374" s="124"/>
      <c r="F374" s="124"/>
      <c r="G374" s="124"/>
      <c r="H374" s="124"/>
      <c r="I374" s="124"/>
      <c r="J374" s="124"/>
      <c r="K374" s="124"/>
      <c r="L374" s="124"/>
      <c r="M374" s="124"/>
      <c r="N374" s="124"/>
      <c r="O374" s="124"/>
      <c r="P374" s="124"/>
      <c r="Q374" s="124"/>
      <c r="R374" s="124"/>
      <c r="S374" s="124"/>
    </row>
    <row r="375" spans="1:19" x14ac:dyDescent="0.25">
      <c r="A375" s="124"/>
      <c r="B375" s="124"/>
      <c r="C375" s="124"/>
      <c r="D375" s="124"/>
      <c r="E375" s="124"/>
      <c r="F375" s="124"/>
      <c r="G375" s="124"/>
      <c r="H375" s="124"/>
      <c r="I375" s="124"/>
      <c r="J375" s="124"/>
      <c r="K375" s="124"/>
      <c r="L375" s="124"/>
      <c r="M375" s="124"/>
      <c r="N375" s="124"/>
      <c r="O375" s="124"/>
      <c r="P375" s="124"/>
      <c r="Q375" s="124"/>
      <c r="R375" s="124"/>
      <c r="S375" s="124"/>
    </row>
    <row r="376" spans="1:19" x14ac:dyDescent="0.25">
      <c r="A376" s="124"/>
      <c r="B376" s="124"/>
      <c r="C376" s="124"/>
      <c r="D376" s="124"/>
      <c r="E376" s="124"/>
      <c r="F376" s="124"/>
      <c r="G376" s="124"/>
      <c r="H376" s="124"/>
      <c r="I376" s="124"/>
      <c r="J376" s="124"/>
      <c r="K376" s="124"/>
      <c r="L376" s="124"/>
      <c r="M376" s="124"/>
      <c r="N376" s="124"/>
      <c r="O376" s="124"/>
      <c r="P376" s="124"/>
      <c r="Q376" s="124"/>
      <c r="R376" s="124"/>
      <c r="S376" s="124"/>
    </row>
    <row r="377" spans="1:19" x14ac:dyDescent="0.25">
      <c r="A377" s="124"/>
      <c r="B377" s="124"/>
      <c r="C377" s="124"/>
      <c r="D377" s="124"/>
      <c r="E377" s="124"/>
      <c r="F377" s="124"/>
      <c r="G377" s="124"/>
      <c r="H377" s="124"/>
      <c r="I377" s="124"/>
      <c r="J377" s="124"/>
      <c r="K377" s="124"/>
      <c r="L377" s="124"/>
      <c r="M377" s="124"/>
      <c r="N377" s="124"/>
      <c r="O377" s="124"/>
      <c r="P377" s="124"/>
      <c r="Q377" s="124"/>
      <c r="R377" s="124"/>
      <c r="S377" s="124"/>
    </row>
    <row r="378" spans="1:19" x14ac:dyDescent="0.25">
      <c r="A378" s="124"/>
      <c r="B378" s="124"/>
      <c r="C378" s="124"/>
      <c r="D378" s="124"/>
      <c r="E378" s="124"/>
      <c r="F378" s="124"/>
      <c r="G378" s="124"/>
      <c r="H378" s="124"/>
      <c r="I378" s="124"/>
      <c r="J378" s="124"/>
      <c r="K378" s="124"/>
      <c r="L378" s="124"/>
      <c r="M378" s="124"/>
      <c r="N378" s="124"/>
      <c r="O378" s="124"/>
      <c r="P378" s="124"/>
      <c r="Q378" s="124"/>
      <c r="R378" s="124"/>
      <c r="S378" s="124"/>
    </row>
    <row r="379" spans="1:19" x14ac:dyDescent="0.25">
      <c r="A379" s="124"/>
      <c r="B379" s="124"/>
      <c r="C379" s="124"/>
      <c r="D379" s="124"/>
      <c r="E379" s="124"/>
      <c r="F379" s="124"/>
      <c r="G379" s="124"/>
      <c r="H379" s="124"/>
      <c r="I379" s="124"/>
      <c r="J379" s="124"/>
      <c r="K379" s="124"/>
      <c r="L379" s="124"/>
      <c r="M379" s="124"/>
      <c r="N379" s="124"/>
      <c r="O379" s="124"/>
      <c r="P379" s="124"/>
      <c r="Q379" s="124"/>
      <c r="R379" s="124"/>
      <c r="S379" s="124"/>
    </row>
    <row r="380" spans="1:19" x14ac:dyDescent="0.25">
      <c r="A380" s="124"/>
      <c r="B380" s="124"/>
      <c r="C380" s="124"/>
      <c r="D380" s="124"/>
      <c r="E380" s="124"/>
      <c r="F380" s="124"/>
      <c r="G380" s="124"/>
      <c r="H380" s="124"/>
      <c r="I380" s="124"/>
      <c r="J380" s="124"/>
      <c r="K380" s="124"/>
      <c r="L380" s="124"/>
      <c r="M380" s="124"/>
      <c r="N380" s="124"/>
      <c r="O380" s="124"/>
      <c r="P380" s="124"/>
      <c r="Q380" s="124"/>
      <c r="R380" s="124"/>
      <c r="S380" s="124"/>
    </row>
    <row r="381" spans="1:19" x14ac:dyDescent="0.25">
      <c r="A381" s="124"/>
      <c r="B381" s="124"/>
      <c r="C381" s="124"/>
      <c r="D381" s="124"/>
      <c r="E381" s="124"/>
      <c r="F381" s="124"/>
      <c r="G381" s="124"/>
      <c r="H381" s="124"/>
      <c r="I381" s="124"/>
      <c r="J381" s="124"/>
      <c r="K381" s="124"/>
      <c r="L381" s="124"/>
      <c r="M381" s="124"/>
      <c r="N381" s="124"/>
      <c r="O381" s="124"/>
      <c r="P381" s="124"/>
      <c r="Q381" s="124"/>
      <c r="R381" s="124"/>
      <c r="S381" s="124"/>
    </row>
    <row r="382" spans="1:19" x14ac:dyDescent="0.25">
      <c r="A382" s="124"/>
      <c r="B382" s="124"/>
      <c r="C382" s="124"/>
      <c r="D382" s="124"/>
      <c r="E382" s="124"/>
      <c r="F382" s="124"/>
      <c r="G382" s="124"/>
      <c r="H382" s="124"/>
      <c r="I382" s="124"/>
      <c r="J382" s="124"/>
      <c r="K382" s="124"/>
      <c r="L382" s="124"/>
      <c r="M382" s="124"/>
      <c r="N382" s="124"/>
      <c r="O382" s="124"/>
      <c r="P382" s="124"/>
      <c r="Q382" s="124"/>
      <c r="R382" s="124"/>
      <c r="S382" s="124"/>
    </row>
    <row r="383" spans="1:19" x14ac:dyDescent="0.25">
      <c r="A383" s="124"/>
      <c r="B383" s="124"/>
      <c r="C383" s="124"/>
      <c r="D383" s="124"/>
      <c r="E383" s="124"/>
      <c r="F383" s="124"/>
      <c r="G383" s="124"/>
      <c r="H383" s="124"/>
      <c r="I383" s="124"/>
      <c r="J383" s="124"/>
      <c r="K383" s="124"/>
      <c r="L383" s="124"/>
      <c r="M383" s="124"/>
      <c r="N383" s="124"/>
      <c r="O383" s="124"/>
      <c r="P383" s="124"/>
      <c r="Q383" s="124"/>
      <c r="R383" s="124"/>
      <c r="S383" s="124"/>
    </row>
    <row r="384" spans="1:19" x14ac:dyDescent="0.25">
      <c r="A384" s="124"/>
      <c r="B384" s="124"/>
      <c r="C384" s="124"/>
      <c r="D384" s="124"/>
      <c r="E384" s="124"/>
      <c r="F384" s="124"/>
      <c r="G384" s="124"/>
      <c r="H384" s="124"/>
      <c r="I384" s="124"/>
      <c r="J384" s="124"/>
      <c r="K384" s="124"/>
      <c r="L384" s="124"/>
      <c r="M384" s="124"/>
      <c r="N384" s="124"/>
      <c r="O384" s="124"/>
      <c r="P384" s="124"/>
      <c r="Q384" s="124"/>
      <c r="R384" s="124"/>
      <c r="S384" s="124"/>
    </row>
    <row r="385" spans="1:19" x14ac:dyDescent="0.25">
      <c r="A385" s="124"/>
      <c r="B385" s="124"/>
      <c r="C385" s="124"/>
      <c r="D385" s="124"/>
      <c r="E385" s="124"/>
      <c r="F385" s="124"/>
      <c r="G385" s="124"/>
      <c r="H385" s="124"/>
      <c r="I385" s="124"/>
      <c r="J385" s="124"/>
      <c r="K385" s="124"/>
      <c r="L385" s="124"/>
      <c r="M385" s="124"/>
      <c r="N385" s="124"/>
      <c r="O385" s="124"/>
      <c r="P385" s="124"/>
      <c r="Q385" s="124"/>
      <c r="R385" s="124"/>
      <c r="S385" s="124"/>
    </row>
    <row r="386" spans="1:19" x14ac:dyDescent="0.25">
      <c r="A386" s="124"/>
      <c r="B386" s="124"/>
      <c r="C386" s="124"/>
      <c r="D386" s="124"/>
      <c r="E386" s="124"/>
      <c r="F386" s="124"/>
      <c r="G386" s="124"/>
      <c r="H386" s="124"/>
      <c r="I386" s="124"/>
      <c r="J386" s="124"/>
      <c r="K386" s="124"/>
      <c r="L386" s="124"/>
      <c r="M386" s="124"/>
      <c r="N386" s="124"/>
      <c r="O386" s="124"/>
      <c r="P386" s="124"/>
      <c r="Q386" s="124"/>
      <c r="R386" s="124"/>
      <c r="S386" s="124"/>
    </row>
    <row r="387" spans="1:19" x14ac:dyDescent="0.25">
      <c r="A387" s="124"/>
      <c r="B387" s="124"/>
      <c r="C387" s="124"/>
      <c r="D387" s="124"/>
      <c r="E387" s="124"/>
      <c r="F387" s="124"/>
      <c r="G387" s="124"/>
      <c r="H387" s="124"/>
      <c r="I387" s="124"/>
      <c r="J387" s="124"/>
      <c r="K387" s="124"/>
      <c r="L387" s="124"/>
      <c r="M387" s="124"/>
      <c r="N387" s="124"/>
      <c r="O387" s="124"/>
      <c r="P387" s="124"/>
      <c r="Q387" s="124"/>
      <c r="R387" s="124"/>
      <c r="S387" s="124"/>
    </row>
    <row r="388" spans="1:19" x14ac:dyDescent="0.25">
      <c r="A388" s="124"/>
      <c r="B388" s="124"/>
      <c r="C388" s="124"/>
      <c r="D388" s="124"/>
      <c r="E388" s="124"/>
      <c r="F388" s="124"/>
      <c r="G388" s="124"/>
      <c r="H388" s="124"/>
      <c r="I388" s="124"/>
      <c r="J388" s="124"/>
      <c r="K388" s="124"/>
      <c r="L388" s="124"/>
      <c r="M388" s="124"/>
      <c r="N388" s="124"/>
      <c r="O388" s="124"/>
      <c r="P388" s="124"/>
      <c r="Q388" s="124"/>
      <c r="R388" s="124"/>
      <c r="S388" s="124"/>
    </row>
    <row r="389" spans="1:19" x14ac:dyDescent="0.25">
      <c r="A389" s="124"/>
      <c r="B389" s="124"/>
      <c r="C389" s="124"/>
      <c r="D389" s="124"/>
      <c r="E389" s="124"/>
      <c r="F389" s="124"/>
      <c r="G389" s="124"/>
      <c r="H389" s="124"/>
      <c r="I389" s="124"/>
      <c r="J389" s="124"/>
      <c r="K389" s="124"/>
      <c r="L389" s="124"/>
      <c r="M389" s="124"/>
      <c r="N389" s="124"/>
      <c r="O389" s="124"/>
      <c r="P389" s="124"/>
      <c r="Q389" s="124"/>
      <c r="R389" s="124"/>
      <c r="S389" s="124"/>
    </row>
    <row r="390" spans="1:19" x14ac:dyDescent="0.25">
      <c r="A390" s="124"/>
      <c r="B390" s="124"/>
      <c r="C390" s="124"/>
      <c r="D390" s="124"/>
      <c r="E390" s="124"/>
      <c r="F390" s="124"/>
      <c r="G390" s="124"/>
      <c r="H390" s="124"/>
      <c r="I390" s="124"/>
      <c r="J390" s="124"/>
      <c r="K390" s="124"/>
      <c r="L390" s="124"/>
      <c r="M390" s="124"/>
      <c r="N390" s="124"/>
      <c r="O390" s="124"/>
      <c r="P390" s="124"/>
      <c r="Q390" s="124"/>
      <c r="R390" s="124"/>
      <c r="S390" s="124"/>
    </row>
    <row r="391" spans="1:19" x14ac:dyDescent="0.25">
      <c r="A391" s="124"/>
      <c r="B391" s="124"/>
      <c r="C391" s="124"/>
      <c r="D391" s="124"/>
      <c r="E391" s="124"/>
      <c r="F391" s="124"/>
      <c r="G391" s="124"/>
      <c r="H391" s="124"/>
      <c r="I391" s="124"/>
      <c r="J391" s="124"/>
      <c r="K391" s="124"/>
      <c r="L391" s="124"/>
      <c r="M391" s="124"/>
      <c r="N391" s="124"/>
      <c r="O391" s="124"/>
      <c r="P391" s="124"/>
      <c r="Q391" s="124"/>
      <c r="R391" s="124"/>
      <c r="S391" s="124"/>
    </row>
    <row r="392" spans="1:19" x14ac:dyDescent="0.25">
      <c r="A392" s="124"/>
      <c r="B392" s="124"/>
      <c r="C392" s="124"/>
      <c r="D392" s="124"/>
      <c r="E392" s="124"/>
      <c r="F392" s="124"/>
      <c r="G392" s="124"/>
      <c r="H392" s="124"/>
      <c r="I392" s="124"/>
      <c r="J392" s="124"/>
      <c r="K392" s="124"/>
      <c r="L392" s="124"/>
      <c r="M392" s="124"/>
      <c r="N392" s="124"/>
      <c r="O392" s="124"/>
      <c r="P392" s="124"/>
      <c r="Q392" s="124"/>
      <c r="R392" s="124"/>
      <c r="S392" s="124"/>
    </row>
    <row r="393" spans="1:19" x14ac:dyDescent="0.25">
      <c r="A393" s="124"/>
      <c r="B393" s="124"/>
      <c r="C393" s="124"/>
      <c r="D393" s="124"/>
      <c r="E393" s="124"/>
      <c r="F393" s="124"/>
      <c r="G393" s="124"/>
      <c r="H393" s="124"/>
      <c r="I393" s="124"/>
      <c r="J393" s="124"/>
      <c r="K393" s="124"/>
      <c r="L393" s="124"/>
      <c r="M393" s="124"/>
      <c r="N393" s="124"/>
      <c r="O393" s="124"/>
      <c r="P393" s="124"/>
      <c r="Q393" s="124"/>
      <c r="R393" s="124"/>
      <c r="S393" s="124"/>
    </row>
    <row r="394" spans="1:19" x14ac:dyDescent="0.25">
      <c r="A394" s="124"/>
      <c r="B394" s="124"/>
      <c r="C394" s="124"/>
      <c r="D394" s="124"/>
      <c r="E394" s="124"/>
      <c r="F394" s="124"/>
      <c r="G394" s="124"/>
      <c r="H394" s="124"/>
      <c r="I394" s="124"/>
      <c r="J394" s="124"/>
      <c r="K394" s="124"/>
      <c r="L394" s="124"/>
      <c r="M394" s="124"/>
      <c r="N394" s="124"/>
      <c r="O394" s="124"/>
      <c r="P394" s="124"/>
      <c r="Q394" s="124"/>
      <c r="R394" s="124"/>
      <c r="S394" s="124"/>
    </row>
    <row r="395" spans="1:19" x14ac:dyDescent="0.25">
      <c r="A395" s="124"/>
      <c r="B395" s="124"/>
      <c r="C395" s="124"/>
      <c r="D395" s="124"/>
      <c r="E395" s="124"/>
      <c r="F395" s="124"/>
      <c r="G395" s="124"/>
      <c r="H395" s="124"/>
      <c r="I395" s="124"/>
      <c r="J395" s="124"/>
      <c r="K395" s="124"/>
      <c r="L395" s="124"/>
      <c r="M395" s="124"/>
      <c r="N395" s="124"/>
      <c r="O395" s="124"/>
      <c r="P395" s="124"/>
      <c r="Q395" s="124"/>
      <c r="R395" s="124"/>
      <c r="S395" s="124"/>
    </row>
    <row r="396" spans="1:19" x14ac:dyDescent="0.25">
      <c r="A396" s="124"/>
      <c r="B396" s="124"/>
      <c r="C396" s="124"/>
      <c r="D396" s="124"/>
      <c r="E396" s="124"/>
      <c r="F396" s="124"/>
      <c r="G396" s="124"/>
      <c r="H396" s="124"/>
      <c r="I396" s="124"/>
      <c r="J396" s="124"/>
      <c r="K396" s="124"/>
      <c r="L396" s="124"/>
      <c r="M396" s="124"/>
      <c r="N396" s="124"/>
      <c r="O396" s="124"/>
      <c r="P396" s="124"/>
      <c r="Q396" s="124"/>
      <c r="R396" s="124"/>
      <c r="S396" s="124"/>
    </row>
    <row r="397" spans="1:19" x14ac:dyDescent="0.25">
      <c r="A397" s="124"/>
      <c r="B397" s="124"/>
      <c r="C397" s="124"/>
      <c r="D397" s="124"/>
      <c r="E397" s="124"/>
      <c r="F397" s="124"/>
      <c r="G397" s="124"/>
      <c r="H397" s="124"/>
      <c r="I397" s="124"/>
      <c r="J397" s="124"/>
      <c r="K397" s="124"/>
      <c r="L397" s="124"/>
      <c r="M397" s="124"/>
      <c r="N397" s="124"/>
      <c r="O397" s="124"/>
      <c r="P397" s="124"/>
      <c r="Q397" s="124"/>
      <c r="R397" s="124"/>
      <c r="S397" s="124"/>
    </row>
    <row r="398" spans="1:19" x14ac:dyDescent="0.25">
      <c r="A398" s="124"/>
      <c r="B398" s="124"/>
      <c r="C398" s="124"/>
      <c r="D398" s="124"/>
      <c r="E398" s="124"/>
      <c r="F398" s="124"/>
      <c r="G398" s="124"/>
      <c r="H398" s="124"/>
      <c r="I398" s="124"/>
      <c r="J398" s="124"/>
      <c r="K398" s="124"/>
      <c r="L398" s="124"/>
      <c r="M398" s="124"/>
      <c r="N398" s="124"/>
      <c r="O398" s="124"/>
      <c r="P398" s="124"/>
      <c r="Q398" s="124"/>
      <c r="R398" s="124"/>
      <c r="S398" s="124"/>
    </row>
    <row r="399" spans="1:19" x14ac:dyDescent="0.25">
      <c r="A399" s="124"/>
      <c r="B399" s="124"/>
      <c r="C399" s="124"/>
      <c r="D399" s="124"/>
      <c r="E399" s="124"/>
      <c r="F399" s="124"/>
      <c r="G399" s="124"/>
      <c r="H399" s="124"/>
      <c r="I399" s="124"/>
      <c r="J399" s="124"/>
      <c r="K399" s="124"/>
      <c r="L399" s="124"/>
      <c r="M399" s="124"/>
      <c r="N399" s="124"/>
      <c r="O399" s="124"/>
      <c r="P399" s="124"/>
      <c r="Q399" s="124"/>
      <c r="R399" s="124"/>
      <c r="S399" s="124"/>
    </row>
    <row r="400" spans="1:19" x14ac:dyDescent="0.25">
      <c r="A400" s="124"/>
      <c r="B400" s="124"/>
      <c r="C400" s="124"/>
      <c r="D400" s="124"/>
      <c r="E400" s="124"/>
      <c r="F400" s="124"/>
      <c r="G400" s="124"/>
      <c r="H400" s="124"/>
      <c r="I400" s="124"/>
      <c r="J400" s="124"/>
      <c r="K400" s="124"/>
      <c r="L400" s="124"/>
      <c r="M400" s="124"/>
      <c r="N400" s="124"/>
      <c r="O400" s="124"/>
      <c r="P400" s="124"/>
      <c r="Q400" s="124"/>
      <c r="R400" s="124"/>
      <c r="S400" s="124"/>
    </row>
    <row r="401" spans="1:19" x14ac:dyDescent="0.25">
      <c r="A401" s="124"/>
      <c r="B401" s="124"/>
      <c r="C401" s="124"/>
      <c r="D401" s="124"/>
      <c r="E401" s="124"/>
      <c r="F401" s="124"/>
      <c r="G401" s="124"/>
      <c r="H401" s="124"/>
      <c r="I401" s="124"/>
      <c r="J401" s="124"/>
      <c r="K401" s="124"/>
      <c r="L401" s="124"/>
      <c r="M401" s="124"/>
      <c r="N401" s="124"/>
      <c r="O401" s="124"/>
      <c r="P401" s="124"/>
      <c r="Q401" s="124"/>
      <c r="R401" s="124"/>
      <c r="S401" s="124"/>
    </row>
    <row r="402" spans="1:19" x14ac:dyDescent="0.25">
      <c r="A402" s="124"/>
      <c r="B402" s="124"/>
      <c r="C402" s="124"/>
      <c r="D402" s="124"/>
      <c r="E402" s="124"/>
      <c r="F402" s="124"/>
      <c r="G402" s="124"/>
      <c r="H402" s="124"/>
      <c r="I402" s="124"/>
      <c r="J402" s="124"/>
      <c r="K402" s="124"/>
      <c r="L402" s="124"/>
      <c r="M402" s="124"/>
      <c r="N402" s="124"/>
      <c r="O402" s="124"/>
      <c r="P402" s="124"/>
      <c r="Q402" s="124"/>
      <c r="R402" s="124"/>
      <c r="S402" s="124"/>
    </row>
    <row r="403" spans="1:19" x14ac:dyDescent="0.25">
      <c r="A403" s="124"/>
      <c r="B403" s="124"/>
      <c r="C403" s="124"/>
      <c r="D403" s="124"/>
      <c r="E403" s="124"/>
      <c r="F403" s="124"/>
      <c r="G403" s="124"/>
      <c r="H403" s="124"/>
      <c r="I403" s="124"/>
      <c r="J403" s="124"/>
      <c r="K403" s="124"/>
      <c r="L403" s="124"/>
      <c r="M403" s="124"/>
      <c r="N403" s="124"/>
      <c r="O403" s="124"/>
      <c r="P403" s="124"/>
      <c r="Q403" s="124"/>
      <c r="R403" s="124"/>
      <c r="S403" s="124"/>
    </row>
    <row r="404" spans="1:19" x14ac:dyDescent="0.25">
      <c r="A404" s="124"/>
      <c r="B404" s="124"/>
      <c r="C404" s="124"/>
      <c r="D404" s="124"/>
      <c r="E404" s="124"/>
      <c r="F404" s="124"/>
      <c r="G404" s="124"/>
      <c r="H404" s="124"/>
      <c r="I404" s="124"/>
      <c r="J404" s="124"/>
      <c r="K404" s="124"/>
      <c r="L404" s="124"/>
      <c r="M404" s="124"/>
      <c r="N404" s="124"/>
      <c r="O404" s="124"/>
      <c r="P404" s="124"/>
      <c r="Q404" s="124"/>
      <c r="R404" s="124"/>
      <c r="S404" s="124"/>
    </row>
    <row r="405" spans="1:19" x14ac:dyDescent="0.25">
      <c r="A405" s="124"/>
      <c r="B405" s="124"/>
      <c r="C405" s="124"/>
      <c r="D405" s="124"/>
      <c r="E405" s="124"/>
      <c r="F405" s="124"/>
      <c r="G405" s="124"/>
      <c r="H405" s="124"/>
      <c r="I405" s="124"/>
      <c r="J405" s="124"/>
      <c r="K405" s="124"/>
      <c r="L405" s="124"/>
      <c r="M405" s="124"/>
      <c r="N405" s="124"/>
      <c r="O405" s="124"/>
      <c r="P405" s="124"/>
      <c r="Q405" s="124"/>
      <c r="R405" s="124"/>
      <c r="S405" s="124"/>
    </row>
    <row r="406" spans="1:19" x14ac:dyDescent="0.25">
      <c r="A406" s="124"/>
      <c r="B406" s="124"/>
      <c r="C406" s="124"/>
      <c r="D406" s="124"/>
      <c r="E406" s="124"/>
      <c r="F406" s="124"/>
      <c r="G406" s="124"/>
      <c r="H406" s="124"/>
      <c r="I406" s="124"/>
      <c r="J406" s="124"/>
      <c r="K406" s="124"/>
      <c r="L406" s="124"/>
      <c r="M406" s="124"/>
      <c r="N406" s="124"/>
      <c r="O406" s="124"/>
      <c r="P406" s="124"/>
      <c r="Q406" s="124"/>
      <c r="R406" s="124"/>
      <c r="S406" s="124"/>
    </row>
    <row r="407" spans="1:19" x14ac:dyDescent="0.25">
      <c r="A407" s="124"/>
      <c r="B407" s="124"/>
      <c r="C407" s="124"/>
      <c r="D407" s="124"/>
      <c r="E407" s="124"/>
      <c r="F407" s="124"/>
      <c r="G407" s="124"/>
      <c r="H407" s="124"/>
      <c r="I407" s="124"/>
      <c r="J407" s="124"/>
      <c r="K407" s="124"/>
      <c r="L407" s="124"/>
      <c r="M407" s="124"/>
      <c r="N407" s="124"/>
      <c r="O407" s="124"/>
      <c r="P407" s="124"/>
      <c r="Q407" s="124"/>
      <c r="R407" s="124"/>
      <c r="S407" s="124"/>
    </row>
    <row r="408" spans="1:19" x14ac:dyDescent="0.25">
      <c r="A408" s="124"/>
      <c r="B408" s="124"/>
      <c r="C408" s="124"/>
      <c r="D408" s="124"/>
      <c r="E408" s="124"/>
      <c r="F408" s="124"/>
      <c r="G408" s="124"/>
      <c r="H408" s="124"/>
      <c r="I408" s="124"/>
      <c r="J408" s="124"/>
      <c r="K408" s="124"/>
      <c r="L408" s="124"/>
      <c r="M408" s="124"/>
      <c r="N408" s="124"/>
      <c r="O408" s="124"/>
      <c r="P408" s="124"/>
      <c r="Q408" s="124"/>
      <c r="R408" s="124"/>
      <c r="S408" s="124"/>
    </row>
    <row r="409" spans="1:19" x14ac:dyDescent="0.25">
      <c r="A409" s="124"/>
      <c r="B409" s="124"/>
      <c r="C409" s="124"/>
      <c r="D409" s="124"/>
      <c r="E409" s="124"/>
      <c r="F409" s="124"/>
      <c r="G409" s="124"/>
      <c r="H409" s="124"/>
      <c r="I409" s="124"/>
      <c r="J409" s="124"/>
      <c r="K409" s="124"/>
      <c r="L409" s="124"/>
      <c r="M409" s="124"/>
      <c r="N409" s="124"/>
      <c r="O409" s="124"/>
      <c r="P409" s="124"/>
      <c r="Q409" s="124"/>
      <c r="R409" s="124"/>
      <c r="S409" s="124"/>
    </row>
    <row r="410" spans="1:19" x14ac:dyDescent="0.25">
      <c r="A410" s="124"/>
      <c r="B410" s="124"/>
      <c r="C410" s="124"/>
      <c r="D410" s="124"/>
      <c r="E410" s="124"/>
      <c r="F410" s="124"/>
      <c r="G410" s="124"/>
      <c r="H410" s="124"/>
      <c r="I410" s="124"/>
      <c r="J410" s="124"/>
      <c r="K410" s="124"/>
      <c r="L410" s="124"/>
      <c r="M410" s="124"/>
      <c r="N410" s="124"/>
      <c r="O410" s="124"/>
      <c r="P410" s="124"/>
      <c r="Q410" s="124"/>
      <c r="R410" s="124"/>
      <c r="S410" s="124"/>
    </row>
    <row r="411" spans="1:19" x14ac:dyDescent="0.25">
      <c r="A411" s="124"/>
      <c r="B411" s="124"/>
      <c r="C411" s="124"/>
      <c r="D411" s="124"/>
      <c r="E411" s="124"/>
      <c r="F411" s="124"/>
      <c r="G411" s="124"/>
      <c r="H411" s="124"/>
      <c r="I411" s="124"/>
      <c r="J411" s="124"/>
      <c r="K411" s="124"/>
      <c r="L411" s="124"/>
      <c r="M411" s="124"/>
      <c r="N411" s="124"/>
      <c r="O411" s="124"/>
      <c r="P411" s="124"/>
      <c r="Q411" s="124"/>
      <c r="R411" s="124"/>
      <c r="S411" s="124"/>
    </row>
    <row r="412" spans="1:19" x14ac:dyDescent="0.25">
      <c r="A412" s="124"/>
      <c r="B412" s="124"/>
      <c r="C412" s="124"/>
      <c r="D412" s="124"/>
      <c r="E412" s="124"/>
      <c r="F412" s="124"/>
      <c r="G412" s="124"/>
      <c r="H412" s="124"/>
      <c r="I412" s="124"/>
      <c r="J412" s="124"/>
      <c r="K412" s="124"/>
      <c r="L412" s="124"/>
      <c r="M412" s="124"/>
      <c r="N412" s="124"/>
      <c r="O412" s="124"/>
      <c r="P412" s="124"/>
      <c r="Q412" s="124"/>
      <c r="R412" s="124"/>
      <c r="S412" s="124"/>
    </row>
    <row r="413" spans="1:19" x14ac:dyDescent="0.25">
      <c r="A413" s="124"/>
      <c r="B413" s="124"/>
      <c r="C413" s="124"/>
      <c r="D413" s="124"/>
      <c r="E413" s="124"/>
      <c r="F413" s="124"/>
      <c r="G413" s="124"/>
      <c r="H413" s="124"/>
      <c r="I413" s="124"/>
      <c r="J413" s="124"/>
      <c r="K413" s="124"/>
      <c r="L413" s="124"/>
      <c r="M413" s="124"/>
      <c r="N413" s="124"/>
      <c r="O413" s="124"/>
      <c r="P413" s="124"/>
      <c r="Q413" s="124"/>
      <c r="R413" s="124"/>
      <c r="S413" s="124"/>
    </row>
    <row r="414" spans="1:19" x14ac:dyDescent="0.25">
      <c r="A414" s="124"/>
      <c r="B414" s="124"/>
      <c r="C414" s="124"/>
      <c r="D414" s="124"/>
      <c r="E414" s="124"/>
      <c r="F414" s="124"/>
      <c r="G414" s="124"/>
      <c r="H414" s="124"/>
      <c r="I414" s="124"/>
      <c r="J414" s="124"/>
      <c r="K414" s="124"/>
      <c r="L414" s="124"/>
      <c r="M414" s="124"/>
      <c r="N414" s="124"/>
      <c r="O414" s="124"/>
      <c r="P414" s="124"/>
      <c r="Q414" s="124"/>
      <c r="R414" s="124"/>
      <c r="S414" s="124"/>
    </row>
    <row r="415" spans="1:19" x14ac:dyDescent="0.25">
      <c r="A415" s="124"/>
      <c r="B415" s="124"/>
      <c r="C415" s="124"/>
      <c r="D415" s="124"/>
      <c r="E415" s="124"/>
      <c r="F415" s="124"/>
      <c r="G415" s="124"/>
      <c r="H415" s="124"/>
      <c r="I415" s="124"/>
      <c r="J415" s="124"/>
      <c r="K415" s="124"/>
      <c r="L415" s="124"/>
      <c r="M415" s="124"/>
      <c r="N415" s="124"/>
      <c r="O415" s="124"/>
      <c r="P415" s="124"/>
      <c r="Q415" s="124"/>
      <c r="R415" s="124"/>
      <c r="S415" s="124"/>
    </row>
    <row r="416" spans="1:19" x14ac:dyDescent="0.25">
      <c r="A416" s="124"/>
      <c r="B416" s="124"/>
      <c r="C416" s="124"/>
      <c r="D416" s="124"/>
      <c r="E416" s="124"/>
      <c r="F416" s="124"/>
      <c r="G416" s="124"/>
      <c r="H416" s="124"/>
      <c r="I416" s="124"/>
      <c r="J416" s="124"/>
      <c r="K416" s="124"/>
      <c r="L416" s="124"/>
      <c r="M416" s="124"/>
      <c r="N416" s="124"/>
      <c r="O416" s="124"/>
      <c r="P416" s="124"/>
      <c r="Q416" s="124"/>
      <c r="R416" s="124"/>
      <c r="S416" s="124"/>
    </row>
    <row r="417" spans="1:19" x14ac:dyDescent="0.25">
      <c r="A417" s="124"/>
      <c r="B417" s="124"/>
      <c r="C417" s="124"/>
      <c r="D417" s="124"/>
      <c r="E417" s="124"/>
      <c r="F417" s="124"/>
      <c r="G417" s="124"/>
      <c r="H417" s="124"/>
      <c r="I417" s="124"/>
      <c r="J417" s="124"/>
      <c r="K417" s="124"/>
      <c r="L417" s="124"/>
      <c r="M417" s="124"/>
      <c r="N417" s="124"/>
      <c r="O417" s="124"/>
      <c r="P417" s="124"/>
      <c r="Q417" s="124"/>
      <c r="R417" s="124"/>
      <c r="S417" s="124"/>
    </row>
    <row r="418" spans="1:19" x14ac:dyDescent="0.25">
      <c r="A418" s="124"/>
      <c r="B418" s="124"/>
      <c r="C418" s="124"/>
      <c r="D418" s="124"/>
      <c r="E418" s="124"/>
      <c r="F418" s="124"/>
      <c r="G418" s="124"/>
      <c r="H418" s="124"/>
      <c r="I418" s="124"/>
      <c r="J418" s="124"/>
      <c r="K418" s="124"/>
      <c r="L418" s="124"/>
      <c r="M418" s="124"/>
      <c r="N418" s="124"/>
      <c r="O418" s="124"/>
      <c r="P418" s="124"/>
      <c r="Q418" s="124"/>
      <c r="R418" s="124"/>
      <c r="S418" s="124"/>
    </row>
    <row r="419" spans="1:19" x14ac:dyDescent="0.25">
      <c r="A419" s="124"/>
      <c r="B419" s="124"/>
      <c r="C419" s="124"/>
      <c r="D419" s="124"/>
      <c r="E419" s="124"/>
      <c r="F419" s="124"/>
      <c r="G419" s="124"/>
      <c r="H419" s="124"/>
      <c r="I419" s="124"/>
      <c r="J419" s="124"/>
      <c r="K419" s="124"/>
      <c r="L419" s="124"/>
      <c r="M419" s="124"/>
      <c r="N419" s="124"/>
      <c r="O419" s="124"/>
      <c r="P419" s="124"/>
      <c r="Q419" s="124"/>
      <c r="R419" s="124"/>
      <c r="S419" s="124"/>
    </row>
    <row r="420" spans="1:19" x14ac:dyDescent="0.25">
      <c r="A420" s="124"/>
      <c r="B420" s="124"/>
      <c r="C420" s="124"/>
      <c r="D420" s="124"/>
      <c r="E420" s="124"/>
      <c r="F420" s="124"/>
      <c r="G420" s="124"/>
      <c r="H420" s="124"/>
      <c r="I420" s="124"/>
      <c r="J420" s="124"/>
      <c r="K420" s="124"/>
      <c r="L420" s="124"/>
      <c r="M420" s="124"/>
      <c r="N420" s="124"/>
      <c r="O420" s="124"/>
      <c r="P420" s="124"/>
      <c r="Q420" s="124"/>
      <c r="R420" s="124"/>
      <c r="S420" s="124"/>
    </row>
    <row r="421" spans="1:19" x14ac:dyDescent="0.25">
      <c r="A421" s="124"/>
      <c r="B421" s="124"/>
      <c r="C421" s="124"/>
      <c r="D421" s="124"/>
      <c r="E421" s="124"/>
      <c r="F421" s="124"/>
      <c r="G421" s="124"/>
      <c r="H421" s="124"/>
      <c r="I421" s="124"/>
      <c r="J421" s="124"/>
      <c r="K421" s="124"/>
      <c r="L421" s="124"/>
      <c r="M421" s="124"/>
      <c r="N421" s="124"/>
      <c r="O421" s="124"/>
      <c r="P421" s="124"/>
      <c r="Q421" s="124"/>
      <c r="R421" s="124"/>
      <c r="S421" s="124"/>
    </row>
    <row r="422" spans="1:19" x14ac:dyDescent="0.25">
      <c r="A422" s="124"/>
      <c r="B422" s="124"/>
      <c r="C422" s="124"/>
      <c r="D422" s="124"/>
      <c r="E422" s="124"/>
      <c r="F422" s="124"/>
      <c r="G422" s="124"/>
      <c r="H422" s="124"/>
      <c r="I422" s="124"/>
      <c r="J422" s="124"/>
      <c r="K422" s="124"/>
      <c r="L422" s="124"/>
      <c r="M422" s="124"/>
      <c r="N422" s="124"/>
      <c r="O422" s="124"/>
      <c r="P422" s="124"/>
      <c r="Q422" s="124"/>
      <c r="R422" s="124"/>
      <c r="S422" s="124"/>
    </row>
    <row r="423" spans="1:19" x14ac:dyDescent="0.25">
      <c r="A423" s="124"/>
      <c r="B423" s="124"/>
      <c r="C423" s="124"/>
      <c r="D423" s="124"/>
      <c r="E423" s="124"/>
      <c r="F423" s="124"/>
      <c r="G423" s="124"/>
      <c r="H423" s="124"/>
      <c r="I423" s="124"/>
      <c r="J423" s="124"/>
      <c r="K423" s="124"/>
      <c r="L423" s="124"/>
      <c r="M423" s="124"/>
      <c r="N423" s="124"/>
      <c r="O423" s="124"/>
      <c r="P423" s="124"/>
      <c r="Q423" s="124"/>
      <c r="R423" s="124"/>
      <c r="S423" s="124"/>
    </row>
    <row r="424" spans="1:19" x14ac:dyDescent="0.25">
      <c r="A424" s="124"/>
      <c r="B424" s="124"/>
      <c r="C424" s="124"/>
      <c r="D424" s="124"/>
      <c r="E424" s="124"/>
      <c r="F424" s="124"/>
      <c r="G424" s="124"/>
      <c r="H424" s="124"/>
      <c r="I424" s="124"/>
      <c r="J424" s="124"/>
      <c r="K424" s="124"/>
      <c r="L424" s="124"/>
      <c r="M424" s="124"/>
      <c r="N424" s="124"/>
      <c r="O424" s="124"/>
      <c r="P424" s="124"/>
      <c r="Q424" s="124"/>
      <c r="R424" s="124"/>
      <c r="S424" s="124"/>
    </row>
    <row r="425" spans="1:19" x14ac:dyDescent="0.25">
      <c r="A425" s="124"/>
      <c r="B425" s="124"/>
      <c r="C425" s="124"/>
      <c r="D425" s="124"/>
      <c r="E425" s="124"/>
      <c r="F425" s="124"/>
      <c r="G425" s="124"/>
      <c r="H425" s="124"/>
      <c r="I425" s="124"/>
      <c r="J425" s="124"/>
      <c r="K425" s="124"/>
      <c r="L425" s="124"/>
      <c r="M425" s="124"/>
      <c r="N425" s="124"/>
      <c r="O425" s="124"/>
      <c r="P425" s="124"/>
      <c r="Q425" s="124"/>
      <c r="R425" s="124"/>
      <c r="S425" s="124"/>
    </row>
    <row r="426" spans="1:19" x14ac:dyDescent="0.25">
      <c r="A426" s="124"/>
      <c r="B426" s="124"/>
      <c r="C426" s="124"/>
      <c r="D426" s="124"/>
      <c r="E426" s="124"/>
      <c r="F426" s="124"/>
      <c r="G426" s="124"/>
      <c r="H426" s="124"/>
      <c r="I426" s="124"/>
      <c r="J426" s="124"/>
      <c r="K426" s="124"/>
      <c r="L426" s="124"/>
      <c r="M426" s="124"/>
      <c r="N426" s="124"/>
      <c r="O426" s="124"/>
      <c r="P426" s="124"/>
      <c r="Q426" s="124"/>
      <c r="R426" s="124"/>
      <c r="S426" s="124"/>
    </row>
    <row r="427" spans="1:19" x14ac:dyDescent="0.25">
      <c r="A427" s="124"/>
      <c r="B427" s="124"/>
      <c r="C427" s="124"/>
      <c r="D427" s="124"/>
      <c r="E427" s="124"/>
      <c r="F427" s="124"/>
      <c r="G427" s="124"/>
      <c r="H427" s="124"/>
      <c r="I427" s="124"/>
      <c r="J427" s="124"/>
      <c r="K427" s="124"/>
      <c r="L427" s="124"/>
      <c r="M427" s="124"/>
      <c r="N427" s="124"/>
      <c r="O427" s="124"/>
      <c r="P427" s="124"/>
      <c r="Q427" s="124"/>
      <c r="R427" s="124"/>
      <c r="S427" s="124"/>
    </row>
    <row r="428" spans="1:19" x14ac:dyDescent="0.25">
      <c r="A428" s="124"/>
      <c r="B428" s="124"/>
      <c r="C428" s="124"/>
      <c r="D428" s="124"/>
      <c r="E428" s="124"/>
      <c r="F428" s="124"/>
      <c r="G428" s="124"/>
      <c r="H428" s="124"/>
      <c r="I428" s="124"/>
      <c r="J428" s="124"/>
      <c r="K428" s="124"/>
      <c r="L428" s="124"/>
      <c r="M428" s="124"/>
      <c r="N428" s="124"/>
      <c r="O428" s="124"/>
      <c r="P428" s="124"/>
      <c r="Q428" s="124"/>
      <c r="R428" s="124"/>
      <c r="S428" s="124"/>
    </row>
    <row r="429" spans="1:19" x14ac:dyDescent="0.25">
      <c r="A429" s="124"/>
      <c r="B429" s="124"/>
      <c r="C429" s="124"/>
      <c r="D429" s="124"/>
      <c r="E429" s="124"/>
      <c r="F429" s="124"/>
      <c r="G429" s="124"/>
      <c r="H429" s="124"/>
      <c r="I429" s="124"/>
      <c r="J429" s="124"/>
      <c r="K429" s="124"/>
      <c r="L429" s="124"/>
      <c r="M429" s="124"/>
      <c r="N429" s="124"/>
      <c r="O429" s="124"/>
      <c r="P429" s="124"/>
      <c r="Q429" s="124"/>
      <c r="R429" s="124"/>
      <c r="S429" s="124"/>
    </row>
    <row r="430" spans="1:19" x14ac:dyDescent="0.25">
      <c r="A430" s="124"/>
      <c r="B430" s="124"/>
      <c r="C430" s="124"/>
      <c r="D430" s="124"/>
      <c r="E430" s="124"/>
      <c r="F430" s="124"/>
      <c r="G430" s="124"/>
      <c r="H430" s="124"/>
      <c r="I430" s="124"/>
      <c r="J430" s="124"/>
      <c r="K430" s="124"/>
      <c r="L430" s="124"/>
      <c r="M430" s="124"/>
      <c r="N430" s="124"/>
      <c r="O430" s="124"/>
      <c r="P430" s="124"/>
      <c r="Q430" s="124"/>
      <c r="R430" s="124"/>
      <c r="S430" s="124"/>
    </row>
    <row r="431" spans="1:19" x14ac:dyDescent="0.25">
      <c r="A431" s="124"/>
      <c r="B431" s="124"/>
      <c r="C431" s="124"/>
      <c r="D431" s="124"/>
      <c r="E431" s="124"/>
      <c r="F431" s="124"/>
      <c r="G431" s="124"/>
      <c r="H431" s="124"/>
      <c r="I431" s="124"/>
      <c r="J431" s="124"/>
      <c r="K431" s="124"/>
      <c r="L431" s="124"/>
      <c r="M431" s="124"/>
      <c r="N431" s="124"/>
      <c r="O431" s="124"/>
      <c r="P431" s="124"/>
      <c r="Q431" s="124"/>
      <c r="R431" s="124"/>
      <c r="S431" s="124"/>
    </row>
    <row r="432" spans="1:19" x14ac:dyDescent="0.25">
      <c r="A432" s="124"/>
      <c r="B432" s="124"/>
      <c r="C432" s="124"/>
      <c r="D432" s="124"/>
      <c r="E432" s="124"/>
      <c r="F432" s="124"/>
      <c r="G432" s="124"/>
      <c r="H432" s="124"/>
      <c r="I432" s="124"/>
      <c r="J432" s="124"/>
      <c r="K432" s="124"/>
      <c r="L432" s="124"/>
      <c r="M432" s="124"/>
      <c r="N432" s="124"/>
      <c r="O432" s="124"/>
      <c r="P432" s="124"/>
      <c r="Q432" s="124"/>
      <c r="R432" s="124"/>
      <c r="S432" s="124"/>
    </row>
    <row r="433" spans="1:19" x14ac:dyDescent="0.25">
      <c r="A433" s="124"/>
      <c r="B433" s="124"/>
      <c r="C433" s="124"/>
      <c r="D433" s="124"/>
      <c r="E433" s="124"/>
      <c r="F433" s="124"/>
      <c r="G433" s="124"/>
      <c r="H433" s="124"/>
      <c r="I433" s="124"/>
      <c r="J433" s="124"/>
      <c r="K433" s="124"/>
      <c r="L433" s="124"/>
      <c r="M433" s="124"/>
      <c r="N433" s="124"/>
      <c r="O433" s="124"/>
      <c r="P433" s="124"/>
      <c r="Q433" s="124"/>
      <c r="R433" s="124"/>
      <c r="S433" s="124"/>
    </row>
    <row r="434" spans="1:19" x14ac:dyDescent="0.25">
      <c r="A434" s="124"/>
      <c r="B434" s="124"/>
      <c r="C434" s="124"/>
      <c r="D434" s="124"/>
      <c r="E434" s="124"/>
      <c r="F434" s="124"/>
      <c r="G434" s="124"/>
      <c r="H434" s="124"/>
      <c r="I434" s="124"/>
      <c r="J434" s="124"/>
      <c r="K434" s="124"/>
      <c r="L434" s="124"/>
      <c r="M434" s="124"/>
      <c r="N434" s="124"/>
      <c r="O434" s="124"/>
      <c r="P434" s="124"/>
      <c r="Q434" s="124"/>
      <c r="R434" s="124"/>
      <c r="S434" s="124"/>
    </row>
    <row r="435" spans="1:19" x14ac:dyDescent="0.25">
      <c r="A435" s="124"/>
      <c r="B435" s="124"/>
      <c r="C435" s="124"/>
      <c r="D435" s="124"/>
      <c r="E435" s="124"/>
      <c r="F435" s="124"/>
      <c r="G435" s="124"/>
      <c r="H435" s="124"/>
      <c r="I435" s="124"/>
      <c r="J435" s="124"/>
      <c r="K435" s="124"/>
      <c r="L435" s="124"/>
      <c r="M435" s="124"/>
      <c r="N435" s="124"/>
      <c r="O435" s="124"/>
      <c r="P435" s="124"/>
      <c r="Q435" s="124"/>
      <c r="R435" s="124"/>
      <c r="S435" s="124"/>
    </row>
    <row r="436" spans="1:19" x14ac:dyDescent="0.25">
      <c r="A436" s="124"/>
      <c r="B436" s="124"/>
      <c r="C436" s="124"/>
      <c r="D436" s="124"/>
      <c r="E436" s="124"/>
      <c r="F436" s="124"/>
      <c r="G436" s="124"/>
      <c r="H436" s="124"/>
      <c r="I436" s="124"/>
      <c r="J436" s="124"/>
      <c r="K436" s="124"/>
      <c r="L436" s="124"/>
      <c r="M436" s="124"/>
      <c r="N436" s="124"/>
      <c r="O436" s="124"/>
      <c r="P436" s="124"/>
      <c r="Q436" s="124"/>
      <c r="R436" s="124"/>
      <c r="S436" s="124"/>
    </row>
    <row r="437" spans="1:19" x14ac:dyDescent="0.25">
      <c r="A437" s="124"/>
      <c r="B437" s="124"/>
      <c r="C437" s="124"/>
      <c r="D437" s="124"/>
      <c r="E437" s="124"/>
      <c r="F437" s="124"/>
      <c r="G437" s="124"/>
      <c r="H437" s="124"/>
      <c r="I437" s="124"/>
      <c r="J437" s="124"/>
      <c r="K437" s="124"/>
      <c r="L437" s="124"/>
      <c r="M437" s="124"/>
      <c r="N437" s="124"/>
      <c r="O437" s="124"/>
      <c r="P437" s="124"/>
      <c r="Q437" s="124"/>
      <c r="R437" s="124"/>
      <c r="S437" s="124"/>
    </row>
    <row r="438" spans="1:19" x14ac:dyDescent="0.25">
      <c r="A438" s="124"/>
      <c r="B438" s="124"/>
      <c r="C438" s="124"/>
      <c r="D438" s="124"/>
      <c r="E438" s="124"/>
      <c r="F438" s="124"/>
      <c r="G438" s="124"/>
      <c r="H438" s="124"/>
      <c r="I438" s="124"/>
      <c r="J438" s="124"/>
      <c r="K438" s="124"/>
      <c r="L438" s="124"/>
      <c r="M438" s="124"/>
      <c r="N438" s="124"/>
      <c r="O438" s="124"/>
      <c r="P438" s="124"/>
      <c r="Q438" s="124"/>
      <c r="R438" s="124"/>
      <c r="S438" s="124"/>
    </row>
    <row r="439" spans="1:19" x14ac:dyDescent="0.25">
      <c r="A439" s="124"/>
      <c r="B439" s="124"/>
      <c r="C439" s="124"/>
      <c r="D439" s="124"/>
      <c r="E439" s="124"/>
      <c r="F439" s="124"/>
      <c r="G439" s="124"/>
      <c r="H439" s="124"/>
      <c r="I439" s="124"/>
      <c r="J439" s="124"/>
      <c r="K439" s="124"/>
      <c r="L439" s="124"/>
      <c r="M439" s="124"/>
      <c r="N439" s="124"/>
      <c r="O439" s="124"/>
      <c r="P439" s="124"/>
      <c r="Q439" s="124"/>
      <c r="R439" s="124"/>
      <c r="S439" s="124"/>
    </row>
    <row r="440" spans="1:19" x14ac:dyDescent="0.25">
      <c r="A440" s="124"/>
      <c r="B440" s="124"/>
      <c r="C440" s="124"/>
      <c r="D440" s="124"/>
      <c r="E440" s="124"/>
      <c r="F440" s="124"/>
      <c r="G440" s="124"/>
      <c r="H440" s="124"/>
      <c r="I440" s="124"/>
      <c r="J440" s="124"/>
      <c r="K440" s="124"/>
      <c r="L440" s="124"/>
      <c r="M440" s="124"/>
      <c r="N440" s="124"/>
      <c r="O440" s="124"/>
      <c r="P440" s="124"/>
      <c r="Q440" s="124"/>
      <c r="R440" s="124"/>
      <c r="S440" s="124"/>
    </row>
    <row r="441" spans="1:19" x14ac:dyDescent="0.25">
      <c r="A441" s="124"/>
      <c r="B441" s="124"/>
      <c r="C441" s="124"/>
      <c r="D441" s="124"/>
      <c r="E441" s="124"/>
      <c r="F441" s="124"/>
      <c r="G441" s="124"/>
      <c r="H441" s="124"/>
      <c r="I441" s="124"/>
      <c r="J441" s="124"/>
      <c r="K441" s="124"/>
      <c r="L441" s="124"/>
      <c r="M441" s="124"/>
      <c r="N441" s="124"/>
      <c r="O441" s="124"/>
      <c r="P441" s="124"/>
      <c r="Q441" s="124"/>
      <c r="R441" s="124"/>
      <c r="S441" s="124"/>
    </row>
    <row r="442" spans="1:19" x14ac:dyDescent="0.25">
      <c r="A442" s="124"/>
      <c r="B442" s="124"/>
      <c r="C442" s="124"/>
      <c r="D442" s="124"/>
      <c r="E442" s="124"/>
      <c r="F442" s="124"/>
      <c r="G442" s="124"/>
      <c r="H442" s="124"/>
      <c r="I442" s="124"/>
      <c r="J442" s="124"/>
      <c r="K442" s="124"/>
      <c r="L442" s="124"/>
      <c r="M442" s="124"/>
      <c r="N442" s="124"/>
      <c r="O442" s="124"/>
      <c r="P442" s="124"/>
      <c r="Q442" s="124"/>
      <c r="R442" s="124"/>
      <c r="S442" s="124"/>
    </row>
    <row r="443" spans="1:19" x14ac:dyDescent="0.25">
      <c r="A443" s="124"/>
      <c r="B443" s="124"/>
      <c r="C443" s="124"/>
      <c r="D443" s="124"/>
      <c r="E443" s="124"/>
      <c r="F443" s="124"/>
      <c r="G443" s="124"/>
      <c r="H443" s="124"/>
      <c r="I443" s="124"/>
      <c r="J443" s="124"/>
      <c r="K443" s="124"/>
      <c r="L443" s="124"/>
      <c r="M443" s="124"/>
      <c r="N443" s="124"/>
      <c r="O443" s="124"/>
      <c r="P443" s="124"/>
      <c r="Q443" s="124"/>
      <c r="R443" s="124"/>
      <c r="S443" s="124"/>
    </row>
    <row r="444" spans="1:19" x14ac:dyDescent="0.25">
      <c r="A444" s="124"/>
      <c r="B444" s="124"/>
      <c r="C444" s="124"/>
      <c r="D444" s="124"/>
      <c r="E444" s="124"/>
      <c r="F444" s="124"/>
      <c r="G444" s="124"/>
      <c r="H444" s="124"/>
      <c r="I444" s="124"/>
      <c r="J444" s="124"/>
      <c r="K444" s="124"/>
      <c r="L444" s="124"/>
      <c r="M444" s="124"/>
      <c r="N444" s="124"/>
      <c r="O444" s="124"/>
      <c r="P444" s="124"/>
      <c r="Q444" s="124"/>
      <c r="R444" s="124"/>
      <c r="S444" s="124"/>
    </row>
    <row r="445" spans="1:19" x14ac:dyDescent="0.25">
      <c r="A445" s="124"/>
      <c r="B445" s="124"/>
      <c r="C445" s="124"/>
      <c r="D445" s="124"/>
      <c r="E445" s="124"/>
      <c r="F445" s="124"/>
      <c r="G445" s="124"/>
      <c r="H445" s="124"/>
      <c r="I445" s="124"/>
      <c r="J445" s="124"/>
      <c r="K445" s="124"/>
      <c r="L445" s="124"/>
      <c r="M445" s="124"/>
      <c r="N445" s="124"/>
      <c r="O445" s="124"/>
      <c r="P445" s="124"/>
      <c r="Q445" s="124"/>
      <c r="R445" s="124"/>
      <c r="S445" s="124"/>
    </row>
    <row r="446" spans="1:19" x14ac:dyDescent="0.25">
      <c r="A446" s="124"/>
      <c r="B446" s="124"/>
      <c r="C446" s="124"/>
      <c r="D446" s="124"/>
      <c r="E446" s="124"/>
      <c r="F446" s="124"/>
      <c r="G446" s="124"/>
      <c r="H446" s="124"/>
      <c r="I446" s="124"/>
      <c r="J446" s="124"/>
      <c r="K446" s="124"/>
      <c r="L446" s="124"/>
      <c r="M446" s="124"/>
      <c r="N446" s="124"/>
      <c r="O446" s="124"/>
      <c r="P446" s="124"/>
      <c r="Q446" s="124"/>
      <c r="R446" s="124"/>
      <c r="S446" s="124"/>
    </row>
    <row r="447" spans="1:19" x14ac:dyDescent="0.25">
      <c r="A447" s="124"/>
      <c r="B447" s="124"/>
      <c r="C447" s="124"/>
      <c r="D447" s="124"/>
      <c r="E447" s="124"/>
      <c r="F447" s="124"/>
      <c r="G447" s="124"/>
      <c r="H447" s="124"/>
      <c r="I447" s="124"/>
      <c r="J447" s="124"/>
      <c r="K447" s="124"/>
      <c r="L447" s="124"/>
      <c r="M447" s="124"/>
      <c r="N447" s="124"/>
      <c r="O447" s="124"/>
      <c r="P447" s="124"/>
      <c r="Q447" s="124"/>
      <c r="R447" s="124"/>
      <c r="S447" s="124"/>
    </row>
    <row r="448" spans="1:19" x14ac:dyDescent="0.25">
      <c r="A448" s="124"/>
      <c r="B448" s="124"/>
      <c r="C448" s="124"/>
      <c r="D448" s="124"/>
      <c r="E448" s="124"/>
      <c r="F448" s="124"/>
      <c r="G448" s="124"/>
      <c r="H448" s="124"/>
      <c r="I448" s="124"/>
      <c r="J448" s="124"/>
      <c r="K448" s="124"/>
      <c r="L448" s="124"/>
      <c r="M448" s="124"/>
      <c r="N448" s="124"/>
      <c r="O448" s="124"/>
      <c r="P448" s="124"/>
      <c r="Q448" s="124"/>
      <c r="R448" s="124"/>
      <c r="S448" s="124"/>
    </row>
    <row r="449" spans="1:19" x14ac:dyDescent="0.25">
      <c r="A449" s="124"/>
      <c r="B449" s="124"/>
      <c r="C449" s="124"/>
      <c r="D449" s="124"/>
      <c r="E449" s="124"/>
      <c r="F449" s="124"/>
      <c r="G449" s="124"/>
      <c r="H449" s="124"/>
      <c r="I449" s="124"/>
      <c r="J449" s="124"/>
      <c r="K449" s="124"/>
      <c r="L449" s="124"/>
      <c r="M449" s="124"/>
      <c r="N449" s="124"/>
      <c r="O449" s="124"/>
      <c r="P449" s="124"/>
      <c r="Q449" s="124"/>
      <c r="R449" s="124"/>
      <c r="S449" s="124"/>
    </row>
    <row r="450" spans="1:19" x14ac:dyDescent="0.25">
      <c r="A450" s="124"/>
      <c r="B450" s="124"/>
      <c r="C450" s="124"/>
      <c r="D450" s="124"/>
      <c r="E450" s="124"/>
      <c r="F450" s="124"/>
      <c r="G450" s="124"/>
      <c r="H450" s="124"/>
      <c r="I450" s="124"/>
      <c r="J450" s="124"/>
      <c r="K450" s="124"/>
      <c r="L450" s="124"/>
      <c r="M450" s="124"/>
      <c r="N450" s="124"/>
      <c r="O450" s="124"/>
      <c r="P450" s="124"/>
      <c r="Q450" s="124"/>
      <c r="R450" s="124"/>
      <c r="S450" s="124"/>
    </row>
    <row r="451" spans="1:19" x14ac:dyDescent="0.25">
      <c r="A451" s="124"/>
      <c r="B451" s="124"/>
      <c r="C451" s="124"/>
      <c r="D451" s="124"/>
      <c r="E451" s="124"/>
      <c r="F451" s="124"/>
      <c r="G451" s="124"/>
      <c r="H451" s="124"/>
      <c r="I451" s="124"/>
      <c r="J451" s="124"/>
      <c r="K451" s="124"/>
      <c r="L451" s="124"/>
      <c r="M451" s="124"/>
      <c r="N451" s="124"/>
      <c r="O451" s="124"/>
      <c r="P451" s="124"/>
      <c r="Q451" s="124"/>
      <c r="R451" s="124"/>
      <c r="S451" s="124"/>
    </row>
    <row r="452" spans="1:19" x14ac:dyDescent="0.25">
      <c r="A452" s="124"/>
      <c r="B452" s="124"/>
      <c r="C452" s="124"/>
      <c r="D452" s="124"/>
      <c r="E452" s="124"/>
      <c r="F452" s="124"/>
      <c r="G452" s="124"/>
      <c r="H452" s="124"/>
      <c r="I452" s="124"/>
      <c r="J452" s="124"/>
      <c r="K452" s="124"/>
      <c r="L452" s="124"/>
      <c r="M452" s="124"/>
      <c r="N452" s="124"/>
      <c r="O452" s="124"/>
      <c r="P452" s="124"/>
      <c r="Q452" s="124"/>
      <c r="R452" s="124"/>
      <c r="S452" s="124"/>
    </row>
    <row r="453" spans="1:19" x14ac:dyDescent="0.25">
      <c r="A453" s="124"/>
      <c r="B453" s="124"/>
      <c r="C453" s="124"/>
      <c r="D453" s="124"/>
      <c r="E453" s="124"/>
      <c r="F453" s="124"/>
      <c r="G453" s="124"/>
      <c r="H453" s="124"/>
      <c r="I453" s="124"/>
      <c r="J453" s="124"/>
      <c r="K453" s="124"/>
      <c r="L453" s="124"/>
      <c r="M453" s="124"/>
      <c r="N453" s="124"/>
      <c r="O453" s="124"/>
      <c r="P453" s="124"/>
      <c r="Q453" s="124"/>
      <c r="R453" s="124"/>
      <c r="S453" s="124"/>
    </row>
    <row r="454" spans="1:19" x14ac:dyDescent="0.25">
      <c r="A454" s="124"/>
      <c r="B454" s="124"/>
      <c r="C454" s="124"/>
      <c r="D454" s="124"/>
      <c r="E454" s="124"/>
      <c r="F454" s="124"/>
      <c r="G454" s="124"/>
      <c r="H454" s="124"/>
      <c r="I454" s="124"/>
      <c r="J454" s="124"/>
      <c r="K454" s="124"/>
      <c r="L454" s="124"/>
      <c r="M454" s="124"/>
      <c r="N454" s="124"/>
      <c r="O454" s="124"/>
      <c r="P454" s="124"/>
      <c r="Q454" s="124"/>
      <c r="R454" s="124"/>
      <c r="S454" s="124"/>
    </row>
    <row r="455" spans="1:19" x14ac:dyDescent="0.25">
      <c r="A455" s="124"/>
      <c r="B455" s="124"/>
      <c r="C455" s="124"/>
      <c r="D455" s="124"/>
      <c r="E455" s="124"/>
      <c r="F455" s="124"/>
      <c r="G455" s="124"/>
      <c r="H455" s="124"/>
      <c r="I455" s="124"/>
      <c r="J455" s="124"/>
      <c r="K455" s="124"/>
      <c r="L455" s="124"/>
      <c r="M455" s="124"/>
      <c r="N455" s="124"/>
      <c r="O455" s="124"/>
      <c r="P455" s="124"/>
      <c r="Q455" s="124"/>
      <c r="R455" s="124"/>
      <c r="S455" s="124"/>
    </row>
    <row r="456" spans="1:19" x14ac:dyDescent="0.25">
      <c r="A456" s="124"/>
      <c r="B456" s="124"/>
      <c r="C456" s="124"/>
      <c r="D456" s="124"/>
      <c r="E456" s="124"/>
      <c r="F456" s="124"/>
      <c r="G456" s="124"/>
      <c r="H456" s="124"/>
      <c r="I456" s="124"/>
      <c r="J456" s="124"/>
      <c r="K456" s="124"/>
      <c r="L456" s="124"/>
      <c r="M456" s="124"/>
      <c r="N456" s="124"/>
      <c r="O456" s="124"/>
      <c r="P456" s="124"/>
      <c r="Q456" s="124"/>
      <c r="R456" s="124"/>
      <c r="S456" s="124"/>
    </row>
    <row r="457" spans="1:19" x14ac:dyDescent="0.25">
      <c r="A457" s="124"/>
      <c r="B457" s="124"/>
      <c r="C457" s="124"/>
      <c r="D457" s="124"/>
      <c r="E457" s="124"/>
      <c r="F457" s="124"/>
      <c r="G457" s="124"/>
      <c r="H457" s="124"/>
      <c r="I457" s="124"/>
      <c r="J457" s="124"/>
      <c r="K457" s="124"/>
      <c r="L457" s="124"/>
      <c r="M457" s="124"/>
      <c r="N457" s="124"/>
      <c r="O457" s="124"/>
      <c r="P457" s="124"/>
      <c r="Q457" s="124"/>
      <c r="R457" s="124"/>
      <c r="S457" s="124"/>
    </row>
    <row r="458" spans="1:19" x14ac:dyDescent="0.25">
      <c r="A458" s="124"/>
      <c r="B458" s="124"/>
      <c r="C458" s="124"/>
      <c r="D458" s="124"/>
      <c r="E458" s="124"/>
      <c r="F458" s="124"/>
      <c r="G458" s="124"/>
      <c r="H458" s="124"/>
      <c r="I458" s="124"/>
      <c r="J458" s="124"/>
      <c r="K458" s="124"/>
      <c r="L458" s="124"/>
      <c r="M458" s="124"/>
      <c r="N458" s="124"/>
      <c r="O458" s="124"/>
      <c r="P458" s="124"/>
      <c r="Q458" s="124"/>
      <c r="R458" s="124"/>
      <c r="S458" s="124"/>
    </row>
    <row r="459" spans="1:19" x14ac:dyDescent="0.25">
      <c r="A459" s="124"/>
      <c r="B459" s="124"/>
      <c r="C459" s="124"/>
      <c r="D459" s="124"/>
      <c r="E459" s="124"/>
      <c r="F459" s="124"/>
      <c r="G459" s="124"/>
      <c r="H459" s="124"/>
      <c r="I459" s="124"/>
      <c r="J459" s="124"/>
      <c r="K459" s="124"/>
      <c r="L459" s="124"/>
      <c r="M459" s="124"/>
      <c r="N459" s="124"/>
      <c r="O459" s="124"/>
      <c r="P459" s="124"/>
      <c r="Q459" s="124"/>
      <c r="R459" s="124"/>
      <c r="S459" s="124"/>
    </row>
    <row r="460" spans="1:19" x14ac:dyDescent="0.25">
      <c r="A460" s="124"/>
      <c r="B460" s="124"/>
      <c r="C460" s="124"/>
      <c r="D460" s="124"/>
      <c r="E460" s="124"/>
      <c r="F460" s="124"/>
      <c r="G460" s="124"/>
      <c r="H460" s="124"/>
      <c r="I460" s="124"/>
      <c r="J460" s="124"/>
      <c r="K460" s="124"/>
      <c r="L460" s="124"/>
      <c r="M460" s="124"/>
      <c r="N460" s="124"/>
      <c r="O460" s="124"/>
      <c r="P460" s="124"/>
      <c r="Q460" s="124"/>
      <c r="R460" s="124"/>
      <c r="S460" s="124"/>
    </row>
    <row r="461" spans="1:19" x14ac:dyDescent="0.25">
      <c r="A461" s="124"/>
      <c r="B461" s="124"/>
      <c r="C461" s="124"/>
      <c r="D461" s="124"/>
      <c r="E461" s="124"/>
      <c r="F461" s="124"/>
      <c r="G461" s="124"/>
      <c r="H461" s="124"/>
      <c r="I461" s="124"/>
      <c r="J461" s="124"/>
      <c r="K461" s="124"/>
      <c r="L461" s="124"/>
      <c r="M461" s="124"/>
      <c r="N461" s="124"/>
      <c r="O461" s="124"/>
      <c r="P461" s="124"/>
      <c r="Q461" s="124"/>
      <c r="R461" s="124"/>
      <c r="S461" s="124"/>
    </row>
    <row r="462" spans="1:19" x14ac:dyDescent="0.25">
      <c r="A462" s="124"/>
      <c r="B462" s="124"/>
      <c r="C462" s="124"/>
      <c r="D462" s="124"/>
      <c r="E462" s="124"/>
      <c r="F462" s="124"/>
      <c r="G462" s="124"/>
      <c r="H462" s="124"/>
      <c r="I462" s="124"/>
      <c r="J462" s="124"/>
      <c r="K462" s="124"/>
      <c r="L462" s="124"/>
      <c r="M462" s="124"/>
      <c r="N462" s="124"/>
      <c r="O462" s="124"/>
      <c r="P462" s="124"/>
      <c r="Q462" s="124"/>
      <c r="R462" s="124"/>
      <c r="S462" s="124"/>
    </row>
    <row r="463" spans="1:19" x14ac:dyDescent="0.25">
      <c r="A463" s="124"/>
      <c r="B463" s="124"/>
      <c r="C463" s="124"/>
      <c r="D463" s="124"/>
      <c r="E463" s="124"/>
      <c r="F463" s="124"/>
      <c r="G463" s="124"/>
      <c r="H463" s="124"/>
      <c r="I463" s="124"/>
      <c r="J463" s="124"/>
      <c r="K463" s="124"/>
      <c r="L463" s="124"/>
      <c r="M463" s="124"/>
      <c r="N463" s="124"/>
      <c r="O463" s="124"/>
      <c r="P463" s="124"/>
      <c r="Q463" s="124"/>
      <c r="R463" s="124"/>
      <c r="S463" s="124"/>
    </row>
    <row r="464" spans="1:19" x14ac:dyDescent="0.25">
      <c r="A464" s="124"/>
      <c r="B464" s="124"/>
      <c r="C464" s="124"/>
      <c r="D464" s="124"/>
      <c r="E464" s="124"/>
      <c r="F464" s="124"/>
      <c r="G464" s="124"/>
      <c r="H464" s="124"/>
      <c r="I464" s="124"/>
      <c r="J464" s="124"/>
      <c r="K464" s="124"/>
      <c r="L464" s="124"/>
      <c r="M464" s="124"/>
      <c r="N464" s="124"/>
      <c r="O464" s="124"/>
      <c r="P464" s="124"/>
      <c r="Q464" s="124"/>
      <c r="R464" s="124"/>
      <c r="S464" s="124"/>
    </row>
    <row r="465" spans="1:19" x14ac:dyDescent="0.25">
      <c r="A465" s="124"/>
      <c r="B465" s="124"/>
      <c r="C465" s="124"/>
      <c r="D465" s="124"/>
      <c r="E465" s="124"/>
      <c r="F465" s="124"/>
      <c r="G465" s="124"/>
      <c r="H465" s="124"/>
      <c r="I465" s="124"/>
      <c r="J465" s="124"/>
      <c r="K465" s="124"/>
      <c r="L465" s="124"/>
      <c r="M465" s="124"/>
      <c r="N465" s="124"/>
      <c r="O465" s="124"/>
      <c r="P465" s="124"/>
      <c r="Q465" s="124"/>
      <c r="R465" s="124"/>
      <c r="S465" s="124"/>
    </row>
    <row r="466" spans="1:19" x14ac:dyDescent="0.25">
      <c r="A466" s="124"/>
      <c r="B466" s="124"/>
      <c r="C466" s="124"/>
      <c r="D466" s="124"/>
      <c r="E466" s="124"/>
      <c r="F466" s="124"/>
      <c r="G466" s="124"/>
      <c r="H466" s="124"/>
      <c r="I466" s="124"/>
      <c r="J466" s="124"/>
      <c r="K466" s="124"/>
      <c r="L466" s="124"/>
      <c r="M466" s="124"/>
      <c r="N466" s="124"/>
      <c r="O466" s="124"/>
      <c r="P466" s="124"/>
      <c r="Q466" s="124"/>
      <c r="R466" s="124"/>
      <c r="S466" s="124"/>
    </row>
    <row r="467" spans="1:19" x14ac:dyDescent="0.25">
      <c r="A467" s="124"/>
      <c r="B467" s="124"/>
      <c r="C467" s="124"/>
      <c r="D467" s="124"/>
      <c r="E467" s="124"/>
      <c r="F467" s="124"/>
      <c r="G467" s="124"/>
      <c r="H467" s="124"/>
      <c r="I467" s="124"/>
      <c r="J467" s="124"/>
      <c r="K467" s="124"/>
      <c r="L467" s="124"/>
      <c r="M467" s="124"/>
      <c r="N467" s="124"/>
      <c r="O467" s="124"/>
      <c r="P467" s="124"/>
      <c r="Q467" s="124"/>
      <c r="R467" s="124"/>
      <c r="S467" s="124"/>
    </row>
    <row r="468" spans="1:19" x14ac:dyDescent="0.25">
      <c r="A468" s="124"/>
      <c r="B468" s="124"/>
      <c r="C468" s="124"/>
      <c r="D468" s="124"/>
      <c r="E468" s="124"/>
      <c r="F468" s="124"/>
      <c r="G468" s="124"/>
      <c r="H468" s="124"/>
      <c r="I468" s="124"/>
      <c r="J468" s="124"/>
      <c r="K468" s="124"/>
      <c r="L468" s="124"/>
      <c r="M468" s="124"/>
      <c r="N468" s="124"/>
      <c r="O468" s="124"/>
      <c r="P468" s="124"/>
      <c r="Q468" s="124"/>
      <c r="R468" s="124"/>
      <c r="S468" s="124"/>
    </row>
    <row r="469" spans="1:19" x14ac:dyDescent="0.25">
      <c r="A469" s="124"/>
      <c r="B469" s="124"/>
      <c r="C469" s="124"/>
      <c r="D469" s="124"/>
      <c r="E469" s="124"/>
      <c r="F469" s="124"/>
      <c r="G469" s="124"/>
      <c r="H469" s="124"/>
      <c r="I469" s="124"/>
      <c r="J469" s="124"/>
      <c r="K469" s="124"/>
      <c r="L469" s="124"/>
      <c r="M469" s="124"/>
      <c r="N469" s="124"/>
      <c r="O469" s="124"/>
      <c r="P469" s="124"/>
      <c r="Q469" s="124"/>
      <c r="R469" s="124"/>
      <c r="S469" s="124"/>
    </row>
    <row r="470" spans="1:19" x14ac:dyDescent="0.25">
      <c r="A470" s="124"/>
      <c r="B470" s="124"/>
      <c r="C470" s="124"/>
      <c r="D470" s="124"/>
      <c r="E470" s="124"/>
      <c r="F470" s="124"/>
      <c r="G470" s="124"/>
      <c r="H470" s="124"/>
      <c r="I470" s="124"/>
      <c r="J470" s="124"/>
      <c r="K470" s="124"/>
      <c r="L470" s="124"/>
      <c r="M470" s="124"/>
      <c r="N470" s="124"/>
      <c r="O470" s="124"/>
      <c r="P470" s="124"/>
      <c r="Q470" s="124"/>
      <c r="R470" s="124"/>
      <c r="S470" s="124"/>
    </row>
    <row r="471" spans="1:19" x14ac:dyDescent="0.25">
      <c r="A471" s="124"/>
      <c r="B471" s="124"/>
      <c r="C471" s="124"/>
      <c r="D471" s="124"/>
      <c r="E471" s="124"/>
      <c r="F471" s="124"/>
      <c r="G471" s="124"/>
      <c r="H471" s="124"/>
      <c r="I471" s="124"/>
      <c r="J471" s="124"/>
      <c r="K471" s="124"/>
      <c r="L471" s="124"/>
      <c r="M471" s="124"/>
      <c r="N471" s="124"/>
      <c r="O471" s="124"/>
      <c r="P471" s="124"/>
      <c r="Q471" s="124"/>
      <c r="R471" s="124"/>
      <c r="S471" s="124"/>
    </row>
    <row r="472" spans="1:19" x14ac:dyDescent="0.25">
      <c r="A472" s="124"/>
      <c r="B472" s="124"/>
      <c r="C472" s="124"/>
      <c r="D472" s="124"/>
      <c r="E472" s="124"/>
      <c r="F472" s="124"/>
      <c r="G472" s="124"/>
      <c r="H472" s="124"/>
      <c r="I472" s="124"/>
      <c r="J472" s="124"/>
      <c r="K472" s="124"/>
      <c r="L472" s="124"/>
      <c r="M472" s="124"/>
      <c r="N472" s="124"/>
      <c r="O472" s="124"/>
      <c r="P472" s="124"/>
      <c r="Q472" s="124"/>
      <c r="R472" s="124"/>
      <c r="S472" s="124"/>
    </row>
    <row r="473" spans="1:19" x14ac:dyDescent="0.25">
      <c r="A473" s="124"/>
      <c r="B473" s="124"/>
      <c r="C473" s="124"/>
      <c r="D473" s="124"/>
      <c r="E473" s="124"/>
      <c r="F473" s="124"/>
      <c r="G473" s="124"/>
      <c r="H473" s="124"/>
      <c r="I473" s="124"/>
      <c r="J473" s="124"/>
      <c r="K473" s="124"/>
      <c r="L473" s="124"/>
      <c r="M473" s="124"/>
      <c r="N473" s="124"/>
      <c r="O473" s="124"/>
      <c r="P473" s="124"/>
      <c r="Q473" s="124"/>
      <c r="R473" s="124"/>
      <c r="S473" s="124"/>
    </row>
    <row r="474" spans="1:19" x14ac:dyDescent="0.25">
      <c r="A474" s="124"/>
      <c r="B474" s="124"/>
      <c r="C474" s="124"/>
      <c r="D474" s="124"/>
      <c r="E474" s="124"/>
      <c r="F474" s="124"/>
      <c r="G474" s="124"/>
      <c r="H474" s="124"/>
      <c r="I474" s="124"/>
      <c r="J474" s="124"/>
      <c r="K474" s="124"/>
      <c r="L474" s="124"/>
      <c r="M474" s="124"/>
      <c r="N474" s="124"/>
      <c r="O474" s="124"/>
      <c r="P474" s="124"/>
      <c r="Q474" s="124"/>
      <c r="R474" s="124"/>
      <c r="S474" s="124"/>
    </row>
    <row r="475" spans="1:19" x14ac:dyDescent="0.25">
      <c r="A475" s="124"/>
      <c r="B475" s="124"/>
      <c r="C475" s="124"/>
      <c r="D475" s="124"/>
      <c r="E475" s="124"/>
      <c r="F475" s="124"/>
      <c r="G475" s="124"/>
      <c r="H475" s="124"/>
      <c r="I475" s="124"/>
      <c r="J475" s="124"/>
      <c r="K475" s="124"/>
      <c r="L475" s="124"/>
      <c r="M475" s="124"/>
      <c r="N475" s="124"/>
      <c r="O475" s="124"/>
      <c r="P475" s="124"/>
      <c r="Q475" s="124"/>
      <c r="R475" s="124"/>
      <c r="S475" s="124"/>
    </row>
    <row r="476" spans="1:19" x14ac:dyDescent="0.25">
      <c r="A476" s="124"/>
      <c r="B476" s="124"/>
      <c r="C476" s="124"/>
      <c r="D476" s="124"/>
      <c r="E476" s="124"/>
      <c r="F476" s="124"/>
      <c r="G476" s="124"/>
      <c r="H476" s="124"/>
      <c r="I476" s="124"/>
      <c r="J476" s="124"/>
      <c r="K476" s="124"/>
      <c r="L476" s="124"/>
      <c r="M476" s="124"/>
      <c r="N476" s="124"/>
      <c r="O476" s="124"/>
      <c r="P476" s="124"/>
      <c r="Q476" s="124"/>
      <c r="R476" s="124"/>
      <c r="S476" s="124"/>
    </row>
    <row r="477" spans="1:19" x14ac:dyDescent="0.25">
      <c r="A477" s="124"/>
      <c r="B477" s="124"/>
      <c r="C477" s="124"/>
      <c r="D477" s="124"/>
      <c r="E477" s="124"/>
      <c r="F477" s="124"/>
      <c r="G477" s="124"/>
      <c r="H477" s="124"/>
      <c r="I477" s="124"/>
      <c r="J477" s="124"/>
      <c r="K477" s="124"/>
      <c r="L477" s="124"/>
      <c r="M477" s="124"/>
      <c r="N477" s="124"/>
      <c r="O477" s="124"/>
      <c r="P477" s="124"/>
      <c r="Q477" s="124"/>
      <c r="R477" s="124"/>
      <c r="S477" s="124"/>
    </row>
    <row r="478" spans="1:19" x14ac:dyDescent="0.25">
      <c r="A478" s="124"/>
      <c r="B478" s="124"/>
      <c r="C478" s="124"/>
      <c r="D478" s="124"/>
      <c r="E478" s="124"/>
      <c r="F478" s="124"/>
      <c r="G478" s="124"/>
      <c r="H478" s="124"/>
      <c r="I478" s="124"/>
      <c r="J478" s="124"/>
      <c r="K478" s="124"/>
      <c r="L478" s="124"/>
      <c r="M478" s="124"/>
      <c r="N478" s="124"/>
      <c r="O478" s="124"/>
      <c r="P478" s="124"/>
      <c r="Q478" s="124"/>
      <c r="R478" s="124"/>
      <c r="S478" s="124"/>
    </row>
    <row r="479" spans="1:19" x14ac:dyDescent="0.25">
      <c r="A479" s="124"/>
      <c r="B479" s="124"/>
      <c r="C479" s="124"/>
      <c r="D479" s="124"/>
      <c r="E479" s="124"/>
      <c r="F479" s="124"/>
      <c r="G479" s="124"/>
      <c r="H479" s="124"/>
      <c r="I479" s="124"/>
      <c r="J479" s="124"/>
      <c r="K479" s="124"/>
      <c r="L479" s="124"/>
      <c r="M479" s="124"/>
      <c r="N479" s="124"/>
      <c r="O479" s="124"/>
      <c r="P479" s="124"/>
      <c r="Q479" s="124"/>
      <c r="R479" s="124"/>
      <c r="S479" s="124"/>
    </row>
    <row r="480" spans="1:19" x14ac:dyDescent="0.25">
      <c r="A480" s="124"/>
      <c r="B480" s="124"/>
      <c r="C480" s="124"/>
      <c r="D480" s="124"/>
      <c r="E480" s="124"/>
      <c r="F480" s="124"/>
      <c r="G480" s="124"/>
      <c r="H480" s="124"/>
      <c r="I480" s="124"/>
      <c r="J480" s="124"/>
      <c r="K480" s="124"/>
      <c r="L480" s="124"/>
      <c r="M480" s="124"/>
      <c r="N480" s="124"/>
      <c r="O480" s="124"/>
      <c r="P480" s="124"/>
      <c r="Q480" s="124"/>
      <c r="R480" s="124"/>
      <c r="S480" s="124"/>
    </row>
    <row r="481" spans="1:19" x14ac:dyDescent="0.25">
      <c r="A481" s="124"/>
      <c r="B481" s="124"/>
      <c r="C481" s="124"/>
      <c r="D481" s="124"/>
      <c r="E481" s="124"/>
      <c r="F481" s="124"/>
      <c r="G481" s="124"/>
      <c r="H481" s="124"/>
      <c r="I481" s="124"/>
      <c r="J481" s="124"/>
      <c r="K481" s="124"/>
      <c r="L481" s="124"/>
      <c r="M481" s="124"/>
      <c r="N481" s="124"/>
      <c r="O481" s="124"/>
      <c r="P481" s="124"/>
      <c r="Q481" s="124"/>
      <c r="R481" s="124"/>
      <c r="S481" s="124"/>
    </row>
    <row r="482" spans="1:19" x14ac:dyDescent="0.25">
      <c r="A482" s="124"/>
      <c r="B482" s="124"/>
      <c r="C482" s="124"/>
      <c r="D482" s="124"/>
      <c r="E482" s="124"/>
      <c r="F482" s="124"/>
      <c r="G482" s="124"/>
      <c r="H482" s="124"/>
      <c r="I482" s="124"/>
      <c r="J482" s="124"/>
      <c r="K482" s="124"/>
      <c r="L482" s="124"/>
      <c r="M482" s="124"/>
      <c r="N482" s="124"/>
      <c r="O482" s="124"/>
      <c r="P482" s="124"/>
      <c r="Q482" s="124"/>
      <c r="R482" s="124"/>
      <c r="S482" s="124"/>
    </row>
    <row r="483" spans="1:19" x14ac:dyDescent="0.25">
      <c r="A483" s="124"/>
      <c r="B483" s="124"/>
      <c r="C483" s="124"/>
      <c r="D483" s="124"/>
      <c r="E483" s="124"/>
      <c r="F483" s="124"/>
      <c r="G483" s="124"/>
      <c r="H483" s="124"/>
      <c r="I483" s="124"/>
      <c r="J483" s="124"/>
      <c r="K483" s="124"/>
      <c r="L483" s="124"/>
      <c r="M483" s="124"/>
      <c r="N483" s="124"/>
      <c r="O483" s="124"/>
      <c r="P483" s="124"/>
      <c r="Q483" s="124"/>
      <c r="R483" s="124"/>
      <c r="S483" s="124"/>
    </row>
    <row r="484" spans="1:19" x14ac:dyDescent="0.25">
      <c r="A484" s="124"/>
      <c r="B484" s="124"/>
      <c r="C484" s="124"/>
      <c r="D484" s="124"/>
      <c r="E484" s="124"/>
      <c r="F484" s="124"/>
      <c r="G484" s="124"/>
      <c r="H484" s="124"/>
      <c r="I484" s="124"/>
      <c r="J484" s="124"/>
      <c r="K484" s="124"/>
      <c r="L484" s="124"/>
      <c r="M484" s="124"/>
      <c r="N484" s="124"/>
      <c r="O484" s="124"/>
      <c r="P484" s="124"/>
      <c r="Q484" s="124"/>
      <c r="R484" s="124"/>
      <c r="S484" s="124"/>
    </row>
    <row r="485" spans="1:19" x14ac:dyDescent="0.25">
      <c r="A485" s="124"/>
      <c r="B485" s="124"/>
      <c r="C485" s="124"/>
      <c r="D485" s="124"/>
      <c r="E485" s="124"/>
      <c r="F485" s="124"/>
      <c r="G485" s="124"/>
      <c r="H485" s="124"/>
      <c r="I485" s="124"/>
      <c r="J485" s="124"/>
      <c r="K485" s="124"/>
      <c r="L485" s="124"/>
      <c r="M485" s="124"/>
      <c r="N485" s="124"/>
      <c r="O485" s="124"/>
      <c r="P485" s="124"/>
      <c r="Q485" s="124"/>
      <c r="R485" s="124"/>
      <c r="S485" s="124"/>
    </row>
    <row r="486" spans="1:19" x14ac:dyDescent="0.25">
      <c r="A486" s="124"/>
      <c r="B486" s="124"/>
      <c r="C486" s="124"/>
      <c r="D486" s="124"/>
      <c r="E486" s="124"/>
      <c r="F486" s="124"/>
      <c r="G486" s="124"/>
      <c r="H486" s="124"/>
      <c r="I486" s="124"/>
      <c r="J486" s="124"/>
      <c r="K486" s="124"/>
      <c r="L486" s="124"/>
      <c r="M486" s="124"/>
      <c r="N486" s="124"/>
      <c r="O486" s="124"/>
      <c r="P486" s="124"/>
      <c r="Q486" s="124"/>
      <c r="R486" s="124"/>
      <c r="S486" s="124"/>
    </row>
    <row r="487" spans="1:19" x14ac:dyDescent="0.25">
      <c r="A487" s="124"/>
      <c r="B487" s="124"/>
      <c r="C487" s="124"/>
      <c r="D487" s="124"/>
      <c r="E487" s="124"/>
      <c r="F487" s="124"/>
      <c r="G487" s="124"/>
      <c r="H487" s="124"/>
      <c r="I487" s="124"/>
      <c r="J487" s="124"/>
      <c r="K487" s="124"/>
      <c r="L487" s="124"/>
      <c r="M487" s="124"/>
      <c r="N487" s="124"/>
      <c r="O487" s="124"/>
      <c r="P487" s="124"/>
      <c r="Q487" s="124"/>
      <c r="R487" s="124"/>
      <c r="S487" s="124"/>
    </row>
    <row r="488" spans="1:19" x14ac:dyDescent="0.25">
      <c r="A488" s="124"/>
      <c r="B488" s="124"/>
      <c r="C488" s="124"/>
      <c r="D488" s="124"/>
      <c r="E488" s="124"/>
      <c r="F488" s="124"/>
      <c r="G488" s="124"/>
      <c r="H488" s="124"/>
      <c r="I488" s="124"/>
      <c r="J488" s="124"/>
      <c r="K488" s="124"/>
      <c r="L488" s="124"/>
      <c r="M488" s="124"/>
      <c r="N488" s="124"/>
      <c r="O488" s="124"/>
      <c r="P488" s="124"/>
      <c r="Q488" s="124"/>
      <c r="R488" s="124"/>
      <c r="S488" s="124"/>
    </row>
    <row r="489" spans="1:19" x14ac:dyDescent="0.25">
      <c r="A489" s="124"/>
      <c r="B489" s="124"/>
      <c r="C489" s="124"/>
      <c r="D489" s="124"/>
      <c r="E489" s="124"/>
      <c r="F489" s="124"/>
      <c r="G489" s="124"/>
      <c r="H489" s="124"/>
      <c r="I489" s="124"/>
      <c r="J489" s="124"/>
      <c r="K489" s="124"/>
      <c r="L489" s="124"/>
      <c r="M489" s="124"/>
      <c r="N489" s="124"/>
      <c r="O489" s="124"/>
      <c r="P489" s="124"/>
      <c r="Q489" s="124"/>
      <c r="R489" s="124"/>
      <c r="S489" s="124"/>
    </row>
    <row r="490" spans="1:19" x14ac:dyDescent="0.25">
      <c r="A490" s="124"/>
      <c r="B490" s="124"/>
      <c r="C490" s="124"/>
      <c r="D490" s="124"/>
      <c r="E490" s="124"/>
      <c r="F490" s="124"/>
      <c r="G490" s="124"/>
      <c r="H490" s="124"/>
      <c r="I490" s="124"/>
      <c r="J490" s="124"/>
      <c r="K490" s="124"/>
      <c r="L490" s="124"/>
      <c r="M490" s="124"/>
      <c r="N490" s="124"/>
      <c r="O490" s="124"/>
      <c r="P490" s="124"/>
      <c r="Q490" s="124"/>
      <c r="R490" s="124"/>
      <c r="S490" s="124"/>
    </row>
    <row r="491" spans="1:19" x14ac:dyDescent="0.25">
      <c r="A491" s="124"/>
      <c r="B491" s="124"/>
      <c r="C491" s="124"/>
      <c r="D491" s="124"/>
      <c r="E491" s="124"/>
      <c r="F491" s="124"/>
      <c r="G491" s="124"/>
      <c r="H491" s="124"/>
      <c r="I491" s="124"/>
      <c r="J491" s="124"/>
      <c r="K491" s="124"/>
      <c r="L491" s="124"/>
      <c r="M491" s="124"/>
      <c r="N491" s="124"/>
      <c r="O491" s="124"/>
      <c r="P491" s="124"/>
      <c r="Q491" s="124"/>
      <c r="R491" s="124"/>
      <c r="S491" s="124"/>
    </row>
    <row r="492" spans="1:19" x14ac:dyDescent="0.25">
      <c r="A492" s="124"/>
      <c r="B492" s="124"/>
      <c r="C492" s="124"/>
      <c r="D492" s="124"/>
      <c r="E492" s="124"/>
      <c r="F492" s="124"/>
      <c r="G492" s="124"/>
      <c r="H492" s="124"/>
      <c r="I492" s="124"/>
      <c r="J492" s="124"/>
      <c r="K492" s="124"/>
      <c r="L492" s="124"/>
      <c r="M492" s="124"/>
      <c r="N492" s="124"/>
      <c r="O492" s="124"/>
      <c r="P492" s="124"/>
      <c r="Q492" s="124"/>
      <c r="R492" s="124"/>
      <c r="S492" s="124"/>
    </row>
    <row r="493" spans="1:19" x14ac:dyDescent="0.25">
      <c r="A493" s="124"/>
      <c r="B493" s="124"/>
      <c r="C493" s="124"/>
      <c r="D493" s="124"/>
      <c r="E493" s="124"/>
      <c r="F493" s="124"/>
      <c r="G493" s="124"/>
      <c r="H493" s="124"/>
      <c r="I493" s="124"/>
      <c r="J493" s="124"/>
      <c r="K493" s="124"/>
      <c r="L493" s="124"/>
      <c r="M493" s="124"/>
      <c r="N493" s="124"/>
      <c r="O493" s="124"/>
      <c r="P493" s="124"/>
      <c r="Q493" s="124"/>
      <c r="R493" s="124"/>
      <c r="S493" s="124"/>
    </row>
    <row r="494" spans="1:19" x14ac:dyDescent="0.25">
      <c r="A494" s="124"/>
      <c r="B494" s="124"/>
      <c r="C494" s="124"/>
      <c r="D494" s="124"/>
      <c r="E494" s="124"/>
      <c r="F494" s="124"/>
      <c r="G494" s="124"/>
      <c r="H494" s="124"/>
      <c r="I494" s="124"/>
      <c r="J494" s="124"/>
      <c r="K494" s="124"/>
      <c r="L494" s="124"/>
      <c r="M494" s="124"/>
      <c r="N494" s="124"/>
      <c r="O494" s="124"/>
      <c r="P494" s="124"/>
      <c r="Q494" s="124"/>
      <c r="R494" s="124"/>
      <c r="S494" s="124"/>
    </row>
    <row r="495" spans="1:19" x14ac:dyDescent="0.25">
      <c r="A495" s="124"/>
      <c r="B495" s="124"/>
      <c r="C495" s="124"/>
      <c r="D495" s="124"/>
      <c r="E495" s="124"/>
      <c r="F495" s="124"/>
      <c r="G495" s="124"/>
      <c r="H495" s="124"/>
      <c r="I495" s="124"/>
      <c r="J495" s="124"/>
      <c r="K495" s="124"/>
      <c r="L495" s="124"/>
      <c r="M495" s="124"/>
      <c r="N495" s="124"/>
      <c r="O495" s="124"/>
      <c r="P495" s="124"/>
      <c r="Q495" s="124"/>
      <c r="R495" s="124"/>
      <c r="S495" s="124"/>
    </row>
    <row r="496" spans="1:19" x14ac:dyDescent="0.25">
      <c r="A496" s="124"/>
      <c r="B496" s="124"/>
      <c r="C496" s="124"/>
      <c r="D496" s="124"/>
      <c r="E496" s="124"/>
      <c r="F496" s="124"/>
      <c r="G496" s="124"/>
      <c r="H496" s="124"/>
      <c r="I496" s="124"/>
      <c r="J496" s="124"/>
      <c r="K496" s="124"/>
      <c r="L496" s="124"/>
      <c r="M496" s="124"/>
      <c r="N496" s="124"/>
      <c r="O496" s="124"/>
      <c r="P496" s="124"/>
      <c r="Q496" s="124"/>
      <c r="R496" s="124"/>
      <c r="S496" s="124"/>
    </row>
    <row r="497" spans="1:19" x14ac:dyDescent="0.25">
      <c r="A497" s="124"/>
      <c r="B497" s="124"/>
      <c r="C497" s="124"/>
      <c r="D497" s="124"/>
      <c r="E497" s="124"/>
      <c r="F497" s="124"/>
      <c r="G497" s="124"/>
      <c r="H497" s="124"/>
      <c r="I497" s="124"/>
      <c r="J497" s="124"/>
      <c r="K497" s="124"/>
      <c r="L497" s="124"/>
      <c r="M497" s="124"/>
      <c r="N497" s="124"/>
      <c r="O497" s="124"/>
      <c r="P497" s="124"/>
      <c r="Q497" s="124"/>
      <c r="R497" s="124"/>
      <c r="S497" s="124"/>
    </row>
    <row r="498" spans="1:19" x14ac:dyDescent="0.25">
      <c r="A498" s="124"/>
      <c r="B498" s="124"/>
      <c r="C498" s="124"/>
      <c r="D498" s="124"/>
      <c r="E498" s="124"/>
      <c r="F498" s="124"/>
      <c r="G498" s="124"/>
      <c r="H498" s="124"/>
      <c r="I498" s="124"/>
      <c r="J498" s="124"/>
      <c r="K498" s="124"/>
      <c r="L498" s="124"/>
      <c r="M498" s="124"/>
      <c r="N498" s="124"/>
      <c r="O498" s="124"/>
      <c r="P498" s="124"/>
      <c r="Q498" s="124"/>
      <c r="R498" s="124"/>
      <c r="S498" s="124"/>
    </row>
    <row r="499" spans="1:19" x14ac:dyDescent="0.25">
      <c r="A499" s="124"/>
      <c r="B499" s="124"/>
      <c r="C499" s="124"/>
      <c r="D499" s="124"/>
      <c r="E499" s="124"/>
      <c r="F499" s="124"/>
      <c r="G499" s="124"/>
      <c r="H499" s="124"/>
      <c r="I499" s="124"/>
      <c r="J499" s="124"/>
      <c r="K499" s="124"/>
      <c r="L499" s="124"/>
      <c r="M499" s="124"/>
      <c r="N499" s="124"/>
      <c r="O499" s="124"/>
      <c r="P499" s="124"/>
      <c r="Q499" s="124"/>
      <c r="R499" s="124"/>
      <c r="S499" s="124"/>
    </row>
    <row r="500" spans="1:19" x14ac:dyDescent="0.25">
      <c r="A500" s="124"/>
      <c r="B500" s="124"/>
      <c r="C500" s="124"/>
      <c r="D500" s="124"/>
      <c r="E500" s="124"/>
      <c r="F500" s="124"/>
      <c r="G500" s="124"/>
      <c r="H500" s="124"/>
      <c r="I500" s="124"/>
      <c r="J500" s="124"/>
      <c r="K500" s="124"/>
      <c r="L500" s="124"/>
      <c r="M500" s="124"/>
      <c r="N500" s="124"/>
      <c r="O500" s="124"/>
      <c r="P500" s="124"/>
      <c r="Q500" s="124"/>
      <c r="R500" s="124"/>
      <c r="S500" s="124"/>
    </row>
    <row r="501" spans="1:19" x14ac:dyDescent="0.25">
      <c r="A501" s="124"/>
      <c r="B501" s="124"/>
      <c r="C501" s="124"/>
      <c r="D501" s="124"/>
      <c r="E501" s="124"/>
      <c r="F501" s="124"/>
      <c r="G501" s="124"/>
      <c r="H501" s="124"/>
      <c r="I501" s="124"/>
      <c r="J501" s="124"/>
      <c r="K501" s="124"/>
      <c r="L501" s="124"/>
      <c r="M501" s="124"/>
      <c r="N501" s="124"/>
      <c r="O501" s="124"/>
      <c r="P501" s="124"/>
      <c r="Q501" s="124"/>
      <c r="R501" s="124"/>
      <c r="S501" s="124"/>
    </row>
    <row r="502" spans="1:19" x14ac:dyDescent="0.25">
      <c r="A502" s="124"/>
      <c r="B502" s="124"/>
      <c r="C502" s="124"/>
      <c r="D502" s="124"/>
      <c r="E502" s="124"/>
      <c r="F502" s="124"/>
      <c r="G502" s="124"/>
      <c r="H502" s="124"/>
      <c r="I502" s="124"/>
      <c r="J502" s="124"/>
      <c r="K502" s="124"/>
      <c r="L502" s="124"/>
      <c r="M502" s="124"/>
      <c r="N502" s="124"/>
      <c r="O502" s="124"/>
      <c r="P502" s="124"/>
      <c r="Q502" s="124"/>
      <c r="R502" s="124"/>
      <c r="S502" s="124"/>
    </row>
    <row r="503" spans="1:19" x14ac:dyDescent="0.25">
      <c r="A503" s="124"/>
      <c r="B503" s="124"/>
      <c r="C503" s="124"/>
      <c r="D503" s="124"/>
      <c r="E503" s="124"/>
      <c r="F503" s="124"/>
      <c r="G503" s="124"/>
      <c r="H503" s="124"/>
      <c r="I503" s="124"/>
      <c r="J503" s="124"/>
      <c r="K503" s="124"/>
      <c r="L503" s="124"/>
      <c r="M503" s="124"/>
      <c r="N503" s="124"/>
      <c r="O503" s="124"/>
      <c r="P503" s="124"/>
      <c r="Q503" s="124"/>
      <c r="R503" s="124"/>
      <c r="S503" s="124"/>
    </row>
    <row r="504" spans="1:19" x14ac:dyDescent="0.25">
      <c r="A504" s="124"/>
      <c r="B504" s="124"/>
      <c r="C504" s="124"/>
      <c r="D504" s="124"/>
      <c r="E504" s="124"/>
      <c r="F504" s="124"/>
      <c r="G504" s="124"/>
      <c r="H504" s="124"/>
      <c r="I504" s="124"/>
      <c r="J504" s="124"/>
      <c r="K504" s="124"/>
      <c r="L504" s="124"/>
      <c r="M504" s="124"/>
      <c r="N504" s="124"/>
      <c r="O504" s="124"/>
      <c r="P504" s="124"/>
      <c r="Q504" s="124"/>
      <c r="R504" s="124"/>
      <c r="S504" s="124"/>
    </row>
    <row r="505" spans="1:19" x14ac:dyDescent="0.25">
      <c r="A505" s="124"/>
      <c r="B505" s="124"/>
      <c r="C505" s="124"/>
      <c r="D505" s="124"/>
      <c r="E505" s="124"/>
      <c r="F505" s="124"/>
      <c r="G505" s="124"/>
      <c r="H505" s="124"/>
      <c r="I505" s="124"/>
      <c r="J505" s="124"/>
      <c r="K505" s="124"/>
      <c r="L505" s="124"/>
      <c r="M505" s="124"/>
      <c r="N505" s="124"/>
      <c r="O505" s="124"/>
      <c r="P505" s="124"/>
      <c r="Q505" s="124"/>
      <c r="R505" s="124"/>
      <c r="S505" s="124"/>
    </row>
    <row r="506" spans="1:19" x14ac:dyDescent="0.25">
      <c r="A506" s="124"/>
      <c r="B506" s="124"/>
      <c r="C506" s="124"/>
      <c r="D506" s="124"/>
      <c r="E506" s="124"/>
      <c r="F506" s="124"/>
      <c r="G506" s="124"/>
      <c r="H506" s="124"/>
      <c r="I506" s="124"/>
      <c r="J506" s="124"/>
      <c r="K506" s="124"/>
      <c r="L506" s="124"/>
      <c r="M506" s="124"/>
      <c r="N506" s="124"/>
      <c r="O506" s="124"/>
      <c r="P506" s="124"/>
      <c r="Q506" s="124"/>
      <c r="R506" s="124"/>
      <c r="S506" s="124"/>
    </row>
    <row r="507" spans="1:19" x14ac:dyDescent="0.25">
      <c r="A507" s="124"/>
      <c r="B507" s="124"/>
      <c r="C507" s="124"/>
      <c r="D507" s="124"/>
      <c r="E507" s="124"/>
      <c r="F507" s="124"/>
      <c r="G507" s="124"/>
      <c r="H507" s="124"/>
      <c r="I507" s="124"/>
      <c r="J507" s="124"/>
      <c r="K507" s="124"/>
      <c r="L507" s="124"/>
      <c r="M507" s="124"/>
      <c r="N507" s="124"/>
      <c r="O507" s="124"/>
      <c r="P507" s="124"/>
      <c r="Q507" s="124"/>
      <c r="R507" s="124"/>
      <c r="S507" s="124"/>
    </row>
    <row r="508" spans="1:19" x14ac:dyDescent="0.25">
      <c r="A508" s="124"/>
      <c r="B508" s="124"/>
      <c r="C508" s="124"/>
      <c r="D508" s="124"/>
      <c r="E508" s="124"/>
      <c r="F508" s="124"/>
      <c r="G508" s="124"/>
      <c r="H508" s="124"/>
      <c r="I508" s="124"/>
      <c r="J508" s="124"/>
      <c r="K508" s="124"/>
      <c r="L508" s="124"/>
      <c r="M508" s="124"/>
      <c r="N508" s="124"/>
      <c r="O508" s="124"/>
      <c r="P508" s="124"/>
      <c r="Q508" s="124"/>
      <c r="R508" s="124"/>
      <c r="S508" s="124"/>
    </row>
    <row r="509" spans="1:19" x14ac:dyDescent="0.25">
      <c r="A509" s="124"/>
      <c r="B509" s="124"/>
      <c r="C509" s="124"/>
      <c r="D509" s="124"/>
      <c r="E509" s="124"/>
      <c r="F509" s="124"/>
      <c r="G509" s="124"/>
      <c r="H509" s="124"/>
      <c r="I509" s="124"/>
      <c r="J509" s="124"/>
      <c r="K509" s="124"/>
      <c r="L509" s="124"/>
      <c r="M509" s="124"/>
      <c r="N509" s="124"/>
      <c r="O509" s="124"/>
      <c r="P509" s="124"/>
      <c r="Q509" s="124"/>
      <c r="R509" s="124"/>
      <c r="S509" s="124"/>
    </row>
    <row r="510" spans="1:19" x14ac:dyDescent="0.25">
      <c r="A510" s="124"/>
      <c r="B510" s="124"/>
      <c r="C510" s="124"/>
      <c r="D510" s="124"/>
      <c r="E510" s="124"/>
      <c r="F510" s="124"/>
      <c r="G510" s="124"/>
      <c r="H510" s="124"/>
      <c r="I510" s="124"/>
      <c r="J510" s="124"/>
      <c r="K510" s="124"/>
      <c r="L510" s="124"/>
      <c r="M510" s="124"/>
      <c r="N510" s="124"/>
      <c r="O510" s="124"/>
      <c r="P510" s="124"/>
      <c r="Q510" s="124"/>
      <c r="R510" s="124"/>
      <c r="S510" s="124"/>
    </row>
    <row r="511" spans="1:19" x14ac:dyDescent="0.25">
      <c r="A511" s="124"/>
      <c r="B511" s="124"/>
      <c r="C511" s="124"/>
      <c r="D511" s="124"/>
      <c r="E511" s="124"/>
      <c r="F511" s="124"/>
      <c r="G511" s="124"/>
      <c r="H511" s="124"/>
      <c r="I511" s="124"/>
      <c r="J511" s="124"/>
      <c r="K511" s="124"/>
      <c r="L511" s="124"/>
      <c r="M511" s="124"/>
      <c r="N511" s="124"/>
      <c r="O511" s="124"/>
      <c r="P511" s="124"/>
      <c r="Q511" s="124"/>
      <c r="R511" s="124"/>
      <c r="S511" s="124"/>
    </row>
    <row r="512" spans="1:19" x14ac:dyDescent="0.25">
      <c r="A512" s="124"/>
      <c r="B512" s="124"/>
      <c r="C512" s="124"/>
      <c r="D512" s="124"/>
      <c r="E512" s="124"/>
      <c r="F512" s="124"/>
      <c r="G512" s="124"/>
      <c r="H512" s="124"/>
      <c r="I512" s="124"/>
      <c r="J512" s="124"/>
      <c r="K512" s="124"/>
      <c r="L512" s="124"/>
      <c r="M512" s="124"/>
      <c r="N512" s="124"/>
      <c r="O512" s="124"/>
      <c r="P512" s="124"/>
      <c r="Q512" s="124"/>
      <c r="R512" s="124"/>
      <c r="S512" s="124"/>
    </row>
    <row r="513" spans="1:19" x14ac:dyDescent="0.25">
      <c r="A513" s="124"/>
      <c r="B513" s="124"/>
      <c r="C513" s="124"/>
      <c r="D513" s="124"/>
      <c r="E513" s="124"/>
      <c r="F513" s="124"/>
      <c r="G513" s="124"/>
      <c r="H513" s="124"/>
      <c r="I513" s="124"/>
      <c r="J513" s="124"/>
      <c r="K513" s="124"/>
      <c r="L513" s="124"/>
      <c r="M513" s="124"/>
      <c r="N513" s="124"/>
      <c r="O513" s="124"/>
      <c r="P513" s="124"/>
      <c r="Q513" s="124"/>
      <c r="R513" s="124"/>
      <c r="S513" s="124"/>
    </row>
    <row r="514" spans="1:19" x14ac:dyDescent="0.25">
      <c r="A514" s="124"/>
      <c r="B514" s="124"/>
      <c r="C514" s="124"/>
      <c r="D514" s="124"/>
      <c r="E514" s="124"/>
      <c r="F514" s="124"/>
      <c r="G514" s="124"/>
      <c r="H514" s="124"/>
      <c r="I514" s="124"/>
      <c r="J514" s="124"/>
      <c r="K514" s="124"/>
      <c r="L514" s="124"/>
      <c r="M514" s="124"/>
      <c r="N514" s="124"/>
      <c r="O514" s="124"/>
      <c r="P514" s="124"/>
      <c r="Q514" s="124"/>
      <c r="R514" s="124"/>
      <c r="S514" s="124"/>
    </row>
    <row r="515" spans="1:19" x14ac:dyDescent="0.25">
      <c r="A515" s="124"/>
      <c r="B515" s="124"/>
      <c r="C515" s="124"/>
      <c r="D515" s="124"/>
      <c r="E515" s="124"/>
      <c r="F515" s="124"/>
      <c r="G515" s="124"/>
      <c r="H515" s="124"/>
      <c r="I515" s="124"/>
      <c r="J515" s="124"/>
      <c r="K515" s="124"/>
      <c r="L515" s="124"/>
      <c r="M515" s="124"/>
      <c r="N515" s="124"/>
      <c r="O515" s="124"/>
      <c r="P515" s="124"/>
      <c r="Q515" s="124"/>
      <c r="R515" s="124"/>
      <c r="S515" s="124"/>
    </row>
    <row r="516" spans="1:19" x14ac:dyDescent="0.25">
      <c r="A516" s="124"/>
      <c r="B516" s="124"/>
      <c r="C516" s="124"/>
      <c r="D516" s="124"/>
      <c r="E516" s="124"/>
      <c r="F516" s="124"/>
      <c r="G516" s="124"/>
      <c r="H516" s="124"/>
      <c r="I516" s="124"/>
      <c r="J516" s="124"/>
      <c r="K516" s="124"/>
      <c r="L516" s="124"/>
      <c r="M516" s="124"/>
      <c r="N516" s="124"/>
      <c r="O516" s="124"/>
      <c r="P516" s="124"/>
      <c r="Q516" s="124"/>
      <c r="R516" s="124"/>
      <c r="S516" s="124"/>
    </row>
    <row r="517" spans="1:19" x14ac:dyDescent="0.25">
      <c r="A517" s="124"/>
      <c r="B517" s="124"/>
      <c r="C517" s="124"/>
      <c r="D517" s="124"/>
      <c r="E517" s="124"/>
      <c r="F517" s="124"/>
      <c r="G517" s="124"/>
      <c r="H517" s="124"/>
      <c r="I517" s="124"/>
      <c r="J517" s="124"/>
      <c r="K517" s="124"/>
      <c r="L517" s="124"/>
      <c r="M517" s="124"/>
      <c r="N517" s="124"/>
      <c r="O517" s="124"/>
      <c r="P517" s="124"/>
      <c r="Q517" s="124"/>
      <c r="R517" s="124"/>
      <c r="S517" s="124"/>
    </row>
    <row r="518" spans="1:19" x14ac:dyDescent="0.25">
      <c r="A518" s="124"/>
      <c r="B518" s="124"/>
      <c r="C518" s="124"/>
      <c r="D518" s="124"/>
      <c r="E518" s="124"/>
      <c r="F518" s="124"/>
      <c r="G518" s="124"/>
      <c r="H518" s="124"/>
      <c r="I518" s="124"/>
      <c r="J518" s="124"/>
      <c r="K518" s="124"/>
      <c r="L518" s="124"/>
      <c r="M518" s="124"/>
      <c r="N518" s="124"/>
      <c r="O518" s="124"/>
      <c r="P518" s="124"/>
      <c r="Q518" s="124"/>
      <c r="R518" s="124"/>
      <c r="S518" s="124"/>
    </row>
    <row r="519" spans="1:19" x14ac:dyDescent="0.25">
      <c r="A519" s="124"/>
      <c r="B519" s="124"/>
      <c r="C519" s="124"/>
      <c r="D519" s="124"/>
      <c r="E519" s="124"/>
      <c r="F519" s="124"/>
      <c r="G519" s="124"/>
      <c r="H519" s="124"/>
      <c r="I519" s="124"/>
      <c r="J519" s="124"/>
      <c r="K519" s="124"/>
      <c r="L519" s="124"/>
      <c r="M519" s="124"/>
      <c r="N519" s="124"/>
      <c r="O519" s="124"/>
      <c r="P519" s="124"/>
      <c r="Q519" s="124"/>
      <c r="R519" s="124"/>
      <c r="S519" s="124"/>
    </row>
    <row r="520" spans="1:19" x14ac:dyDescent="0.25">
      <c r="A520" s="124"/>
      <c r="B520" s="124"/>
      <c r="C520" s="124"/>
      <c r="D520" s="124"/>
      <c r="E520" s="124"/>
      <c r="F520" s="124"/>
      <c r="G520" s="124"/>
      <c r="H520" s="124"/>
      <c r="I520" s="124"/>
      <c r="J520" s="124"/>
      <c r="K520" s="124"/>
      <c r="L520" s="124"/>
      <c r="M520" s="124"/>
      <c r="N520" s="124"/>
      <c r="O520" s="124"/>
      <c r="P520" s="124"/>
      <c r="Q520" s="124"/>
      <c r="R520" s="124"/>
      <c r="S520" s="124"/>
    </row>
    <row r="521" spans="1:19" x14ac:dyDescent="0.25">
      <c r="A521" s="124"/>
      <c r="B521" s="124"/>
      <c r="C521" s="124"/>
      <c r="D521" s="124"/>
      <c r="E521" s="124"/>
      <c r="F521" s="124"/>
      <c r="G521" s="124"/>
      <c r="H521" s="124"/>
      <c r="I521" s="124"/>
      <c r="J521" s="124"/>
      <c r="K521" s="124"/>
      <c r="L521" s="124"/>
      <c r="M521" s="124"/>
      <c r="N521" s="124"/>
      <c r="O521" s="124"/>
      <c r="P521" s="124"/>
      <c r="Q521" s="124"/>
      <c r="R521" s="124"/>
      <c r="S521" s="124"/>
    </row>
    <row r="522" spans="1:19" x14ac:dyDescent="0.25">
      <c r="A522" s="124"/>
      <c r="B522" s="124"/>
      <c r="C522" s="124"/>
      <c r="D522" s="124"/>
      <c r="E522" s="124"/>
      <c r="F522" s="124"/>
      <c r="G522" s="124"/>
      <c r="H522" s="124"/>
      <c r="I522" s="124"/>
      <c r="J522" s="124"/>
      <c r="K522" s="124"/>
      <c r="L522" s="124"/>
      <c r="M522" s="124"/>
      <c r="N522" s="124"/>
      <c r="O522" s="124"/>
      <c r="P522" s="124"/>
      <c r="Q522" s="124"/>
      <c r="R522" s="124"/>
      <c r="S522" s="124"/>
    </row>
    <row r="523" spans="1:19" x14ac:dyDescent="0.25">
      <c r="A523" s="124"/>
      <c r="B523" s="124"/>
      <c r="C523" s="124"/>
      <c r="D523" s="124"/>
      <c r="E523" s="124"/>
      <c r="F523" s="124"/>
      <c r="G523" s="124"/>
      <c r="H523" s="124"/>
      <c r="I523" s="124"/>
      <c r="J523" s="124"/>
      <c r="K523" s="124"/>
      <c r="L523" s="124"/>
      <c r="M523" s="124"/>
      <c r="N523" s="124"/>
      <c r="O523" s="124"/>
      <c r="P523" s="124"/>
      <c r="Q523" s="124"/>
      <c r="R523" s="124"/>
      <c r="S523" s="124"/>
    </row>
    <row r="524" spans="1:19" x14ac:dyDescent="0.25">
      <c r="A524" s="124"/>
      <c r="B524" s="124"/>
      <c r="C524" s="124"/>
      <c r="D524" s="124"/>
      <c r="E524" s="124"/>
      <c r="F524" s="124"/>
      <c r="G524" s="124"/>
      <c r="H524" s="124"/>
      <c r="I524" s="124"/>
      <c r="J524" s="124"/>
      <c r="K524" s="124"/>
      <c r="L524" s="124"/>
      <c r="M524" s="124"/>
      <c r="N524" s="124"/>
      <c r="O524" s="124"/>
      <c r="P524" s="124"/>
      <c r="Q524" s="124"/>
      <c r="R524" s="124"/>
      <c r="S524" s="124"/>
    </row>
    <row r="525" spans="1:19" x14ac:dyDescent="0.25">
      <c r="A525" s="124"/>
      <c r="B525" s="124"/>
      <c r="C525" s="124"/>
      <c r="D525" s="124"/>
      <c r="E525" s="124"/>
      <c r="F525" s="124"/>
      <c r="G525" s="124"/>
      <c r="H525" s="124"/>
      <c r="I525" s="124"/>
      <c r="J525" s="124"/>
      <c r="K525" s="124"/>
      <c r="L525" s="124"/>
      <c r="M525" s="124"/>
      <c r="N525" s="124"/>
      <c r="O525" s="124"/>
      <c r="P525" s="124"/>
      <c r="Q525" s="124"/>
      <c r="R525" s="124"/>
      <c r="S525" s="124"/>
    </row>
    <row r="526" spans="1:19" x14ac:dyDescent="0.25">
      <c r="A526" s="124"/>
      <c r="B526" s="124"/>
      <c r="C526" s="124"/>
      <c r="D526" s="124"/>
      <c r="E526" s="124"/>
      <c r="F526" s="124"/>
      <c r="G526" s="124"/>
      <c r="H526" s="124"/>
      <c r="I526" s="124"/>
      <c r="J526" s="124"/>
      <c r="K526" s="124"/>
      <c r="L526" s="124"/>
      <c r="M526" s="124"/>
      <c r="N526" s="124"/>
      <c r="O526" s="124"/>
      <c r="P526" s="124"/>
      <c r="Q526" s="124"/>
      <c r="R526" s="124"/>
      <c r="S526" s="124"/>
    </row>
    <row r="527" spans="1:19" x14ac:dyDescent="0.25">
      <c r="A527" s="124"/>
      <c r="B527" s="124"/>
      <c r="C527" s="124"/>
      <c r="D527" s="124"/>
      <c r="E527" s="124"/>
      <c r="F527" s="124"/>
      <c r="G527" s="124"/>
      <c r="H527" s="124"/>
      <c r="I527" s="124"/>
      <c r="J527" s="124"/>
      <c r="K527" s="124"/>
      <c r="L527" s="124"/>
      <c r="M527" s="124"/>
      <c r="N527" s="124"/>
      <c r="O527" s="124"/>
      <c r="P527" s="124"/>
      <c r="Q527" s="124"/>
      <c r="R527" s="124"/>
      <c r="S527" s="124"/>
    </row>
    <row r="528" spans="1:19" x14ac:dyDescent="0.25">
      <c r="A528" s="124"/>
      <c r="B528" s="124"/>
      <c r="C528" s="124"/>
      <c r="D528" s="124"/>
      <c r="E528" s="124"/>
      <c r="F528" s="124"/>
      <c r="G528" s="124"/>
      <c r="H528" s="124"/>
      <c r="I528" s="124"/>
      <c r="J528" s="124"/>
      <c r="K528" s="124"/>
      <c r="L528" s="124"/>
      <c r="M528" s="124"/>
      <c r="N528" s="124"/>
      <c r="O528" s="124"/>
      <c r="P528" s="124"/>
      <c r="Q528" s="124"/>
      <c r="R528" s="124"/>
      <c r="S528" s="124"/>
    </row>
    <row r="529" spans="1:19" x14ac:dyDescent="0.25">
      <c r="A529" s="124"/>
      <c r="B529" s="124"/>
      <c r="C529" s="124"/>
      <c r="D529" s="124"/>
      <c r="E529" s="124"/>
      <c r="F529" s="124"/>
      <c r="G529" s="124"/>
      <c r="H529" s="124"/>
      <c r="I529" s="124"/>
      <c r="J529" s="124"/>
      <c r="K529" s="124"/>
      <c r="L529" s="124"/>
      <c r="M529" s="124"/>
      <c r="N529" s="124"/>
      <c r="O529" s="124"/>
      <c r="P529" s="124"/>
      <c r="Q529" s="124"/>
      <c r="R529" s="124"/>
      <c r="S529" s="124"/>
    </row>
    <row r="530" spans="1:19" x14ac:dyDescent="0.25">
      <c r="A530" s="124"/>
      <c r="B530" s="124"/>
      <c r="C530" s="124"/>
      <c r="D530" s="124"/>
      <c r="E530" s="124"/>
      <c r="F530" s="124"/>
      <c r="G530" s="124"/>
      <c r="H530" s="124"/>
      <c r="I530" s="124"/>
      <c r="J530" s="124"/>
      <c r="K530" s="124"/>
      <c r="L530" s="124"/>
      <c r="M530" s="124"/>
      <c r="N530" s="124"/>
      <c r="O530" s="124"/>
      <c r="P530" s="124"/>
      <c r="Q530" s="124"/>
      <c r="R530" s="124"/>
      <c r="S530" s="124"/>
    </row>
    <row r="531" spans="1:19" x14ac:dyDescent="0.25">
      <c r="A531" s="124"/>
      <c r="B531" s="124"/>
      <c r="C531" s="124"/>
      <c r="D531" s="124"/>
      <c r="E531" s="124"/>
      <c r="F531" s="124"/>
      <c r="G531" s="124"/>
      <c r="H531" s="124"/>
      <c r="I531" s="124"/>
      <c r="J531" s="124"/>
      <c r="K531" s="124"/>
      <c r="L531" s="124"/>
      <c r="M531" s="124"/>
      <c r="N531" s="124"/>
      <c r="O531" s="124"/>
      <c r="P531" s="124"/>
      <c r="Q531" s="124"/>
      <c r="R531" s="124"/>
      <c r="S531" s="124"/>
    </row>
    <row r="532" spans="1:19" x14ac:dyDescent="0.25">
      <c r="A532" s="124"/>
      <c r="B532" s="124"/>
      <c r="C532" s="124"/>
      <c r="D532" s="124"/>
      <c r="E532" s="124"/>
      <c r="F532" s="124"/>
      <c r="G532" s="124"/>
      <c r="H532" s="124"/>
      <c r="I532" s="124"/>
      <c r="J532" s="124"/>
      <c r="K532" s="124"/>
      <c r="L532" s="124"/>
      <c r="M532" s="124"/>
      <c r="N532" s="124"/>
      <c r="O532" s="124"/>
      <c r="P532" s="124"/>
      <c r="Q532" s="124"/>
      <c r="R532" s="124"/>
      <c r="S532" s="124"/>
    </row>
    <row r="533" spans="1:19" x14ac:dyDescent="0.25">
      <c r="A533" s="124"/>
      <c r="B533" s="124"/>
      <c r="C533" s="124"/>
      <c r="D533" s="124"/>
      <c r="E533" s="124"/>
      <c r="F533" s="124"/>
      <c r="G533" s="124"/>
      <c r="H533" s="124"/>
      <c r="I533" s="124"/>
      <c r="J533" s="124"/>
      <c r="K533" s="124"/>
      <c r="L533" s="124"/>
      <c r="M533" s="124"/>
      <c r="N533" s="124"/>
      <c r="O533" s="124"/>
      <c r="P533" s="124"/>
      <c r="Q533" s="124"/>
      <c r="R533" s="124"/>
      <c r="S533" s="124"/>
    </row>
    <row r="534" spans="1:19" x14ac:dyDescent="0.25">
      <c r="A534" s="124"/>
      <c r="B534" s="124"/>
      <c r="C534" s="124"/>
      <c r="D534" s="124"/>
      <c r="E534" s="124"/>
      <c r="F534" s="124"/>
      <c r="G534" s="124"/>
      <c r="H534" s="124"/>
      <c r="I534" s="124"/>
      <c r="J534" s="124"/>
      <c r="K534" s="124"/>
      <c r="L534" s="124"/>
      <c r="M534" s="124"/>
      <c r="N534" s="124"/>
      <c r="O534" s="124"/>
      <c r="P534" s="124"/>
      <c r="Q534" s="124"/>
      <c r="R534" s="124"/>
      <c r="S534" s="124"/>
    </row>
    <row r="535" spans="1:19" x14ac:dyDescent="0.25">
      <c r="A535" s="124"/>
      <c r="B535" s="124"/>
      <c r="C535" s="124"/>
      <c r="D535" s="124"/>
      <c r="E535" s="124"/>
      <c r="F535" s="124"/>
      <c r="G535" s="124"/>
      <c r="H535" s="124"/>
      <c r="I535" s="124"/>
      <c r="J535" s="124"/>
      <c r="K535" s="124"/>
      <c r="L535" s="124"/>
      <c r="M535" s="124"/>
      <c r="N535" s="124"/>
      <c r="O535" s="124"/>
      <c r="P535" s="124"/>
      <c r="Q535" s="124"/>
      <c r="R535" s="124"/>
      <c r="S535" s="124"/>
    </row>
    <row r="536" spans="1:19" x14ac:dyDescent="0.25">
      <c r="A536" s="124"/>
      <c r="B536" s="124"/>
      <c r="C536" s="124"/>
      <c r="D536" s="124"/>
      <c r="E536" s="124"/>
      <c r="F536" s="124"/>
      <c r="G536" s="124"/>
      <c r="H536" s="124"/>
      <c r="I536" s="124"/>
      <c r="J536" s="124"/>
      <c r="K536" s="124"/>
      <c r="L536" s="124"/>
      <c r="M536" s="124"/>
      <c r="N536" s="124"/>
      <c r="O536" s="124"/>
      <c r="P536" s="124"/>
      <c r="Q536" s="124"/>
      <c r="R536" s="124"/>
      <c r="S536" s="124"/>
    </row>
    <row r="537" spans="1:19" x14ac:dyDescent="0.25">
      <c r="A537" s="124"/>
      <c r="B537" s="124"/>
      <c r="C537" s="124"/>
      <c r="D537" s="124"/>
      <c r="E537" s="124"/>
      <c r="F537" s="124"/>
      <c r="G537" s="124"/>
      <c r="H537" s="124"/>
      <c r="I537" s="124"/>
      <c r="J537" s="124"/>
      <c r="K537" s="124"/>
      <c r="L537" s="124"/>
      <c r="M537" s="124"/>
      <c r="N537" s="124"/>
      <c r="O537" s="124"/>
      <c r="P537" s="124"/>
      <c r="Q537" s="124"/>
      <c r="R537" s="124"/>
      <c r="S537" s="124"/>
    </row>
    <row r="538" spans="1:19" x14ac:dyDescent="0.25">
      <c r="A538" s="124"/>
      <c r="B538" s="124"/>
      <c r="C538" s="124"/>
      <c r="D538" s="124"/>
      <c r="E538" s="124"/>
      <c r="F538" s="124"/>
      <c r="G538" s="124"/>
      <c r="H538" s="124"/>
      <c r="I538" s="124"/>
      <c r="J538" s="124"/>
      <c r="K538" s="124"/>
      <c r="L538" s="124"/>
      <c r="M538" s="124"/>
      <c r="N538" s="124"/>
      <c r="O538" s="124"/>
      <c r="P538" s="124"/>
      <c r="Q538" s="124"/>
      <c r="R538" s="124"/>
      <c r="S538" s="124"/>
    </row>
    <row r="539" spans="1:19" x14ac:dyDescent="0.25">
      <c r="A539" s="124"/>
      <c r="B539" s="124"/>
      <c r="C539" s="124"/>
      <c r="D539" s="124"/>
      <c r="E539" s="124"/>
      <c r="F539" s="124"/>
      <c r="G539" s="124"/>
      <c r="H539" s="124"/>
      <c r="I539" s="124"/>
      <c r="J539" s="124"/>
      <c r="K539" s="124"/>
      <c r="L539" s="124"/>
      <c r="M539" s="124"/>
      <c r="N539" s="124"/>
      <c r="O539" s="124"/>
      <c r="P539" s="124"/>
      <c r="Q539" s="124"/>
      <c r="R539" s="124"/>
      <c r="S539" s="124"/>
    </row>
    <row r="540" spans="1:19" x14ac:dyDescent="0.25">
      <c r="A540" s="124"/>
      <c r="B540" s="124"/>
      <c r="C540" s="124"/>
      <c r="D540" s="124"/>
      <c r="E540" s="124"/>
      <c r="F540" s="124"/>
      <c r="G540" s="124"/>
      <c r="H540" s="124"/>
      <c r="I540" s="124"/>
      <c r="J540" s="124"/>
      <c r="K540" s="124"/>
      <c r="L540" s="124"/>
      <c r="M540" s="124"/>
      <c r="N540" s="124"/>
      <c r="O540" s="124"/>
      <c r="P540" s="124"/>
      <c r="Q540" s="124"/>
      <c r="R540" s="124"/>
      <c r="S540" s="124"/>
    </row>
    <row r="541" spans="1:19" x14ac:dyDescent="0.25">
      <c r="A541" s="124"/>
      <c r="B541" s="124"/>
      <c r="C541" s="124"/>
      <c r="D541" s="124"/>
      <c r="E541" s="124"/>
      <c r="F541" s="124"/>
      <c r="G541" s="124"/>
      <c r="H541" s="124"/>
      <c r="I541" s="124"/>
      <c r="J541" s="124"/>
      <c r="K541" s="124"/>
      <c r="L541" s="124"/>
      <c r="M541" s="124"/>
      <c r="N541" s="124"/>
      <c r="O541" s="124"/>
      <c r="P541" s="124"/>
      <c r="Q541" s="124"/>
      <c r="R541" s="124"/>
      <c r="S541" s="124"/>
    </row>
    <row r="542" spans="1:19" x14ac:dyDescent="0.25">
      <c r="A542" s="124"/>
      <c r="B542" s="124"/>
      <c r="C542" s="124"/>
      <c r="D542" s="124"/>
      <c r="E542" s="124"/>
      <c r="F542" s="124"/>
      <c r="G542" s="124"/>
      <c r="H542" s="124"/>
      <c r="I542" s="124"/>
      <c r="J542" s="124"/>
      <c r="K542" s="124"/>
      <c r="L542" s="124"/>
      <c r="M542" s="124"/>
      <c r="N542" s="124"/>
      <c r="O542" s="124"/>
      <c r="P542" s="124"/>
      <c r="Q542" s="124"/>
      <c r="R542" s="124"/>
      <c r="S542" s="124"/>
    </row>
    <row r="543" spans="1:19" x14ac:dyDescent="0.25">
      <c r="A543" s="124"/>
      <c r="B543" s="124"/>
      <c r="C543" s="124"/>
      <c r="D543" s="124"/>
      <c r="E543" s="124"/>
      <c r="F543" s="124"/>
      <c r="G543" s="124"/>
      <c r="H543" s="124"/>
      <c r="I543" s="124"/>
      <c r="J543" s="124"/>
      <c r="K543" s="124"/>
      <c r="L543" s="124"/>
      <c r="M543" s="124"/>
      <c r="N543" s="124"/>
      <c r="O543" s="124"/>
      <c r="P543" s="124"/>
      <c r="Q543" s="124"/>
      <c r="R543" s="124"/>
      <c r="S543" s="124"/>
    </row>
    <row r="544" spans="1:19" x14ac:dyDescent="0.25">
      <c r="A544" s="124"/>
      <c r="B544" s="124"/>
      <c r="C544" s="124"/>
      <c r="D544" s="124"/>
      <c r="E544" s="124"/>
      <c r="F544" s="124"/>
      <c r="G544" s="124"/>
      <c r="H544" s="124"/>
      <c r="I544" s="124"/>
      <c r="J544" s="124"/>
      <c r="K544" s="124"/>
      <c r="L544" s="124"/>
      <c r="M544" s="124"/>
      <c r="N544" s="124"/>
      <c r="O544" s="124"/>
      <c r="P544" s="124"/>
      <c r="Q544" s="124"/>
      <c r="R544" s="124"/>
      <c r="S544" s="124"/>
    </row>
    <row r="545" spans="1:19" x14ac:dyDescent="0.25">
      <c r="A545" s="124"/>
      <c r="B545" s="124"/>
      <c r="C545" s="124"/>
      <c r="D545" s="124"/>
      <c r="E545" s="124"/>
      <c r="F545" s="124"/>
      <c r="G545" s="124"/>
      <c r="H545" s="124"/>
      <c r="I545" s="124"/>
      <c r="J545" s="124"/>
      <c r="K545" s="124"/>
      <c r="L545" s="124"/>
      <c r="M545" s="124"/>
      <c r="N545" s="124"/>
      <c r="O545" s="124"/>
      <c r="P545" s="124"/>
      <c r="Q545" s="124"/>
      <c r="R545" s="124"/>
      <c r="S545" s="124"/>
    </row>
    <row r="546" spans="1:19" x14ac:dyDescent="0.25">
      <c r="A546" s="124"/>
      <c r="B546" s="124"/>
      <c r="C546" s="124"/>
      <c r="D546" s="124"/>
      <c r="E546" s="124"/>
      <c r="F546" s="124"/>
      <c r="G546" s="124"/>
      <c r="H546" s="124"/>
      <c r="I546" s="124"/>
      <c r="J546" s="124"/>
      <c r="K546" s="124"/>
      <c r="L546" s="124"/>
      <c r="M546" s="124"/>
      <c r="N546" s="124"/>
      <c r="O546" s="124"/>
      <c r="P546" s="124"/>
      <c r="Q546" s="124"/>
      <c r="R546" s="124"/>
      <c r="S546" s="124"/>
    </row>
    <row r="547" spans="1:19" x14ac:dyDescent="0.25">
      <c r="A547" s="124"/>
      <c r="B547" s="124"/>
      <c r="C547" s="124"/>
      <c r="D547" s="124"/>
      <c r="E547" s="124"/>
      <c r="F547" s="124"/>
      <c r="G547" s="124"/>
      <c r="H547" s="124"/>
      <c r="I547" s="124"/>
      <c r="J547" s="124"/>
      <c r="K547" s="124"/>
      <c r="L547" s="124"/>
      <c r="M547" s="124"/>
      <c r="N547" s="124"/>
      <c r="O547" s="124"/>
      <c r="P547" s="124"/>
      <c r="Q547" s="124"/>
      <c r="R547" s="124"/>
      <c r="S547" s="124"/>
    </row>
    <row r="548" spans="1:19" x14ac:dyDescent="0.25">
      <c r="A548" s="124"/>
      <c r="B548" s="124"/>
      <c r="C548" s="124"/>
      <c r="D548" s="124"/>
      <c r="E548" s="124"/>
      <c r="F548" s="124"/>
      <c r="G548" s="124"/>
      <c r="H548" s="124"/>
      <c r="I548" s="124"/>
      <c r="J548" s="124"/>
      <c r="K548" s="124"/>
      <c r="L548" s="124"/>
      <c r="M548" s="124"/>
      <c r="N548" s="124"/>
      <c r="O548" s="124"/>
      <c r="P548" s="124"/>
      <c r="Q548" s="124"/>
      <c r="R548" s="124"/>
      <c r="S548" s="124"/>
    </row>
    <row r="549" spans="1:19" x14ac:dyDescent="0.25">
      <c r="A549" s="124"/>
      <c r="B549" s="124"/>
      <c r="C549" s="124"/>
      <c r="D549" s="124"/>
      <c r="E549" s="124"/>
      <c r="F549" s="124"/>
      <c r="G549" s="124"/>
      <c r="H549" s="124"/>
      <c r="I549" s="124"/>
      <c r="J549" s="124"/>
      <c r="K549" s="124"/>
      <c r="L549" s="124"/>
      <c r="M549" s="124"/>
      <c r="N549" s="124"/>
      <c r="O549" s="124"/>
      <c r="P549" s="124"/>
      <c r="Q549" s="124"/>
      <c r="R549" s="124"/>
      <c r="S549" s="124"/>
    </row>
    <row r="550" spans="1:19" x14ac:dyDescent="0.25">
      <c r="A550" s="124"/>
      <c r="B550" s="124"/>
      <c r="C550" s="124"/>
      <c r="D550" s="124"/>
      <c r="E550" s="124"/>
      <c r="F550" s="124"/>
      <c r="G550" s="124"/>
      <c r="H550" s="124"/>
      <c r="I550" s="124"/>
      <c r="J550" s="124"/>
      <c r="K550" s="124"/>
      <c r="L550" s="124"/>
      <c r="M550" s="124"/>
      <c r="N550" s="124"/>
      <c r="O550" s="124"/>
      <c r="P550" s="124"/>
      <c r="Q550" s="124"/>
      <c r="R550" s="124"/>
      <c r="S550" s="124"/>
    </row>
    <row r="551" spans="1:19" x14ac:dyDescent="0.25">
      <c r="A551" s="124"/>
      <c r="B551" s="124"/>
      <c r="C551" s="124"/>
      <c r="D551" s="124"/>
      <c r="E551" s="124"/>
      <c r="F551" s="124"/>
      <c r="G551" s="124"/>
      <c r="H551" s="124"/>
      <c r="I551" s="124"/>
      <c r="J551" s="124"/>
      <c r="K551" s="124"/>
      <c r="L551" s="124"/>
      <c r="M551" s="124"/>
      <c r="N551" s="124"/>
      <c r="O551" s="124"/>
      <c r="P551" s="124"/>
      <c r="Q551" s="124"/>
      <c r="R551" s="124"/>
      <c r="S551" s="124"/>
    </row>
    <row r="552" spans="1:19" x14ac:dyDescent="0.25">
      <c r="A552" s="124"/>
      <c r="B552" s="124"/>
      <c r="C552" s="124"/>
      <c r="D552" s="124"/>
      <c r="E552" s="124"/>
      <c r="F552" s="124"/>
      <c r="G552" s="124"/>
      <c r="H552" s="124"/>
      <c r="I552" s="124"/>
      <c r="J552" s="124"/>
      <c r="K552" s="124"/>
      <c r="L552" s="124"/>
      <c r="M552" s="124"/>
      <c r="N552" s="124"/>
      <c r="O552" s="124"/>
      <c r="P552" s="124"/>
      <c r="Q552" s="124"/>
      <c r="R552" s="124"/>
      <c r="S552" s="124"/>
    </row>
    <row r="553" spans="1:19" x14ac:dyDescent="0.25">
      <c r="A553" s="124"/>
      <c r="B553" s="124"/>
      <c r="C553" s="124"/>
      <c r="D553" s="124"/>
      <c r="E553" s="124"/>
      <c r="F553" s="124"/>
      <c r="G553" s="124"/>
      <c r="H553" s="124"/>
      <c r="I553" s="124"/>
      <c r="J553" s="124"/>
      <c r="K553" s="124"/>
      <c r="L553" s="124"/>
      <c r="M553" s="124"/>
      <c r="N553" s="124"/>
      <c r="O553" s="124"/>
      <c r="P553" s="124"/>
      <c r="Q553" s="124"/>
      <c r="R553" s="124"/>
      <c r="S553" s="124"/>
    </row>
    <row r="554" spans="1:19" x14ac:dyDescent="0.25">
      <c r="A554" s="124"/>
      <c r="B554" s="124"/>
      <c r="C554" s="124"/>
      <c r="D554" s="124"/>
      <c r="E554" s="124"/>
      <c r="F554" s="124"/>
      <c r="G554" s="124"/>
      <c r="H554" s="124"/>
      <c r="I554" s="124"/>
      <c r="J554" s="124"/>
      <c r="K554" s="124"/>
      <c r="L554" s="124"/>
      <c r="M554" s="124"/>
      <c r="N554" s="124"/>
      <c r="O554" s="124"/>
      <c r="P554" s="124"/>
      <c r="Q554" s="124"/>
      <c r="R554" s="124"/>
      <c r="S554" s="124"/>
    </row>
    <row r="555" spans="1:19" x14ac:dyDescent="0.25">
      <c r="A555" s="124"/>
      <c r="B555" s="124"/>
      <c r="C555" s="124"/>
      <c r="D555" s="124"/>
      <c r="E555" s="124"/>
      <c r="F555" s="124"/>
      <c r="G555" s="124"/>
      <c r="H555" s="124"/>
      <c r="I555" s="124"/>
      <c r="J555" s="124"/>
      <c r="K555" s="124"/>
      <c r="L555" s="124"/>
      <c r="M555" s="124"/>
      <c r="N555" s="124"/>
      <c r="O555" s="124"/>
      <c r="P555" s="124"/>
      <c r="Q555" s="124"/>
      <c r="R555" s="124"/>
      <c r="S555" s="124"/>
    </row>
    <row r="556" spans="1:19" x14ac:dyDescent="0.25">
      <c r="A556" s="124"/>
      <c r="B556" s="124"/>
      <c r="C556" s="124"/>
      <c r="D556" s="124"/>
      <c r="E556" s="124"/>
      <c r="F556" s="124"/>
      <c r="G556" s="124"/>
      <c r="H556" s="124"/>
      <c r="I556" s="124"/>
      <c r="J556" s="124"/>
      <c r="K556" s="124"/>
      <c r="L556" s="124"/>
      <c r="M556" s="124"/>
      <c r="N556" s="124"/>
      <c r="O556" s="124"/>
      <c r="P556" s="124"/>
      <c r="Q556" s="124"/>
      <c r="R556" s="124"/>
      <c r="S556" s="124"/>
    </row>
    <row r="557" spans="1:19" x14ac:dyDescent="0.25">
      <c r="A557" s="124"/>
      <c r="B557" s="124"/>
      <c r="C557" s="124"/>
      <c r="D557" s="124"/>
      <c r="E557" s="124"/>
      <c r="F557" s="124"/>
      <c r="G557" s="124"/>
      <c r="H557" s="124"/>
      <c r="I557" s="124"/>
      <c r="J557" s="124"/>
      <c r="K557" s="124"/>
      <c r="L557" s="124"/>
      <c r="M557" s="124"/>
      <c r="N557" s="124"/>
      <c r="O557" s="124"/>
      <c r="P557" s="124"/>
      <c r="Q557" s="124"/>
      <c r="R557" s="124"/>
      <c r="S557" s="124"/>
    </row>
    <row r="558" spans="1:19" x14ac:dyDescent="0.25">
      <c r="A558" s="124"/>
      <c r="B558" s="124"/>
      <c r="C558" s="124"/>
      <c r="D558" s="124"/>
      <c r="E558" s="124"/>
      <c r="F558" s="124"/>
      <c r="G558" s="124"/>
      <c r="H558" s="124"/>
      <c r="I558" s="124"/>
      <c r="J558" s="124"/>
      <c r="K558" s="124"/>
      <c r="L558" s="124"/>
      <c r="M558" s="124"/>
      <c r="N558" s="124"/>
      <c r="O558" s="124"/>
      <c r="P558" s="124"/>
      <c r="Q558" s="124"/>
      <c r="R558" s="124"/>
      <c r="S558" s="124"/>
    </row>
    <row r="559" spans="1:19" x14ac:dyDescent="0.25">
      <c r="A559" s="124"/>
      <c r="B559" s="124"/>
      <c r="C559" s="124"/>
      <c r="D559" s="124"/>
      <c r="E559" s="124"/>
      <c r="F559" s="124"/>
      <c r="G559" s="124"/>
      <c r="H559" s="124"/>
      <c r="I559" s="124"/>
      <c r="J559" s="124"/>
      <c r="K559" s="124"/>
      <c r="L559" s="124"/>
      <c r="M559" s="124"/>
      <c r="N559" s="124"/>
      <c r="O559" s="124"/>
      <c r="P559" s="124"/>
      <c r="Q559" s="124"/>
      <c r="R559" s="124"/>
      <c r="S559" s="124"/>
    </row>
    <row r="560" spans="1:19" x14ac:dyDescent="0.25">
      <c r="A560" s="124"/>
      <c r="B560" s="124"/>
      <c r="C560" s="124"/>
      <c r="D560" s="124"/>
      <c r="E560" s="124"/>
      <c r="F560" s="124"/>
      <c r="G560" s="124"/>
      <c r="H560" s="124"/>
      <c r="I560" s="124"/>
      <c r="J560" s="124"/>
      <c r="K560" s="124"/>
      <c r="L560" s="124"/>
      <c r="M560" s="124"/>
      <c r="N560" s="124"/>
      <c r="O560" s="124"/>
      <c r="P560" s="124"/>
      <c r="Q560" s="124"/>
      <c r="R560" s="124"/>
      <c r="S560" s="124"/>
    </row>
    <row r="561" spans="1:19" x14ac:dyDescent="0.25">
      <c r="A561" s="124"/>
      <c r="B561" s="124"/>
      <c r="C561" s="124"/>
      <c r="D561" s="124"/>
      <c r="E561" s="124"/>
      <c r="F561" s="124"/>
      <c r="G561" s="124"/>
      <c r="H561" s="124"/>
      <c r="I561" s="124"/>
      <c r="J561" s="124"/>
      <c r="K561" s="124"/>
      <c r="L561" s="124"/>
      <c r="M561" s="124"/>
      <c r="N561" s="124"/>
      <c r="O561" s="124"/>
      <c r="P561" s="124"/>
      <c r="Q561" s="124"/>
      <c r="R561" s="124"/>
      <c r="S561" s="124"/>
    </row>
    <row r="562" spans="1:19" x14ac:dyDescent="0.25">
      <c r="A562" s="124"/>
      <c r="B562" s="124"/>
      <c r="C562" s="124"/>
      <c r="D562" s="124"/>
      <c r="E562" s="124"/>
      <c r="F562" s="124"/>
      <c r="G562" s="124"/>
      <c r="H562" s="124"/>
      <c r="I562" s="124"/>
      <c r="J562" s="124"/>
      <c r="K562" s="124"/>
      <c r="L562" s="124"/>
      <c r="M562" s="124"/>
      <c r="N562" s="124"/>
      <c r="O562" s="124"/>
      <c r="P562" s="124"/>
      <c r="Q562" s="124"/>
      <c r="R562" s="124"/>
      <c r="S562" s="124"/>
    </row>
    <row r="563" spans="1:19" x14ac:dyDescent="0.25">
      <c r="A563" s="124"/>
      <c r="B563" s="124"/>
      <c r="C563" s="124"/>
      <c r="D563" s="124"/>
      <c r="E563" s="124"/>
      <c r="F563" s="124"/>
      <c r="G563" s="124"/>
      <c r="H563" s="124"/>
      <c r="I563" s="124"/>
      <c r="J563" s="124"/>
      <c r="K563" s="124"/>
      <c r="L563" s="124"/>
      <c r="M563" s="124"/>
      <c r="N563" s="124"/>
      <c r="O563" s="124"/>
      <c r="P563" s="124"/>
      <c r="Q563" s="124"/>
      <c r="R563" s="124"/>
      <c r="S563" s="124"/>
    </row>
    <row r="564" spans="1:19" x14ac:dyDescent="0.25">
      <c r="A564" s="124"/>
      <c r="B564" s="124"/>
      <c r="C564" s="124"/>
      <c r="D564" s="124"/>
      <c r="E564" s="124"/>
      <c r="F564" s="124"/>
      <c r="G564" s="124"/>
      <c r="H564" s="124"/>
      <c r="I564" s="124"/>
      <c r="J564" s="124"/>
      <c r="K564" s="124"/>
      <c r="L564" s="124"/>
      <c r="M564" s="124"/>
      <c r="N564" s="124"/>
      <c r="O564" s="124"/>
      <c r="P564" s="124"/>
      <c r="Q564" s="124"/>
      <c r="R564" s="124"/>
      <c r="S564" s="124"/>
    </row>
    <row r="565" spans="1:19" x14ac:dyDescent="0.25">
      <c r="A565" s="124"/>
      <c r="B565" s="124"/>
      <c r="C565" s="124"/>
      <c r="D565" s="124"/>
      <c r="E565" s="124"/>
      <c r="F565" s="124"/>
      <c r="G565" s="124"/>
      <c r="H565" s="124"/>
      <c r="I565" s="124"/>
      <c r="J565" s="124"/>
      <c r="K565" s="124"/>
      <c r="L565" s="124"/>
      <c r="M565" s="124"/>
      <c r="N565" s="124"/>
      <c r="O565" s="124"/>
      <c r="P565" s="124"/>
      <c r="Q565" s="124"/>
      <c r="R565" s="124"/>
      <c r="S565" s="124"/>
    </row>
    <row r="566" spans="1:19" x14ac:dyDescent="0.25">
      <c r="A566" s="124"/>
      <c r="B566" s="124"/>
      <c r="C566" s="124"/>
      <c r="D566" s="124"/>
      <c r="E566" s="124"/>
      <c r="F566" s="124"/>
      <c r="G566" s="124"/>
      <c r="H566" s="124"/>
      <c r="I566" s="124"/>
      <c r="J566" s="124"/>
      <c r="K566" s="124"/>
      <c r="L566" s="124"/>
      <c r="M566" s="124"/>
      <c r="N566" s="124"/>
      <c r="O566" s="124"/>
      <c r="P566" s="124"/>
      <c r="Q566" s="124"/>
      <c r="R566" s="124"/>
      <c r="S566" s="124"/>
    </row>
    <row r="567" spans="1:19" x14ac:dyDescent="0.25">
      <c r="A567" s="124"/>
      <c r="B567" s="124"/>
      <c r="C567" s="124"/>
      <c r="D567" s="124"/>
      <c r="E567" s="124"/>
      <c r="F567" s="124"/>
      <c r="G567" s="124"/>
      <c r="H567" s="124"/>
      <c r="I567" s="124"/>
      <c r="J567" s="124"/>
      <c r="K567" s="124"/>
      <c r="L567" s="124"/>
      <c r="M567" s="124"/>
      <c r="N567" s="124"/>
      <c r="O567" s="124"/>
      <c r="P567" s="124"/>
      <c r="Q567" s="124"/>
      <c r="R567" s="124"/>
      <c r="S567" s="124"/>
    </row>
    <row r="568" spans="1:19" x14ac:dyDescent="0.25">
      <c r="A568" s="124"/>
      <c r="B568" s="124"/>
      <c r="C568" s="124"/>
      <c r="D568" s="124"/>
      <c r="E568" s="124"/>
      <c r="F568" s="124"/>
      <c r="G568" s="124"/>
      <c r="H568" s="124"/>
      <c r="I568" s="124"/>
      <c r="J568" s="124"/>
      <c r="K568" s="124"/>
      <c r="L568" s="124"/>
      <c r="M568" s="124"/>
      <c r="N568" s="124"/>
      <c r="O568" s="124"/>
      <c r="P568" s="124"/>
      <c r="Q568" s="124"/>
      <c r="R568" s="124"/>
      <c r="S568" s="124"/>
    </row>
    <row r="569" spans="1:19" x14ac:dyDescent="0.25">
      <c r="A569" s="124"/>
      <c r="B569" s="124"/>
      <c r="C569" s="124"/>
      <c r="D569" s="124"/>
      <c r="E569" s="124"/>
      <c r="F569" s="124"/>
      <c r="G569" s="124"/>
      <c r="H569" s="124"/>
      <c r="I569" s="124"/>
      <c r="J569" s="124"/>
      <c r="K569" s="124"/>
      <c r="L569" s="124"/>
      <c r="M569" s="124"/>
      <c r="N569" s="124"/>
      <c r="O569" s="124"/>
      <c r="P569" s="124"/>
      <c r="Q569" s="124"/>
      <c r="R569" s="124"/>
      <c r="S569" s="124"/>
    </row>
    <row r="570" spans="1:19" x14ac:dyDescent="0.25">
      <c r="A570" s="124"/>
      <c r="B570" s="124"/>
      <c r="C570" s="124"/>
      <c r="D570" s="124"/>
      <c r="E570" s="124"/>
      <c r="F570" s="124"/>
      <c r="G570" s="124"/>
      <c r="H570" s="124"/>
      <c r="I570" s="124"/>
      <c r="J570" s="124"/>
      <c r="K570" s="124"/>
      <c r="L570" s="124"/>
      <c r="M570" s="124"/>
      <c r="N570" s="124"/>
      <c r="O570" s="124"/>
      <c r="P570" s="124"/>
      <c r="Q570" s="124"/>
      <c r="R570" s="124"/>
      <c r="S570" s="124"/>
    </row>
    <row r="571" spans="1:19" x14ac:dyDescent="0.25">
      <c r="A571" s="124"/>
      <c r="B571" s="124"/>
      <c r="C571" s="124"/>
      <c r="D571" s="124"/>
      <c r="E571" s="124"/>
      <c r="F571" s="124"/>
      <c r="G571" s="124"/>
      <c r="H571" s="124"/>
      <c r="I571" s="124"/>
      <c r="J571" s="124"/>
      <c r="K571" s="124"/>
      <c r="L571" s="124"/>
      <c r="M571" s="124"/>
      <c r="N571" s="124"/>
      <c r="O571" s="124"/>
      <c r="P571" s="124"/>
      <c r="Q571" s="124"/>
      <c r="R571" s="124"/>
      <c r="S571" s="124"/>
    </row>
    <row r="572" spans="1:19" x14ac:dyDescent="0.25">
      <c r="A572" s="124"/>
      <c r="B572" s="124"/>
      <c r="C572" s="124"/>
      <c r="D572" s="124"/>
      <c r="E572" s="124"/>
      <c r="F572" s="124"/>
      <c r="G572" s="124"/>
      <c r="H572" s="124"/>
      <c r="I572" s="124"/>
      <c r="J572" s="124"/>
      <c r="K572" s="124"/>
      <c r="L572" s="124"/>
      <c r="M572" s="124"/>
      <c r="N572" s="124"/>
      <c r="O572" s="124"/>
      <c r="P572" s="124"/>
      <c r="Q572" s="124"/>
      <c r="R572" s="124"/>
      <c r="S572" s="124"/>
    </row>
    <row r="573" spans="1:19" x14ac:dyDescent="0.25">
      <c r="A573" s="124"/>
      <c r="B573" s="124"/>
      <c r="C573" s="124"/>
      <c r="D573" s="124"/>
      <c r="E573" s="124"/>
      <c r="F573" s="124"/>
      <c r="G573" s="124"/>
      <c r="H573" s="124"/>
      <c r="I573" s="124"/>
      <c r="J573" s="124"/>
      <c r="K573" s="124"/>
      <c r="L573" s="124"/>
      <c r="M573" s="124"/>
      <c r="N573" s="124"/>
      <c r="O573" s="124"/>
      <c r="P573" s="124"/>
      <c r="Q573" s="124"/>
      <c r="R573" s="124"/>
      <c r="S573" s="124"/>
    </row>
    <row r="574" spans="1:19" x14ac:dyDescent="0.25">
      <c r="A574" s="124"/>
      <c r="B574" s="124"/>
      <c r="C574" s="124"/>
      <c r="D574" s="124"/>
      <c r="E574" s="124"/>
      <c r="F574" s="124"/>
      <c r="G574" s="124"/>
      <c r="H574" s="124"/>
      <c r="I574" s="124"/>
      <c r="J574" s="124"/>
      <c r="K574" s="124"/>
      <c r="L574" s="124"/>
      <c r="M574" s="124"/>
      <c r="N574" s="124"/>
      <c r="O574" s="124"/>
      <c r="P574" s="124"/>
      <c r="Q574" s="124"/>
      <c r="R574" s="124"/>
      <c r="S574" s="124"/>
    </row>
    <row r="575" spans="1:19" x14ac:dyDescent="0.25">
      <c r="A575" s="124"/>
      <c r="B575" s="124"/>
      <c r="C575" s="124"/>
      <c r="D575" s="124"/>
      <c r="E575" s="124"/>
      <c r="F575" s="124"/>
      <c r="G575" s="124"/>
      <c r="H575" s="124"/>
      <c r="I575" s="124"/>
      <c r="J575" s="124"/>
      <c r="K575" s="124"/>
      <c r="L575" s="124"/>
      <c r="M575" s="124"/>
      <c r="N575" s="124"/>
      <c r="O575" s="124"/>
      <c r="P575" s="124"/>
      <c r="Q575" s="124"/>
      <c r="R575" s="124"/>
      <c r="S575" s="124"/>
    </row>
    <row r="576" spans="1:19" x14ac:dyDescent="0.25">
      <c r="A576" s="124"/>
      <c r="B576" s="124"/>
      <c r="C576" s="124"/>
      <c r="D576" s="124"/>
      <c r="E576" s="124"/>
      <c r="F576" s="124"/>
      <c r="G576" s="124"/>
      <c r="H576" s="124"/>
      <c r="I576" s="124"/>
      <c r="J576" s="124"/>
      <c r="K576" s="124"/>
      <c r="L576" s="124"/>
      <c r="M576" s="124"/>
      <c r="N576" s="124"/>
      <c r="O576" s="124"/>
      <c r="P576" s="124"/>
      <c r="Q576" s="124"/>
      <c r="R576" s="124"/>
      <c r="S576" s="124"/>
    </row>
    <row r="577" spans="1:19" x14ac:dyDescent="0.25">
      <c r="A577" s="124"/>
      <c r="B577" s="124"/>
      <c r="C577" s="124"/>
      <c r="D577" s="124"/>
      <c r="E577" s="124"/>
      <c r="F577" s="124"/>
      <c r="G577" s="124"/>
      <c r="H577" s="124"/>
      <c r="I577" s="124"/>
      <c r="J577" s="124"/>
      <c r="K577" s="124"/>
      <c r="L577" s="124"/>
      <c r="M577" s="124"/>
      <c r="N577" s="124"/>
      <c r="O577" s="124"/>
      <c r="P577" s="124"/>
      <c r="Q577" s="124"/>
      <c r="R577" s="124"/>
      <c r="S577" s="124"/>
    </row>
    <row r="578" spans="1:19" x14ac:dyDescent="0.25">
      <c r="A578" s="124"/>
      <c r="B578" s="124"/>
      <c r="C578" s="124"/>
      <c r="D578" s="124"/>
      <c r="E578" s="124"/>
      <c r="F578" s="124"/>
      <c r="G578" s="124"/>
      <c r="H578" s="124"/>
      <c r="I578" s="124"/>
      <c r="J578" s="124"/>
      <c r="K578" s="124"/>
      <c r="L578" s="124"/>
      <c r="M578" s="124"/>
      <c r="N578" s="124"/>
      <c r="O578" s="124"/>
      <c r="P578" s="124"/>
      <c r="Q578" s="124"/>
      <c r="R578" s="124"/>
      <c r="S578" s="124"/>
    </row>
    <row r="579" spans="1:19" x14ac:dyDescent="0.25">
      <c r="A579" s="124"/>
      <c r="B579" s="124"/>
      <c r="C579" s="124"/>
      <c r="D579" s="124"/>
      <c r="E579" s="124"/>
      <c r="F579" s="124"/>
      <c r="G579" s="124"/>
      <c r="H579" s="124"/>
      <c r="I579" s="124"/>
      <c r="J579" s="124"/>
      <c r="K579" s="124"/>
      <c r="L579" s="124"/>
      <c r="M579" s="124"/>
      <c r="N579" s="124"/>
      <c r="O579" s="124"/>
      <c r="P579" s="124"/>
      <c r="Q579" s="124"/>
      <c r="R579" s="124"/>
      <c r="S579" s="124"/>
    </row>
    <row r="580" spans="1:19" x14ac:dyDescent="0.25">
      <c r="A580" s="124"/>
      <c r="B580" s="124"/>
      <c r="C580" s="124"/>
      <c r="D580" s="124"/>
      <c r="E580" s="124"/>
      <c r="F580" s="124"/>
      <c r="G580" s="124"/>
      <c r="H580" s="124"/>
      <c r="I580" s="124"/>
      <c r="J580" s="124"/>
      <c r="K580" s="124"/>
      <c r="L580" s="124"/>
      <c r="M580" s="124"/>
      <c r="N580" s="124"/>
      <c r="O580" s="124"/>
      <c r="P580" s="124"/>
      <c r="Q580" s="124"/>
      <c r="R580" s="124"/>
      <c r="S580" s="124"/>
    </row>
    <row r="581" spans="1:19" x14ac:dyDescent="0.25">
      <c r="A581" s="124"/>
      <c r="B581" s="124"/>
      <c r="C581" s="124"/>
      <c r="D581" s="124"/>
      <c r="E581" s="124"/>
      <c r="F581" s="124"/>
      <c r="G581" s="124"/>
      <c r="H581" s="124"/>
      <c r="I581" s="124"/>
      <c r="J581" s="124"/>
      <c r="K581" s="124"/>
      <c r="L581" s="124"/>
      <c r="M581" s="124"/>
      <c r="N581" s="124"/>
      <c r="O581" s="124"/>
      <c r="P581" s="124"/>
      <c r="Q581" s="124"/>
      <c r="R581" s="124"/>
      <c r="S581" s="124"/>
    </row>
    <row r="582" spans="1:19" x14ac:dyDescent="0.25">
      <c r="A582" s="124"/>
      <c r="B582" s="124"/>
      <c r="C582" s="124"/>
      <c r="D582" s="124"/>
      <c r="E582" s="124"/>
      <c r="F582" s="124"/>
      <c r="G582" s="124"/>
      <c r="H582" s="124"/>
      <c r="I582" s="124"/>
      <c r="J582" s="124"/>
      <c r="K582" s="124"/>
      <c r="L582" s="124"/>
      <c r="M582" s="124"/>
      <c r="N582" s="124"/>
      <c r="O582" s="124"/>
      <c r="P582" s="124"/>
      <c r="Q582" s="124"/>
      <c r="R582" s="124"/>
      <c r="S582" s="124"/>
    </row>
    <row r="583" spans="1:19" x14ac:dyDescent="0.25">
      <c r="A583" s="124"/>
      <c r="B583" s="124"/>
      <c r="C583" s="124"/>
      <c r="D583" s="124"/>
      <c r="E583" s="124"/>
      <c r="F583" s="124"/>
      <c r="G583" s="124"/>
      <c r="H583" s="124"/>
      <c r="I583" s="124"/>
      <c r="J583" s="124"/>
      <c r="K583" s="124"/>
      <c r="L583" s="124"/>
      <c r="M583" s="124"/>
      <c r="N583" s="124"/>
      <c r="O583" s="124"/>
      <c r="P583" s="124"/>
      <c r="Q583" s="124"/>
      <c r="R583" s="124"/>
      <c r="S583" s="124"/>
    </row>
    <row r="584" spans="1:19" x14ac:dyDescent="0.25">
      <c r="A584" s="124"/>
      <c r="B584" s="124"/>
      <c r="C584" s="124"/>
      <c r="D584" s="124"/>
      <c r="E584" s="124"/>
      <c r="F584" s="124"/>
      <c r="G584" s="124"/>
      <c r="H584" s="124"/>
      <c r="I584" s="124"/>
      <c r="J584" s="124"/>
      <c r="K584" s="124"/>
      <c r="L584" s="124"/>
      <c r="M584" s="124"/>
      <c r="N584" s="124"/>
      <c r="O584" s="124"/>
      <c r="P584" s="124"/>
      <c r="Q584" s="124"/>
      <c r="R584" s="124"/>
      <c r="S584" s="124"/>
    </row>
    <row r="585" spans="1:19" x14ac:dyDescent="0.25">
      <c r="A585" s="124"/>
      <c r="B585" s="124"/>
      <c r="C585" s="124"/>
      <c r="D585" s="124"/>
      <c r="E585" s="124"/>
      <c r="F585" s="124"/>
      <c r="G585" s="124"/>
      <c r="H585" s="124"/>
      <c r="I585" s="124"/>
      <c r="J585" s="124"/>
      <c r="K585" s="124"/>
      <c r="L585" s="124"/>
      <c r="M585" s="124"/>
      <c r="N585" s="124"/>
      <c r="O585" s="124"/>
      <c r="P585" s="124"/>
      <c r="Q585" s="124"/>
      <c r="R585" s="124"/>
      <c r="S585" s="124"/>
    </row>
    <row r="586" spans="1:19" x14ac:dyDescent="0.25">
      <c r="A586" s="124"/>
      <c r="B586" s="124"/>
      <c r="C586" s="124"/>
      <c r="D586" s="124"/>
      <c r="E586" s="124"/>
      <c r="F586" s="124"/>
      <c r="G586" s="124"/>
      <c r="H586" s="124"/>
      <c r="I586" s="124"/>
      <c r="J586" s="124"/>
      <c r="K586" s="124"/>
      <c r="L586" s="124"/>
      <c r="M586" s="124"/>
      <c r="N586" s="124"/>
      <c r="O586" s="124"/>
      <c r="P586" s="124"/>
      <c r="Q586" s="124"/>
      <c r="R586" s="124"/>
      <c r="S586" s="124"/>
    </row>
    <row r="587" spans="1:19" x14ac:dyDescent="0.25">
      <c r="A587" s="124"/>
      <c r="B587" s="124"/>
      <c r="C587" s="124"/>
      <c r="D587" s="124"/>
      <c r="E587" s="124"/>
      <c r="F587" s="124"/>
      <c r="G587" s="124"/>
      <c r="H587" s="124"/>
      <c r="I587" s="124"/>
      <c r="J587" s="124"/>
      <c r="K587" s="124"/>
      <c r="L587" s="124"/>
      <c r="M587" s="124"/>
      <c r="N587" s="124"/>
      <c r="O587" s="124"/>
      <c r="P587" s="124"/>
      <c r="Q587" s="124"/>
      <c r="R587" s="124"/>
      <c r="S587" s="124"/>
    </row>
    <row r="588" spans="1:19" x14ac:dyDescent="0.25">
      <c r="A588" s="124"/>
      <c r="B588" s="124"/>
      <c r="C588" s="124"/>
      <c r="D588" s="124"/>
      <c r="E588" s="124"/>
      <c r="F588" s="124"/>
      <c r="G588" s="124"/>
      <c r="H588" s="124"/>
      <c r="I588" s="124"/>
      <c r="J588" s="124"/>
      <c r="K588" s="124"/>
      <c r="L588" s="124"/>
      <c r="M588" s="124"/>
      <c r="N588" s="124"/>
      <c r="O588" s="124"/>
      <c r="P588" s="124"/>
      <c r="Q588" s="124"/>
      <c r="R588" s="124"/>
      <c r="S588" s="124"/>
    </row>
    <row r="589" spans="1:19" x14ac:dyDescent="0.25">
      <c r="A589" s="124"/>
      <c r="B589" s="124"/>
      <c r="C589" s="124"/>
      <c r="D589" s="124"/>
      <c r="E589" s="124"/>
      <c r="F589" s="124"/>
      <c r="G589" s="124"/>
      <c r="H589" s="124"/>
      <c r="I589" s="124"/>
      <c r="J589" s="124"/>
      <c r="K589" s="124"/>
      <c r="L589" s="124"/>
      <c r="M589" s="124"/>
      <c r="N589" s="124"/>
      <c r="O589" s="124"/>
      <c r="P589" s="124"/>
      <c r="Q589" s="124"/>
      <c r="R589" s="124"/>
      <c r="S589" s="124"/>
    </row>
    <row r="590" spans="1:19" x14ac:dyDescent="0.25">
      <c r="A590" s="124"/>
      <c r="B590" s="124"/>
      <c r="C590" s="124"/>
      <c r="D590" s="124"/>
      <c r="E590" s="124"/>
      <c r="F590" s="124"/>
      <c r="G590" s="124"/>
      <c r="H590" s="124"/>
      <c r="I590" s="124"/>
      <c r="J590" s="124"/>
      <c r="K590" s="124"/>
      <c r="L590" s="124"/>
      <c r="M590" s="124"/>
      <c r="N590" s="124"/>
      <c r="O590" s="124"/>
      <c r="P590" s="124"/>
      <c r="Q590" s="124"/>
      <c r="R590" s="124"/>
      <c r="S590" s="124"/>
    </row>
    <row r="591" spans="1:19" x14ac:dyDescent="0.25">
      <c r="A591" s="124"/>
      <c r="B591" s="124"/>
      <c r="C591" s="124"/>
      <c r="D591" s="124"/>
      <c r="E591" s="124"/>
      <c r="F591" s="124"/>
      <c r="G591" s="124"/>
      <c r="H591" s="124"/>
      <c r="I591" s="124"/>
      <c r="J591" s="124"/>
      <c r="K591" s="124"/>
      <c r="L591" s="124"/>
      <c r="M591" s="124"/>
      <c r="N591" s="124"/>
      <c r="O591" s="124"/>
      <c r="P591" s="124"/>
      <c r="Q591" s="124"/>
      <c r="R591" s="124"/>
      <c r="S591" s="124"/>
    </row>
    <row r="592" spans="1:19" x14ac:dyDescent="0.25">
      <c r="A592" s="124"/>
      <c r="B592" s="124"/>
      <c r="C592" s="124"/>
      <c r="D592" s="124"/>
      <c r="E592" s="124"/>
      <c r="F592" s="124"/>
      <c r="G592" s="124"/>
      <c r="H592" s="124"/>
      <c r="I592" s="124"/>
      <c r="J592" s="124"/>
      <c r="K592" s="124"/>
      <c r="L592" s="124"/>
      <c r="M592" s="124"/>
      <c r="N592" s="124"/>
      <c r="O592" s="124"/>
      <c r="P592" s="124"/>
      <c r="Q592" s="124"/>
      <c r="R592" s="124"/>
      <c r="S592" s="124"/>
    </row>
    <row r="593" spans="1:19" x14ac:dyDescent="0.25">
      <c r="A593" s="124"/>
      <c r="B593" s="124"/>
      <c r="C593" s="124"/>
      <c r="D593" s="124"/>
      <c r="E593" s="124"/>
      <c r="F593" s="124"/>
      <c r="G593" s="124"/>
      <c r="H593" s="124"/>
      <c r="I593" s="124"/>
      <c r="J593" s="124"/>
      <c r="K593" s="124"/>
      <c r="L593" s="124"/>
      <c r="M593" s="124"/>
      <c r="N593" s="124"/>
      <c r="O593" s="124"/>
      <c r="P593" s="124"/>
      <c r="Q593" s="124"/>
      <c r="R593" s="124"/>
      <c r="S593" s="124"/>
    </row>
    <row r="594" spans="1:19" x14ac:dyDescent="0.25">
      <c r="A594" s="124"/>
      <c r="B594" s="124"/>
      <c r="C594" s="124"/>
      <c r="D594" s="124"/>
      <c r="E594" s="124"/>
      <c r="F594" s="124"/>
      <c r="G594" s="124"/>
      <c r="H594" s="124"/>
      <c r="I594" s="124"/>
      <c r="J594" s="124"/>
      <c r="K594" s="124"/>
      <c r="L594" s="124"/>
      <c r="M594" s="124"/>
      <c r="N594" s="124"/>
      <c r="O594" s="124"/>
      <c r="P594" s="124"/>
      <c r="Q594" s="124"/>
      <c r="R594" s="124"/>
      <c r="S594" s="124"/>
    </row>
    <row r="595" spans="1:19" x14ac:dyDescent="0.25">
      <c r="A595" s="124"/>
      <c r="B595" s="124"/>
      <c r="C595" s="124"/>
      <c r="D595" s="124"/>
      <c r="E595" s="124"/>
      <c r="F595" s="124"/>
      <c r="G595" s="124"/>
      <c r="H595" s="124"/>
      <c r="I595" s="124"/>
      <c r="J595" s="124"/>
      <c r="K595" s="124"/>
      <c r="L595" s="124"/>
      <c r="M595" s="124"/>
      <c r="N595" s="124"/>
      <c r="O595" s="124"/>
      <c r="P595" s="124"/>
      <c r="Q595" s="124"/>
      <c r="R595" s="124"/>
      <c r="S595" s="124"/>
    </row>
    <row r="596" spans="1:19" x14ac:dyDescent="0.25">
      <c r="A596" s="124"/>
      <c r="B596" s="124"/>
      <c r="C596" s="124"/>
      <c r="D596" s="124"/>
      <c r="E596" s="124"/>
      <c r="F596" s="124"/>
      <c r="G596" s="124"/>
      <c r="H596" s="124"/>
      <c r="I596" s="124"/>
      <c r="J596" s="124"/>
      <c r="K596" s="124"/>
      <c r="L596" s="124"/>
      <c r="M596" s="124"/>
      <c r="N596" s="124"/>
      <c r="O596" s="124"/>
      <c r="P596" s="124"/>
      <c r="Q596" s="124"/>
      <c r="R596" s="124"/>
      <c r="S596" s="124"/>
    </row>
    <row r="597" spans="1:19" x14ac:dyDescent="0.25">
      <c r="A597" s="124"/>
      <c r="B597" s="124"/>
      <c r="C597" s="124"/>
      <c r="D597" s="124"/>
      <c r="E597" s="124"/>
      <c r="F597" s="124"/>
      <c r="G597" s="124"/>
      <c r="H597" s="124"/>
      <c r="I597" s="124"/>
      <c r="J597" s="124"/>
      <c r="K597" s="124"/>
      <c r="L597" s="124"/>
      <c r="M597" s="124"/>
      <c r="N597" s="124"/>
      <c r="O597" s="124"/>
      <c r="P597" s="124"/>
      <c r="Q597" s="124"/>
      <c r="R597" s="124"/>
      <c r="S597" s="124"/>
    </row>
    <row r="598" spans="1:19" x14ac:dyDescent="0.25">
      <c r="A598" s="124"/>
      <c r="B598" s="124"/>
      <c r="C598" s="124"/>
      <c r="D598" s="124"/>
      <c r="E598" s="124"/>
      <c r="F598" s="124"/>
      <c r="G598" s="124"/>
      <c r="H598" s="124"/>
      <c r="I598" s="124"/>
      <c r="J598" s="124"/>
      <c r="K598" s="124"/>
      <c r="L598" s="124"/>
      <c r="M598" s="124"/>
      <c r="N598" s="124"/>
      <c r="O598" s="124"/>
      <c r="P598" s="124"/>
      <c r="Q598" s="124"/>
      <c r="R598" s="124"/>
      <c r="S598" s="124"/>
    </row>
    <row r="599" spans="1:19" x14ac:dyDescent="0.25">
      <c r="A599" s="124"/>
      <c r="B599" s="124"/>
      <c r="C599" s="124"/>
      <c r="D599" s="124"/>
      <c r="E599" s="124"/>
      <c r="F599" s="124"/>
      <c r="G599" s="124"/>
      <c r="H599" s="124"/>
      <c r="I599" s="124"/>
      <c r="J599" s="124"/>
      <c r="K599" s="124"/>
      <c r="L599" s="124"/>
      <c r="M599" s="124"/>
      <c r="N599" s="124"/>
      <c r="O599" s="124"/>
      <c r="P599" s="124"/>
      <c r="Q599" s="124"/>
      <c r="R599" s="124"/>
      <c r="S599" s="124"/>
    </row>
    <row r="600" spans="1:19" x14ac:dyDescent="0.25">
      <c r="A600" s="124"/>
      <c r="B600" s="124"/>
      <c r="C600" s="124"/>
      <c r="D600" s="124"/>
      <c r="E600" s="124"/>
      <c r="F600" s="124"/>
      <c r="G600" s="124"/>
      <c r="H600" s="124"/>
      <c r="I600" s="124"/>
      <c r="J600" s="124"/>
      <c r="K600" s="124"/>
      <c r="L600" s="124"/>
      <c r="M600" s="124"/>
      <c r="N600" s="124"/>
      <c r="O600" s="124"/>
      <c r="P600" s="124"/>
      <c r="Q600" s="124"/>
      <c r="R600" s="124"/>
      <c r="S600" s="124"/>
    </row>
    <row r="601" spans="1:19" x14ac:dyDescent="0.25">
      <c r="A601" s="124"/>
      <c r="B601" s="124"/>
      <c r="C601" s="124"/>
      <c r="D601" s="124"/>
      <c r="E601" s="124"/>
      <c r="F601" s="124"/>
      <c r="G601" s="124"/>
      <c r="H601" s="124"/>
      <c r="I601" s="124"/>
      <c r="J601" s="124"/>
      <c r="K601" s="124"/>
      <c r="L601" s="124"/>
      <c r="M601" s="124"/>
      <c r="N601" s="124"/>
      <c r="O601" s="124"/>
      <c r="P601" s="124"/>
      <c r="Q601" s="124"/>
      <c r="R601" s="124"/>
      <c r="S601" s="124"/>
    </row>
    <row r="602" spans="1:19" x14ac:dyDescent="0.25">
      <c r="A602" s="124"/>
      <c r="B602" s="124"/>
      <c r="C602" s="124"/>
      <c r="D602" s="124"/>
      <c r="E602" s="124"/>
      <c r="F602" s="124"/>
      <c r="G602" s="124"/>
      <c r="H602" s="124"/>
      <c r="I602" s="124"/>
      <c r="J602" s="124"/>
      <c r="K602" s="124"/>
      <c r="L602" s="124"/>
      <c r="M602" s="124"/>
      <c r="N602" s="124"/>
      <c r="O602" s="124"/>
      <c r="P602" s="124"/>
      <c r="Q602" s="124"/>
      <c r="R602" s="124"/>
      <c r="S602" s="124"/>
    </row>
    <row r="603" spans="1:19" x14ac:dyDescent="0.25">
      <c r="A603" s="124"/>
      <c r="B603" s="124"/>
      <c r="C603" s="124"/>
      <c r="D603" s="124"/>
      <c r="E603" s="124"/>
      <c r="F603" s="124"/>
      <c r="G603" s="124"/>
      <c r="H603" s="124"/>
      <c r="I603" s="124"/>
      <c r="J603" s="124"/>
      <c r="K603" s="124"/>
      <c r="L603" s="124"/>
      <c r="M603" s="124"/>
      <c r="N603" s="124"/>
      <c r="O603" s="124"/>
      <c r="P603" s="124"/>
      <c r="Q603" s="124"/>
      <c r="R603" s="124"/>
      <c r="S603" s="124"/>
    </row>
    <row r="604" spans="1:19" x14ac:dyDescent="0.25">
      <c r="A604" s="124"/>
      <c r="B604" s="124"/>
      <c r="C604" s="124"/>
      <c r="D604" s="124"/>
      <c r="E604" s="124"/>
      <c r="F604" s="124"/>
      <c r="G604" s="124"/>
      <c r="H604" s="124"/>
      <c r="I604" s="124"/>
      <c r="J604" s="124"/>
      <c r="K604" s="124"/>
      <c r="L604" s="124"/>
      <c r="M604" s="124"/>
      <c r="N604" s="124"/>
      <c r="O604" s="124"/>
      <c r="P604" s="124"/>
      <c r="Q604" s="124"/>
      <c r="R604" s="124"/>
      <c r="S604" s="124"/>
    </row>
    <row r="605" spans="1:19" x14ac:dyDescent="0.25">
      <c r="A605" s="124"/>
      <c r="B605" s="124"/>
      <c r="C605" s="124"/>
      <c r="D605" s="124"/>
      <c r="E605" s="124"/>
      <c r="F605" s="124"/>
      <c r="G605" s="124"/>
      <c r="H605" s="124"/>
      <c r="I605" s="124"/>
      <c r="J605" s="124"/>
      <c r="K605" s="124"/>
      <c r="L605" s="124"/>
      <c r="M605" s="124"/>
      <c r="N605" s="124"/>
      <c r="O605" s="124"/>
      <c r="P605" s="124"/>
      <c r="Q605" s="124"/>
      <c r="R605" s="124"/>
      <c r="S605" s="124"/>
    </row>
    <row r="606" spans="1:19" x14ac:dyDescent="0.25">
      <c r="A606" s="124"/>
      <c r="B606" s="124"/>
      <c r="C606" s="124"/>
      <c r="D606" s="124"/>
      <c r="E606" s="124"/>
      <c r="F606" s="124"/>
      <c r="G606" s="124"/>
      <c r="H606" s="124"/>
      <c r="I606" s="124"/>
      <c r="J606" s="124"/>
      <c r="K606" s="124"/>
      <c r="L606" s="124"/>
      <c r="M606" s="124"/>
      <c r="N606" s="124"/>
      <c r="O606" s="124"/>
      <c r="P606" s="124"/>
      <c r="Q606" s="124"/>
      <c r="R606" s="124"/>
      <c r="S606" s="124"/>
    </row>
    <row r="607" spans="1:19" x14ac:dyDescent="0.25">
      <c r="A607" s="124"/>
      <c r="B607" s="124"/>
      <c r="C607" s="124"/>
      <c r="D607" s="124"/>
      <c r="E607" s="124"/>
      <c r="F607" s="124"/>
      <c r="G607" s="124"/>
      <c r="H607" s="124"/>
      <c r="I607" s="124"/>
      <c r="J607" s="124"/>
      <c r="K607" s="124"/>
      <c r="L607" s="124"/>
      <c r="M607" s="124"/>
      <c r="N607" s="124"/>
      <c r="O607" s="124"/>
      <c r="P607" s="124"/>
      <c r="Q607" s="124"/>
      <c r="R607" s="124"/>
      <c r="S607" s="124"/>
    </row>
    <row r="608" spans="1:19" x14ac:dyDescent="0.25">
      <c r="A608" s="124"/>
      <c r="B608" s="124"/>
      <c r="C608" s="124"/>
      <c r="D608" s="124"/>
      <c r="E608" s="124"/>
      <c r="F608" s="124"/>
      <c r="G608" s="124"/>
      <c r="H608" s="124"/>
      <c r="I608" s="124"/>
      <c r="J608" s="124"/>
      <c r="K608" s="124"/>
      <c r="L608" s="124"/>
      <c r="M608" s="124"/>
      <c r="N608" s="124"/>
      <c r="O608" s="124"/>
      <c r="P608" s="124"/>
      <c r="Q608" s="124"/>
      <c r="R608" s="124"/>
      <c r="S608" s="124"/>
    </row>
    <row r="609" spans="1:19" x14ac:dyDescent="0.25">
      <c r="A609" s="124"/>
      <c r="B609" s="124"/>
      <c r="C609" s="124"/>
      <c r="D609" s="124"/>
      <c r="E609" s="124"/>
      <c r="F609" s="124"/>
      <c r="G609" s="124"/>
      <c r="H609" s="124"/>
      <c r="I609" s="124"/>
      <c r="J609" s="124"/>
      <c r="K609" s="124"/>
      <c r="L609" s="124"/>
      <c r="M609" s="124"/>
      <c r="N609" s="124"/>
      <c r="O609" s="124"/>
      <c r="P609" s="124"/>
      <c r="Q609" s="124"/>
      <c r="R609" s="124"/>
      <c r="S609" s="124"/>
    </row>
    <row r="610" spans="1:19" x14ac:dyDescent="0.25">
      <c r="A610" s="124"/>
      <c r="B610" s="124"/>
      <c r="C610" s="124"/>
      <c r="D610" s="124"/>
      <c r="E610" s="124"/>
      <c r="F610" s="124"/>
      <c r="G610" s="124"/>
      <c r="H610" s="124"/>
      <c r="I610" s="124"/>
      <c r="J610" s="124"/>
      <c r="K610" s="124"/>
      <c r="L610" s="124"/>
      <c r="M610" s="124"/>
      <c r="N610" s="124"/>
      <c r="O610" s="124"/>
      <c r="P610" s="124"/>
      <c r="Q610" s="124"/>
      <c r="R610" s="124"/>
      <c r="S610" s="124"/>
    </row>
    <row r="611" spans="1:19" x14ac:dyDescent="0.25">
      <c r="A611" s="124"/>
      <c r="B611" s="124"/>
      <c r="C611" s="124"/>
      <c r="D611" s="124"/>
      <c r="E611" s="124"/>
      <c r="F611" s="124"/>
      <c r="G611" s="124"/>
      <c r="H611" s="124"/>
      <c r="I611" s="124"/>
      <c r="J611" s="124"/>
      <c r="K611" s="124"/>
      <c r="L611" s="124"/>
      <c r="M611" s="124"/>
      <c r="N611" s="124"/>
      <c r="O611" s="124"/>
      <c r="P611" s="124"/>
      <c r="Q611" s="124"/>
      <c r="R611" s="124"/>
      <c r="S611" s="124"/>
    </row>
    <row r="612" spans="1:19" x14ac:dyDescent="0.25">
      <c r="A612" s="124"/>
      <c r="B612" s="124"/>
      <c r="C612" s="124"/>
      <c r="D612" s="124"/>
      <c r="E612" s="124"/>
      <c r="F612" s="124"/>
      <c r="G612" s="124"/>
      <c r="H612" s="124"/>
      <c r="I612" s="124"/>
      <c r="J612" s="124"/>
      <c r="K612" s="124"/>
      <c r="L612" s="124"/>
      <c r="M612" s="124"/>
      <c r="N612" s="124"/>
      <c r="O612" s="124"/>
      <c r="P612" s="124"/>
      <c r="Q612" s="124"/>
      <c r="R612" s="124"/>
      <c r="S612" s="124"/>
    </row>
    <row r="613" spans="1:19" x14ac:dyDescent="0.25">
      <c r="A613" s="124"/>
      <c r="B613" s="124"/>
      <c r="C613" s="124"/>
      <c r="D613" s="124"/>
      <c r="E613" s="124"/>
      <c r="F613" s="124"/>
      <c r="G613" s="124"/>
      <c r="H613" s="124"/>
      <c r="I613" s="124"/>
      <c r="J613" s="124"/>
      <c r="K613" s="124"/>
      <c r="L613" s="124"/>
      <c r="M613" s="124"/>
      <c r="N613" s="124"/>
      <c r="O613" s="124"/>
      <c r="P613" s="124"/>
      <c r="Q613" s="124"/>
      <c r="R613" s="124"/>
      <c r="S613" s="124"/>
    </row>
    <row r="614" spans="1:19" x14ac:dyDescent="0.25">
      <c r="A614" s="124"/>
      <c r="B614" s="124"/>
      <c r="C614" s="124"/>
      <c r="D614" s="124"/>
      <c r="E614" s="124"/>
      <c r="F614" s="124"/>
      <c r="G614" s="124"/>
      <c r="H614" s="124"/>
      <c r="I614" s="124"/>
      <c r="J614" s="124"/>
      <c r="K614" s="124"/>
      <c r="L614" s="124"/>
      <c r="M614" s="124"/>
      <c r="N614" s="124"/>
      <c r="O614" s="124"/>
      <c r="P614" s="124"/>
      <c r="Q614" s="124"/>
      <c r="R614" s="124"/>
      <c r="S614" s="124"/>
    </row>
    <row r="615" spans="1:19" x14ac:dyDescent="0.25">
      <c r="A615" s="124"/>
      <c r="B615" s="124"/>
      <c r="C615" s="124"/>
      <c r="D615" s="124"/>
      <c r="E615" s="124"/>
      <c r="F615" s="124"/>
      <c r="G615" s="124"/>
      <c r="H615" s="124"/>
      <c r="I615" s="124"/>
      <c r="J615" s="124"/>
      <c r="K615" s="124"/>
      <c r="L615" s="124"/>
      <c r="M615" s="124"/>
      <c r="N615" s="124"/>
      <c r="O615" s="124"/>
      <c r="P615" s="124"/>
      <c r="Q615" s="124"/>
      <c r="R615" s="124"/>
      <c r="S615" s="124"/>
    </row>
    <row r="616" spans="1:19" x14ac:dyDescent="0.25">
      <c r="A616" s="124"/>
      <c r="B616" s="124"/>
      <c r="C616" s="124"/>
      <c r="D616" s="124"/>
      <c r="E616" s="124"/>
      <c r="F616" s="124"/>
      <c r="G616" s="124"/>
      <c r="H616" s="124"/>
      <c r="I616" s="124"/>
      <c r="J616" s="124"/>
      <c r="K616" s="124"/>
      <c r="L616" s="124"/>
      <c r="M616" s="124"/>
      <c r="N616" s="124"/>
      <c r="O616" s="124"/>
      <c r="P616" s="124"/>
      <c r="Q616" s="124"/>
      <c r="R616" s="124"/>
      <c r="S616" s="124"/>
    </row>
    <row r="617" spans="1:19" x14ac:dyDescent="0.25">
      <c r="A617" s="124"/>
      <c r="B617" s="124"/>
      <c r="C617" s="124"/>
      <c r="D617" s="124"/>
      <c r="E617" s="124"/>
      <c r="F617" s="124"/>
      <c r="G617" s="124"/>
      <c r="H617" s="124"/>
      <c r="I617" s="124"/>
      <c r="J617" s="124"/>
      <c r="K617" s="124"/>
      <c r="L617" s="124"/>
      <c r="M617" s="124"/>
      <c r="N617" s="124"/>
      <c r="O617" s="124"/>
      <c r="P617" s="124"/>
      <c r="Q617" s="124"/>
      <c r="R617" s="124"/>
      <c r="S617" s="124"/>
    </row>
    <row r="618" spans="1:19" x14ac:dyDescent="0.25">
      <c r="A618" s="124"/>
      <c r="B618" s="124"/>
      <c r="C618" s="124"/>
      <c r="D618" s="124"/>
      <c r="E618" s="124"/>
      <c r="F618" s="124"/>
      <c r="G618" s="124"/>
      <c r="H618" s="124"/>
      <c r="I618" s="124"/>
      <c r="J618" s="124"/>
      <c r="K618" s="124"/>
      <c r="L618" s="124"/>
      <c r="M618" s="124"/>
      <c r="N618" s="124"/>
      <c r="O618" s="124"/>
      <c r="P618" s="124"/>
      <c r="Q618" s="124"/>
      <c r="R618" s="124"/>
      <c r="S618" s="124"/>
    </row>
    <row r="619" spans="1:19" x14ac:dyDescent="0.25">
      <c r="A619" s="124"/>
      <c r="B619" s="124"/>
      <c r="C619" s="124"/>
      <c r="D619" s="124"/>
      <c r="E619" s="124"/>
      <c r="F619" s="124"/>
      <c r="G619" s="124"/>
      <c r="H619" s="124"/>
      <c r="I619" s="124"/>
      <c r="J619" s="124"/>
      <c r="K619" s="124"/>
      <c r="L619" s="124"/>
      <c r="M619" s="124"/>
      <c r="N619" s="124"/>
      <c r="O619" s="124"/>
      <c r="P619" s="124"/>
      <c r="Q619" s="124"/>
      <c r="R619" s="124"/>
      <c r="S619" s="124"/>
    </row>
    <row r="620" spans="1:19" x14ac:dyDescent="0.25">
      <c r="A620" s="124"/>
      <c r="B620" s="124"/>
      <c r="C620" s="124"/>
      <c r="D620" s="124"/>
      <c r="E620" s="124"/>
      <c r="F620" s="124"/>
      <c r="G620" s="124"/>
      <c r="H620" s="124"/>
      <c r="I620" s="124"/>
      <c r="J620" s="124"/>
      <c r="K620" s="124"/>
      <c r="L620" s="124"/>
      <c r="M620" s="124"/>
      <c r="N620" s="124"/>
      <c r="O620" s="124"/>
      <c r="P620" s="124"/>
      <c r="Q620" s="124"/>
      <c r="R620" s="124"/>
      <c r="S620" s="124"/>
    </row>
    <row r="621" spans="1:19" x14ac:dyDescent="0.25">
      <c r="A621" s="124"/>
      <c r="B621" s="124"/>
      <c r="C621" s="124"/>
      <c r="D621" s="124"/>
      <c r="E621" s="124"/>
      <c r="F621" s="124"/>
      <c r="G621" s="124"/>
      <c r="H621" s="124"/>
      <c r="I621" s="124"/>
      <c r="J621" s="124"/>
      <c r="K621" s="124"/>
      <c r="L621" s="124"/>
      <c r="M621" s="124"/>
      <c r="N621" s="124"/>
      <c r="O621" s="124"/>
      <c r="P621" s="124"/>
      <c r="Q621" s="124"/>
      <c r="R621" s="124"/>
      <c r="S621" s="124"/>
    </row>
    <row r="622" spans="1:19" x14ac:dyDescent="0.25">
      <c r="A622" s="124"/>
      <c r="B622" s="124"/>
      <c r="C622" s="124"/>
      <c r="D622" s="124"/>
      <c r="E622" s="124"/>
      <c r="F622" s="124"/>
      <c r="G622" s="124"/>
      <c r="H622" s="124"/>
      <c r="I622" s="124"/>
      <c r="J622" s="124"/>
      <c r="K622" s="124"/>
      <c r="L622" s="124"/>
      <c r="M622" s="124"/>
      <c r="N622" s="124"/>
      <c r="O622" s="124"/>
      <c r="P622" s="124"/>
      <c r="Q622" s="124"/>
      <c r="R622" s="124"/>
      <c r="S622" s="124"/>
    </row>
    <row r="623" spans="1:19" x14ac:dyDescent="0.25">
      <c r="A623" s="124"/>
      <c r="B623" s="124"/>
      <c r="C623" s="124"/>
      <c r="D623" s="124"/>
      <c r="E623" s="124"/>
      <c r="F623" s="124"/>
      <c r="G623" s="124"/>
      <c r="H623" s="124"/>
      <c r="I623" s="124"/>
      <c r="J623" s="124"/>
      <c r="K623" s="124"/>
      <c r="L623" s="124"/>
      <c r="M623" s="124"/>
      <c r="N623" s="124"/>
      <c r="O623" s="124"/>
      <c r="P623" s="124"/>
      <c r="Q623" s="124"/>
      <c r="R623" s="124"/>
      <c r="S623" s="124"/>
    </row>
    <row r="624" spans="1:19" x14ac:dyDescent="0.25">
      <c r="A624" s="124"/>
      <c r="B624" s="124"/>
      <c r="C624" s="124"/>
      <c r="D624" s="124"/>
      <c r="E624" s="124"/>
      <c r="F624" s="124"/>
      <c r="G624" s="124"/>
      <c r="H624" s="124"/>
      <c r="I624" s="124"/>
      <c r="J624" s="124"/>
      <c r="K624" s="124"/>
      <c r="L624" s="124"/>
      <c r="M624" s="124"/>
      <c r="N624" s="124"/>
      <c r="O624" s="124"/>
      <c r="P624" s="124"/>
      <c r="Q624" s="124"/>
      <c r="R624" s="124"/>
      <c r="S624" s="124"/>
    </row>
    <row r="625" spans="1:19" x14ac:dyDescent="0.25">
      <c r="A625" s="124"/>
      <c r="B625" s="124"/>
      <c r="C625" s="124"/>
      <c r="D625" s="124"/>
      <c r="E625" s="124"/>
      <c r="F625" s="124"/>
      <c r="G625" s="124"/>
      <c r="H625" s="124"/>
      <c r="I625" s="124"/>
      <c r="J625" s="124"/>
      <c r="K625" s="124"/>
      <c r="L625" s="124"/>
      <c r="M625" s="124"/>
      <c r="N625" s="124"/>
      <c r="O625" s="124"/>
      <c r="P625" s="124"/>
      <c r="Q625" s="124"/>
      <c r="R625" s="124"/>
      <c r="S625" s="124"/>
    </row>
    <row r="626" spans="1:19" x14ac:dyDescent="0.25">
      <c r="A626" s="124"/>
      <c r="B626" s="124"/>
      <c r="C626" s="124"/>
      <c r="D626" s="124"/>
      <c r="E626" s="124"/>
      <c r="F626" s="124"/>
      <c r="G626" s="124"/>
      <c r="H626" s="124"/>
      <c r="I626" s="124"/>
      <c r="J626" s="124"/>
      <c r="K626" s="124"/>
      <c r="L626" s="124"/>
      <c r="M626" s="124"/>
      <c r="N626" s="124"/>
      <c r="O626" s="124"/>
      <c r="P626" s="124"/>
      <c r="Q626" s="124"/>
      <c r="R626" s="124"/>
      <c r="S626" s="124"/>
    </row>
    <row r="627" spans="1:19" x14ac:dyDescent="0.25">
      <c r="A627" s="124"/>
      <c r="B627" s="124"/>
      <c r="C627" s="124"/>
      <c r="D627" s="124"/>
      <c r="E627" s="124"/>
      <c r="F627" s="124"/>
      <c r="G627" s="124"/>
      <c r="H627" s="124"/>
      <c r="I627" s="124"/>
      <c r="J627" s="124"/>
      <c r="K627" s="124"/>
      <c r="L627" s="124"/>
      <c r="M627" s="124"/>
      <c r="N627" s="124"/>
      <c r="O627" s="124"/>
      <c r="P627" s="124"/>
      <c r="Q627" s="124"/>
      <c r="R627" s="124"/>
      <c r="S627" s="124"/>
    </row>
    <row r="628" spans="1:19" x14ac:dyDescent="0.25">
      <c r="A628" s="124"/>
      <c r="B628" s="124"/>
      <c r="C628" s="124"/>
      <c r="D628" s="124"/>
      <c r="E628" s="124"/>
      <c r="F628" s="124"/>
      <c r="G628" s="124"/>
      <c r="H628" s="124"/>
      <c r="I628" s="124"/>
      <c r="J628" s="124"/>
      <c r="K628" s="124"/>
      <c r="L628" s="124"/>
      <c r="M628" s="124"/>
      <c r="N628" s="124"/>
      <c r="O628" s="124"/>
      <c r="P628" s="124"/>
      <c r="Q628" s="124"/>
      <c r="R628" s="124"/>
      <c r="S628" s="124"/>
    </row>
    <row r="629" spans="1:19" x14ac:dyDescent="0.25">
      <c r="A629" s="124"/>
      <c r="B629" s="124"/>
      <c r="C629" s="124"/>
      <c r="D629" s="124"/>
      <c r="E629" s="124"/>
      <c r="F629" s="124"/>
      <c r="G629" s="124"/>
      <c r="H629" s="124"/>
      <c r="I629" s="124"/>
      <c r="J629" s="124"/>
      <c r="K629" s="124"/>
      <c r="L629" s="124"/>
      <c r="M629" s="124"/>
      <c r="N629" s="124"/>
      <c r="O629" s="124"/>
      <c r="P629" s="124"/>
      <c r="Q629" s="124"/>
      <c r="R629" s="124"/>
      <c r="S629" s="124"/>
    </row>
    <row r="630" spans="1:19" x14ac:dyDescent="0.25">
      <c r="A630" s="124"/>
      <c r="B630" s="124"/>
      <c r="C630" s="124"/>
      <c r="D630" s="124"/>
      <c r="E630" s="124"/>
      <c r="F630" s="124"/>
      <c r="G630" s="124"/>
      <c r="H630" s="124"/>
      <c r="I630" s="124"/>
      <c r="J630" s="124"/>
      <c r="K630" s="124"/>
      <c r="L630" s="124"/>
      <c r="M630" s="124"/>
      <c r="N630" s="124"/>
      <c r="O630" s="124"/>
      <c r="P630" s="124"/>
      <c r="Q630" s="124"/>
      <c r="R630" s="124"/>
      <c r="S630" s="124"/>
    </row>
    <row r="631" spans="1:19" x14ac:dyDescent="0.25">
      <c r="A631" s="124"/>
      <c r="B631" s="124"/>
      <c r="C631" s="124"/>
      <c r="D631" s="124"/>
      <c r="E631" s="124"/>
      <c r="F631" s="124"/>
      <c r="G631" s="124"/>
      <c r="H631" s="124"/>
      <c r="I631" s="124"/>
      <c r="J631" s="124"/>
      <c r="K631" s="124"/>
      <c r="L631" s="124"/>
      <c r="M631" s="124"/>
      <c r="N631" s="124"/>
      <c r="O631" s="124"/>
      <c r="P631" s="124"/>
      <c r="Q631" s="124"/>
      <c r="R631" s="124"/>
      <c r="S631" s="124"/>
    </row>
    <row r="632" spans="1:19" x14ac:dyDescent="0.25">
      <c r="A632" s="124"/>
      <c r="B632" s="124"/>
      <c r="C632" s="124"/>
      <c r="D632" s="124"/>
      <c r="E632" s="124"/>
      <c r="F632" s="124"/>
      <c r="G632" s="124"/>
      <c r="H632" s="124"/>
      <c r="I632" s="124"/>
      <c r="J632" s="124"/>
      <c r="K632" s="124"/>
      <c r="L632" s="124"/>
      <c r="M632" s="124"/>
      <c r="N632" s="124"/>
      <c r="O632" s="124"/>
      <c r="P632" s="124"/>
      <c r="Q632" s="124"/>
      <c r="R632" s="124"/>
      <c r="S632" s="124"/>
    </row>
    <row r="633" spans="1:19" x14ac:dyDescent="0.25">
      <c r="A633" s="124"/>
      <c r="B633" s="124"/>
      <c r="C633" s="124"/>
      <c r="D633" s="124"/>
      <c r="E633" s="124"/>
      <c r="F633" s="124"/>
      <c r="G633" s="124"/>
      <c r="H633" s="124"/>
      <c r="I633" s="124"/>
      <c r="J633" s="124"/>
      <c r="K633" s="124"/>
      <c r="L633" s="124"/>
      <c r="M633" s="124"/>
      <c r="N633" s="124"/>
      <c r="O633" s="124"/>
      <c r="P633" s="124"/>
      <c r="Q633" s="124"/>
      <c r="R633" s="124"/>
      <c r="S633" s="124"/>
    </row>
    <row r="634" spans="1:19" x14ac:dyDescent="0.25">
      <c r="A634" s="124"/>
      <c r="B634" s="124"/>
      <c r="C634" s="124"/>
      <c r="D634" s="124"/>
      <c r="E634" s="124"/>
      <c r="F634" s="124"/>
      <c r="G634" s="124"/>
      <c r="H634" s="124"/>
      <c r="I634" s="124"/>
      <c r="J634" s="124"/>
      <c r="K634" s="124"/>
      <c r="L634" s="124"/>
      <c r="M634" s="124"/>
      <c r="N634" s="124"/>
      <c r="O634" s="124"/>
      <c r="P634" s="124"/>
      <c r="Q634" s="124"/>
      <c r="R634" s="124"/>
      <c r="S634" s="124"/>
    </row>
    <row r="635" spans="1:19" x14ac:dyDescent="0.25">
      <c r="A635" s="124"/>
      <c r="B635" s="124"/>
      <c r="C635" s="124"/>
      <c r="D635" s="124"/>
      <c r="E635" s="124"/>
      <c r="F635" s="124"/>
      <c r="G635" s="124"/>
      <c r="H635" s="124"/>
      <c r="I635" s="124"/>
      <c r="J635" s="124"/>
      <c r="K635" s="124"/>
      <c r="L635" s="124"/>
      <c r="M635" s="124"/>
      <c r="N635" s="124"/>
      <c r="O635" s="124"/>
      <c r="P635" s="124"/>
      <c r="Q635" s="124"/>
      <c r="R635" s="124"/>
      <c r="S635" s="124"/>
    </row>
    <row r="636" spans="1:19" x14ac:dyDescent="0.25">
      <c r="A636" s="124"/>
      <c r="B636" s="124"/>
      <c r="C636" s="124"/>
      <c r="D636" s="124"/>
      <c r="E636" s="124"/>
      <c r="F636" s="124"/>
      <c r="G636" s="124"/>
      <c r="H636" s="124"/>
      <c r="I636" s="124"/>
      <c r="J636" s="124"/>
      <c r="K636" s="124"/>
      <c r="L636" s="124"/>
      <c r="M636" s="124"/>
      <c r="N636" s="124"/>
      <c r="O636" s="124"/>
      <c r="P636" s="124"/>
      <c r="Q636" s="124"/>
      <c r="R636" s="124"/>
      <c r="S636" s="124"/>
    </row>
    <row r="637" spans="1:19" x14ac:dyDescent="0.25">
      <c r="A637" s="124"/>
      <c r="B637" s="124"/>
      <c r="C637" s="124"/>
      <c r="D637" s="124"/>
      <c r="E637" s="124"/>
      <c r="F637" s="124"/>
      <c r="G637" s="124"/>
      <c r="H637" s="124"/>
      <c r="I637" s="124"/>
      <c r="J637" s="124"/>
      <c r="K637" s="124"/>
      <c r="L637" s="124"/>
      <c r="M637" s="124"/>
      <c r="N637" s="124"/>
      <c r="O637" s="124"/>
      <c r="P637" s="124"/>
      <c r="Q637" s="124"/>
      <c r="R637" s="124"/>
      <c r="S637" s="124"/>
    </row>
    <row r="638" spans="1:19" x14ac:dyDescent="0.25">
      <c r="A638" s="124"/>
      <c r="B638" s="124"/>
      <c r="C638" s="124"/>
      <c r="D638" s="124"/>
      <c r="E638" s="124"/>
      <c r="F638" s="124"/>
      <c r="G638" s="124"/>
      <c r="H638" s="124"/>
      <c r="I638" s="124"/>
      <c r="J638" s="124"/>
      <c r="K638" s="124"/>
      <c r="L638" s="124"/>
      <c r="M638" s="124"/>
      <c r="N638" s="124"/>
      <c r="O638" s="124"/>
      <c r="P638" s="124"/>
      <c r="Q638" s="124"/>
      <c r="R638" s="124"/>
      <c r="S638" s="124"/>
    </row>
    <row r="639" spans="1:19" x14ac:dyDescent="0.25">
      <c r="A639" s="124"/>
      <c r="B639" s="124"/>
      <c r="C639" s="124"/>
      <c r="D639" s="124"/>
      <c r="E639" s="124"/>
      <c r="F639" s="124"/>
      <c r="G639" s="124"/>
      <c r="H639" s="124"/>
      <c r="I639" s="124"/>
      <c r="J639" s="124"/>
      <c r="K639" s="124"/>
      <c r="L639" s="124"/>
      <c r="M639" s="124"/>
      <c r="N639" s="124"/>
      <c r="O639" s="124"/>
      <c r="P639" s="124"/>
      <c r="Q639" s="124"/>
      <c r="R639" s="124"/>
      <c r="S639" s="124"/>
    </row>
    <row r="640" spans="1:19" x14ac:dyDescent="0.25">
      <c r="A640" s="124"/>
      <c r="B640" s="124"/>
      <c r="C640" s="124"/>
      <c r="D640" s="124"/>
      <c r="E640" s="124"/>
      <c r="F640" s="124"/>
      <c r="G640" s="124"/>
      <c r="H640" s="124"/>
      <c r="I640" s="124"/>
      <c r="J640" s="124"/>
      <c r="K640" s="124"/>
      <c r="L640" s="124"/>
      <c r="M640" s="124"/>
      <c r="N640" s="124"/>
      <c r="O640" s="124"/>
      <c r="P640" s="124"/>
      <c r="Q640" s="124"/>
      <c r="R640" s="124"/>
      <c r="S640" s="124"/>
    </row>
    <row r="641" spans="1:19" x14ac:dyDescent="0.25">
      <c r="A641" s="124"/>
      <c r="B641" s="124"/>
      <c r="C641" s="124"/>
      <c r="D641" s="124"/>
      <c r="E641" s="124"/>
      <c r="F641" s="124"/>
      <c r="G641" s="124"/>
      <c r="H641" s="124"/>
      <c r="I641" s="124"/>
      <c r="J641" s="124"/>
      <c r="K641" s="124"/>
      <c r="L641" s="124"/>
      <c r="M641" s="124"/>
      <c r="N641" s="124"/>
      <c r="O641" s="124"/>
      <c r="P641" s="124"/>
      <c r="Q641" s="124"/>
      <c r="R641" s="124"/>
      <c r="S641" s="124"/>
    </row>
    <row r="642" spans="1:19" x14ac:dyDescent="0.25">
      <c r="A642" s="124"/>
      <c r="B642" s="124"/>
      <c r="C642" s="124"/>
      <c r="D642" s="124"/>
      <c r="E642" s="124"/>
      <c r="F642" s="124"/>
      <c r="G642" s="124"/>
      <c r="H642" s="124"/>
      <c r="I642" s="124"/>
      <c r="J642" s="124"/>
      <c r="K642" s="124"/>
      <c r="L642" s="124"/>
      <c r="M642" s="124"/>
      <c r="N642" s="124"/>
      <c r="O642" s="124"/>
      <c r="P642" s="124"/>
      <c r="Q642" s="124"/>
      <c r="R642" s="124"/>
      <c r="S642" s="124"/>
    </row>
    <row r="643" spans="1:19" x14ac:dyDescent="0.25">
      <c r="A643" s="124"/>
      <c r="B643" s="124"/>
      <c r="C643" s="124"/>
      <c r="D643" s="124"/>
      <c r="E643" s="124"/>
      <c r="F643" s="124"/>
      <c r="G643" s="124"/>
      <c r="H643" s="124"/>
      <c r="I643" s="124"/>
      <c r="J643" s="124"/>
      <c r="K643" s="124"/>
      <c r="L643" s="124"/>
      <c r="M643" s="124"/>
      <c r="N643" s="124"/>
      <c r="O643" s="124"/>
      <c r="P643" s="124"/>
      <c r="Q643" s="124"/>
      <c r="R643" s="124"/>
      <c r="S643" s="124"/>
    </row>
    <row r="644" spans="1:19" x14ac:dyDescent="0.25">
      <c r="A644" s="124"/>
      <c r="B644" s="124"/>
      <c r="C644" s="124"/>
      <c r="D644" s="124"/>
      <c r="E644" s="124"/>
      <c r="F644" s="124"/>
      <c r="G644" s="124"/>
      <c r="H644" s="124"/>
      <c r="I644" s="124"/>
      <c r="J644" s="124"/>
      <c r="K644" s="124"/>
      <c r="L644" s="124"/>
      <c r="M644" s="124"/>
      <c r="N644" s="124"/>
      <c r="O644" s="124"/>
      <c r="P644" s="124"/>
      <c r="Q644" s="124"/>
      <c r="R644" s="124"/>
      <c r="S644" s="124"/>
    </row>
    <row r="645" spans="1:19" x14ac:dyDescent="0.25">
      <c r="A645" s="124"/>
      <c r="B645" s="124"/>
      <c r="C645" s="124"/>
      <c r="D645" s="124"/>
      <c r="E645" s="124"/>
      <c r="F645" s="124"/>
      <c r="G645" s="124"/>
      <c r="H645" s="124"/>
      <c r="I645" s="124"/>
      <c r="J645" s="124"/>
      <c r="K645" s="124"/>
      <c r="L645" s="124"/>
      <c r="M645" s="124"/>
      <c r="N645" s="124"/>
      <c r="O645" s="124"/>
      <c r="P645" s="124"/>
      <c r="Q645" s="124"/>
      <c r="R645" s="124"/>
      <c r="S645" s="124"/>
    </row>
    <row r="646" spans="1:19" x14ac:dyDescent="0.25">
      <c r="A646" s="124"/>
      <c r="B646" s="124"/>
      <c r="C646" s="124"/>
      <c r="D646" s="124"/>
      <c r="E646" s="124"/>
      <c r="F646" s="124"/>
      <c r="G646" s="124"/>
      <c r="H646" s="124"/>
      <c r="I646" s="124"/>
      <c r="J646" s="124"/>
      <c r="K646" s="124"/>
      <c r="L646" s="124"/>
      <c r="M646" s="124"/>
      <c r="N646" s="124"/>
      <c r="O646" s="124"/>
      <c r="P646" s="124"/>
      <c r="Q646" s="124"/>
      <c r="R646" s="124"/>
      <c r="S646" s="124"/>
    </row>
    <row r="647" spans="1:19" x14ac:dyDescent="0.25">
      <c r="A647" s="124"/>
      <c r="B647" s="124"/>
      <c r="C647" s="124"/>
      <c r="D647" s="124"/>
      <c r="E647" s="124"/>
      <c r="F647" s="124"/>
      <c r="G647" s="124"/>
      <c r="H647" s="124"/>
      <c r="I647" s="124"/>
      <c r="J647" s="124"/>
      <c r="K647" s="124"/>
      <c r="L647" s="124"/>
      <c r="M647" s="124"/>
      <c r="N647" s="124"/>
      <c r="O647" s="124"/>
      <c r="P647" s="124"/>
      <c r="Q647" s="124"/>
      <c r="R647" s="124"/>
      <c r="S647" s="124"/>
    </row>
    <row r="648" spans="1:19" x14ac:dyDescent="0.25">
      <c r="A648" s="124"/>
      <c r="B648" s="124"/>
      <c r="C648" s="124"/>
      <c r="D648" s="124"/>
      <c r="E648" s="124"/>
      <c r="F648" s="124"/>
      <c r="G648" s="124"/>
      <c r="H648" s="124"/>
      <c r="I648" s="124"/>
      <c r="J648" s="124"/>
      <c r="K648" s="124"/>
      <c r="L648" s="124"/>
      <c r="M648" s="124"/>
      <c r="N648" s="124"/>
      <c r="O648" s="124"/>
      <c r="P648" s="124"/>
      <c r="Q648" s="124"/>
      <c r="R648" s="124"/>
      <c r="S648" s="124"/>
    </row>
    <row r="649" spans="1:19" x14ac:dyDescent="0.25">
      <c r="A649" s="124"/>
      <c r="B649" s="124"/>
      <c r="C649" s="124"/>
      <c r="D649" s="124"/>
      <c r="E649" s="124"/>
      <c r="F649" s="124"/>
      <c r="G649" s="124"/>
      <c r="H649" s="124"/>
      <c r="I649" s="124"/>
      <c r="J649" s="124"/>
      <c r="K649" s="124"/>
      <c r="L649" s="124"/>
      <c r="M649" s="124"/>
      <c r="N649" s="124"/>
      <c r="O649" s="124"/>
      <c r="P649" s="124"/>
      <c r="Q649" s="124"/>
      <c r="R649" s="124"/>
      <c r="S649" s="124"/>
    </row>
    <row r="650" spans="1:19" x14ac:dyDescent="0.25">
      <c r="A650" s="124"/>
      <c r="B650" s="124"/>
      <c r="C650" s="124"/>
      <c r="D650" s="124"/>
      <c r="E650" s="124"/>
      <c r="F650" s="124"/>
      <c r="G650" s="124"/>
      <c r="H650" s="124"/>
      <c r="I650" s="124"/>
      <c r="J650" s="124"/>
      <c r="K650" s="124"/>
      <c r="L650" s="124"/>
      <c r="M650" s="124"/>
      <c r="N650" s="124"/>
      <c r="O650" s="124"/>
      <c r="P650" s="124"/>
      <c r="Q650" s="124"/>
      <c r="R650" s="124"/>
      <c r="S650" s="124"/>
    </row>
    <row r="651" spans="1:19" x14ac:dyDescent="0.25">
      <c r="A651" s="124"/>
      <c r="B651" s="124"/>
      <c r="C651" s="124"/>
      <c r="D651" s="124"/>
      <c r="E651" s="124"/>
      <c r="F651" s="124"/>
      <c r="G651" s="124"/>
      <c r="H651" s="124"/>
      <c r="I651" s="124"/>
      <c r="J651" s="124"/>
      <c r="K651" s="124"/>
      <c r="L651" s="124"/>
      <c r="M651" s="124"/>
      <c r="N651" s="124"/>
      <c r="O651" s="124"/>
      <c r="P651" s="124"/>
      <c r="Q651" s="124"/>
      <c r="R651" s="124"/>
      <c r="S651" s="124"/>
    </row>
    <row r="652" spans="1:19" x14ac:dyDescent="0.25">
      <c r="A652" s="124"/>
      <c r="B652" s="124"/>
      <c r="C652" s="124"/>
      <c r="D652" s="124"/>
      <c r="E652" s="124"/>
      <c r="F652" s="124"/>
      <c r="G652" s="124"/>
      <c r="H652" s="124"/>
      <c r="I652" s="124"/>
      <c r="J652" s="124"/>
      <c r="K652" s="124"/>
      <c r="L652" s="124"/>
      <c r="M652" s="124"/>
      <c r="N652" s="124"/>
      <c r="O652" s="124"/>
      <c r="P652" s="124"/>
      <c r="Q652" s="124"/>
      <c r="R652" s="124"/>
      <c r="S652" s="124"/>
    </row>
    <row r="653" spans="1:19" x14ac:dyDescent="0.25">
      <c r="A653" s="124"/>
      <c r="B653" s="124"/>
      <c r="C653" s="124"/>
      <c r="D653" s="124"/>
      <c r="E653" s="124"/>
      <c r="F653" s="124"/>
      <c r="G653" s="124"/>
      <c r="H653" s="124"/>
      <c r="I653" s="124"/>
      <c r="J653" s="124"/>
      <c r="K653" s="124"/>
      <c r="L653" s="124"/>
      <c r="M653" s="124"/>
      <c r="N653" s="124"/>
      <c r="O653" s="124"/>
      <c r="P653" s="124"/>
      <c r="Q653" s="124"/>
      <c r="R653" s="124"/>
      <c r="S653" s="124"/>
    </row>
    <row r="654" spans="1:19" x14ac:dyDescent="0.25">
      <c r="A654" s="124"/>
      <c r="B654" s="124"/>
      <c r="C654" s="124"/>
      <c r="D654" s="124"/>
      <c r="E654" s="124"/>
      <c r="F654" s="124"/>
      <c r="G654" s="124"/>
      <c r="H654" s="124"/>
      <c r="I654" s="124"/>
      <c r="J654" s="124"/>
      <c r="K654" s="124"/>
      <c r="L654" s="124"/>
      <c r="M654" s="124"/>
      <c r="N654" s="124"/>
      <c r="O654" s="124"/>
      <c r="P654" s="124"/>
      <c r="Q654" s="124"/>
      <c r="R654" s="124"/>
      <c r="S654" s="124"/>
    </row>
    <row r="655" spans="1:19" x14ac:dyDescent="0.25">
      <c r="A655" s="124"/>
      <c r="B655" s="124"/>
      <c r="C655" s="124"/>
      <c r="D655" s="124"/>
      <c r="E655" s="124"/>
      <c r="F655" s="124"/>
      <c r="G655" s="124"/>
      <c r="H655" s="124"/>
      <c r="I655" s="124"/>
      <c r="J655" s="124"/>
      <c r="K655" s="124"/>
      <c r="L655" s="124"/>
      <c r="M655" s="124"/>
      <c r="N655" s="124"/>
      <c r="O655" s="124"/>
      <c r="P655" s="124"/>
      <c r="Q655" s="124"/>
      <c r="R655" s="124"/>
      <c r="S655" s="124"/>
    </row>
    <row r="656" spans="1:19" x14ac:dyDescent="0.25">
      <c r="A656" s="124"/>
      <c r="B656" s="124"/>
      <c r="C656" s="124"/>
      <c r="D656" s="124"/>
      <c r="E656" s="124"/>
      <c r="F656" s="124"/>
      <c r="G656" s="124"/>
      <c r="H656" s="124"/>
      <c r="I656" s="124"/>
      <c r="J656" s="124"/>
      <c r="K656" s="124"/>
      <c r="L656" s="124"/>
      <c r="M656" s="124"/>
      <c r="N656" s="124"/>
      <c r="O656" s="124"/>
      <c r="P656" s="124"/>
      <c r="Q656" s="124"/>
      <c r="R656" s="124"/>
      <c r="S656" s="124"/>
    </row>
    <row r="657" spans="1:19" x14ac:dyDescent="0.25">
      <c r="A657" s="124"/>
      <c r="B657" s="124"/>
      <c r="C657" s="124"/>
      <c r="D657" s="124"/>
      <c r="E657" s="124"/>
      <c r="F657" s="124"/>
      <c r="G657" s="124"/>
      <c r="H657" s="124"/>
      <c r="I657" s="124"/>
      <c r="J657" s="124"/>
      <c r="K657" s="124"/>
      <c r="L657" s="124"/>
      <c r="M657" s="124"/>
      <c r="N657" s="124"/>
      <c r="O657" s="124"/>
      <c r="P657" s="124"/>
      <c r="Q657" s="124"/>
      <c r="R657" s="124"/>
      <c r="S657" s="124"/>
    </row>
    <row r="658" spans="1:19" x14ac:dyDescent="0.25">
      <c r="A658" s="124"/>
      <c r="B658" s="124"/>
      <c r="C658" s="124"/>
      <c r="D658" s="124"/>
      <c r="E658" s="124"/>
      <c r="F658" s="124"/>
      <c r="G658" s="124"/>
      <c r="H658" s="124"/>
      <c r="I658" s="124"/>
      <c r="J658" s="124"/>
      <c r="K658" s="124"/>
      <c r="L658" s="124"/>
      <c r="M658" s="124"/>
      <c r="N658" s="124"/>
      <c r="O658" s="124"/>
      <c r="P658" s="124"/>
      <c r="Q658" s="124"/>
      <c r="R658" s="124"/>
      <c r="S658" s="124"/>
    </row>
    <row r="659" spans="1:19" x14ac:dyDescent="0.25">
      <c r="A659" s="124"/>
      <c r="B659" s="124"/>
      <c r="C659" s="124"/>
      <c r="D659" s="124"/>
      <c r="E659" s="124"/>
      <c r="F659" s="124"/>
      <c r="G659" s="124"/>
      <c r="H659" s="124"/>
      <c r="I659" s="124"/>
      <c r="J659" s="124"/>
      <c r="K659" s="124"/>
      <c r="L659" s="124"/>
      <c r="M659" s="124"/>
      <c r="N659" s="124"/>
      <c r="O659" s="124"/>
      <c r="P659" s="124"/>
      <c r="Q659" s="124"/>
      <c r="R659" s="124"/>
      <c r="S659" s="124"/>
    </row>
    <row r="660" spans="1:19" x14ac:dyDescent="0.25">
      <c r="A660" s="124"/>
      <c r="B660" s="124"/>
      <c r="C660" s="124"/>
      <c r="D660" s="124"/>
      <c r="E660" s="124"/>
      <c r="F660" s="124"/>
      <c r="G660" s="124"/>
      <c r="H660" s="124"/>
      <c r="I660" s="124"/>
      <c r="J660" s="124"/>
      <c r="K660" s="124"/>
      <c r="L660" s="124"/>
      <c r="M660" s="124"/>
      <c r="N660" s="124"/>
      <c r="O660" s="124"/>
      <c r="P660" s="124"/>
      <c r="Q660" s="124"/>
      <c r="R660" s="124"/>
      <c r="S660" s="124"/>
    </row>
    <row r="661" spans="1:19" x14ac:dyDescent="0.25">
      <c r="A661" s="124"/>
      <c r="B661" s="124"/>
      <c r="C661" s="124"/>
      <c r="D661" s="124"/>
      <c r="E661" s="124"/>
      <c r="F661" s="124"/>
      <c r="G661" s="124"/>
      <c r="H661" s="124"/>
      <c r="I661" s="124"/>
      <c r="J661" s="124"/>
      <c r="K661" s="124"/>
      <c r="L661" s="124"/>
      <c r="M661" s="124"/>
      <c r="N661" s="124"/>
      <c r="O661" s="124"/>
      <c r="P661" s="124"/>
      <c r="Q661" s="124"/>
      <c r="R661" s="124"/>
      <c r="S661" s="124"/>
    </row>
    <row r="662" spans="1:19" x14ac:dyDescent="0.25">
      <c r="A662" s="124"/>
      <c r="B662" s="124"/>
      <c r="C662" s="124"/>
      <c r="D662" s="124"/>
      <c r="E662" s="124"/>
      <c r="F662" s="124"/>
      <c r="G662" s="124"/>
      <c r="H662" s="124"/>
      <c r="I662" s="124"/>
      <c r="J662" s="124"/>
      <c r="K662" s="124"/>
      <c r="L662" s="124"/>
      <c r="M662" s="124"/>
      <c r="N662" s="124"/>
      <c r="O662" s="124"/>
      <c r="P662" s="124"/>
      <c r="Q662" s="124"/>
      <c r="R662" s="124"/>
      <c r="S662" s="124"/>
    </row>
    <row r="663" spans="1:19" x14ac:dyDescent="0.25">
      <c r="A663" s="124"/>
      <c r="B663" s="124"/>
      <c r="C663" s="124"/>
      <c r="D663" s="124"/>
      <c r="E663" s="124"/>
      <c r="F663" s="124"/>
      <c r="G663" s="124"/>
      <c r="H663" s="124"/>
      <c r="I663" s="124"/>
      <c r="J663" s="124"/>
      <c r="K663" s="124"/>
      <c r="L663" s="124"/>
      <c r="M663" s="124"/>
      <c r="N663" s="124"/>
      <c r="O663" s="124"/>
      <c r="P663" s="124"/>
      <c r="Q663" s="124"/>
      <c r="R663" s="124"/>
      <c r="S663" s="124"/>
    </row>
    <row r="664" spans="1:19" x14ac:dyDescent="0.25">
      <c r="A664" s="124"/>
      <c r="B664" s="124"/>
      <c r="C664" s="124"/>
      <c r="D664" s="124"/>
      <c r="E664" s="124"/>
      <c r="F664" s="124"/>
      <c r="G664" s="124"/>
      <c r="H664" s="124"/>
      <c r="I664" s="124"/>
      <c r="J664" s="124"/>
      <c r="K664" s="124"/>
      <c r="L664" s="124"/>
      <c r="M664" s="124"/>
      <c r="N664" s="124"/>
      <c r="O664" s="124"/>
      <c r="P664" s="124"/>
      <c r="Q664" s="124"/>
      <c r="R664" s="124"/>
      <c r="S664" s="124"/>
    </row>
    <row r="665" spans="1:19" x14ac:dyDescent="0.25">
      <c r="A665" s="124"/>
      <c r="B665" s="124"/>
      <c r="C665" s="124"/>
      <c r="D665" s="124"/>
      <c r="E665" s="124"/>
      <c r="F665" s="124"/>
      <c r="G665" s="124"/>
      <c r="H665" s="124"/>
      <c r="I665" s="124"/>
      <c r="J665" s="124"/>
      <c r="K665" s="124"/>
      <c r="L665" s="124"/>
      <c r="M665" s="124"/>
      <c r="N665" s="124"/>
      <c r="O665" s="124"/>
      <c r="P665" s="124"/>
      <c r="Q665" s="124"/>
      <c r="R665" s="124"/>
      <c r="S665" s="124"/>
    </row>
    <row r="666" spans="1:19" x14ac:dyDescent="0.25">
      <c r="A666" s="124"/>
      <c r="B666" s="124"/>
      <c r="C666" s="124"/>
      <c r="D666" s="124"/>
      <c r="E666" s="124"/>
      <c r="F666" s="124"/>
      <c r="G666" s="124"/>
      <c r="H666" s="124"/>
      <c r="I666" s="124"/>
      <c r="J666" s="124"/>
      <c r="K666" s="124"/>
      <c r="L666" s="124"/>
      <c r="M666" s="124"/>
      <c r="N666" s="124"/>
      <c r="O666" s="124"/>
      <c r="P666" s="124"/>
      <c r="Q666" s="124"/>
      <c r="R666" s="124"/>
      <c r="S666" s="124"/>
    </row>
    <row r="667" spans="1:19" x14ac:dyDescent="0.25">
      <c r="A667" s="124"/>
      <c r="B667" s="124"/>
      <c r="C667" s="124"/>
      <c r="D667" s="124"/>
      <c r="E667" s="124"/>
      <c r="F667" s="124"/>
      <c r="G667" s="124"/>
      <c r="H667" s="124"/>
      <c r="I667" s="124"/>
      <c r="J667" s="124"/>
      <c r="K667" s="124"/>
      <c r="L667" s="124"/>
      <c r="M667" s="124"/>
      <c r="N667" s="124"/>
      <c r="O667" s="124"/>
      <c r="P667" s="124"/>
      <c r="Q667" s="124"/>
      <c r="R667" s="124"/>
      <c r="S667" s="124"/>
    </row>
    <row r="668" spans="1:19" x14ac:dyDescent="0.25">
      <c r="A668" s="124"/>
      <c r="B668" s="124"/>
      <c r="C668" s="124"/>
      <c r="D668" s="124"/>
      <c r="E668" s="124"/>
      <c r="F668" s="124"/>
      <c r="G668" s="124"/>
      <c r="H668" s="124"/>
      <c r="I668" s="124"/>
      <c r="J668" s="124"/>
      <c r="K668" s="124"/>
      <c r="L668" s="124"/>
      <c r="M668" s="124"/>
      <c r="N668" s="124"/>
      <c r="O668" s="124"/>
      <c r="P668" s="124"/>
      <c r="Q668" s="124"/>
      <c r="R668" s="124"/>
      <c r="S668" s="124"/>
    </row>
    <row r="669" spans="1:19" x14ac:dyDescent="0.25">
      <c r="A669" s="124"/>
      <c r="B669" s="124"/>
      <c r="C669" s="124"/>
      <c r="D669" s="124"/>
      <c r="E669" s="124"/>
      <c r="F669" s="124"/>
      <c r="G669" s="124"/>
      <c r="H669" s="124"/>
      <c r="I669" s="124"/>
      <c r="J669" s="124"/>
      <c r="K669" s="124"/>
      <c r="L669" s="124"/>
      <c r="M669" s="124"/>
      <c r="N669" s="124"/>
      <c r="O669" s="124"/>
      <c r="P669" s="124"/>
      <c r="Q669" s="124"/>
      <c r="R669" s="124"/>
      <c r="S669" s="124"/>
    </row>
    <row r="670" spans="1:19" x14ac:dyDescent="0.25">
      <c r="A670" s="124"/>
      <c r="B670" s="124"/>
      <c r="C670" s="124"/>
      <c r="D670" s="124"/>
      <c r="E670" s="124"/>
      <c r="F670" s="124"/>
      <c r="G670" s="124"/>
      <c r="H670" s="124"/>
      <c r="I670" s="124"/>
      <c r="J670" s="124"/>
      <c r="K670" s="124"/>
      <c r="L670" s="124"/>
      <c r="M670" s="124"/>
      <c r="N670" s="124"/>
      <c r="O670" s="124"/>
      <c r="P670" s="124"/>
      <c r="Q670" s="124"/>
      <c r="R670" s="124"/>
      <c r="S670" s="124"/>
    </row>
    <row r="671" spans="1:19" x14ac:dyDescent="0.25">
      <c r="A671" s="124"/>
      <c r="B671" s="124"/>
      <c r="C671" s="124"/>
      <c r="D671" s="124"/>
      <c r="E671" s="124"/>
      <c r="F671" s="124"/>
      <c r="G671" s="124"/>
      <c r="H671" s="124"/>
      <c r="I671" s="124"/>
      <c r="J671" s="124"/>
      <c r="K671" s="124"/>
      <c r="L671" s="124"/>
      <c r="M671" s="124"/>
      <c r="N671" s="124"/>
      <c r="O671" s="124"/>
      <c r="P671" s="124"/>
      <c r="Q671" s="124"/>
      <c r="R671" s="124"/>
      <c r="S671" s="124"/>
    </row>
    <row r="672" spans="1:19" x14ac:dyDescent="0.25">
      <c r="A672" s="124"/>
      <c r="B672" s="124"/>
      <c r="C672" s="124"/>
      <c r="D672" s="124"/>
      <c r="E672" s="124"/>
      <c r="F672" s="124"/>
      <c r="G672" s="124"/>
      <c r="H672" s="124"/>
      <c r="I672" s="124"/>
      <c r="J672" s="124"/>
      <c r="K672" s="124"/>
      <c r="L672" s="124"/>
      <c r="M672" s="124"/>
      <c r="N672" s="124"/>
      <c r="O672" s="124"/>
      <c r="P672" s="124"/>
      <c r="Q672" s="124"/>
      <c r="R672" s="124"/>
      <c r="S672" s="124"/>
    </row>
    <row r="673" spans="1:19" x14ac:dyDescent="0.25">
      <c r="A673" s="124"/>
      <c r="B673" s="124"/>
      <c r="C673" s="124"/>
      <c r="D673" s="124"/>
      <c r="E673" s="124"/>
      <c r="F673" s="124"/>
      <c r="G673" s="124"/>
      <c r="H673" s="124"/>
      <c r="I673" s="124"/>
      <c r="J673" s="124"/>
      <c r="K673" s="124"/>
      <c r="L673" s="124"/>
      <c r="M673" s="124"/>
      <c r="N673" s="124"/>
      <c r="O673" s="124"/>
      <c r="P673" s="124"/>
      <c r="Q673" s="124"/>
      <c r="R673" s="124"/>
      <c r="S673" s="124"/>
    </row>
    <row r="674" spans="1:19" x14ac:dyDescent="0.25">
      <c r="A674" s="124"/>
      <c r="B674" s="124"/>
      <c r="C674" s="124"/>
      <c r="D674" s="124"/>
      <c r="E674" s="124"/>
      <c r="F674" s="124"/>
      <c r="G674" s="124"/>
      <c r="H674" s="124"/>
      <c r="I674" s="124"/>
      <c r="J674" s="124"/>
      <c r="K674" s="124"/>
      <c r="L674" s="124"/>
      <c r="M674" s="124"/>
      <c r="N674" s="124"/>
      <c r="O674" s="124"/>
      <c r="P674" s="124"/>
      <c r="Q674" s="124"/>
      <c r="R674" s="124"/>
      <c r="S674" s="124"/>
    </row>
    <row r="675" spans="1:19" x14ac:dyDescent="0.25">
      <c r="A675" s="124"/>
      <c r="B675" s="124"/>
      <c r="C675" s="124"/>
      <c r="D675" s="124"/>
      <c r="E675" s="124"/>
      <c r="F675" s="124"/>
      <c r="G675" s="124"/>
      <c r="H675" s="124"/>
      <c r="I675" s="124"/>
      <c r="J675" s="124"/>
      <c r="K675" s="124"/>
      <c r="L675" s="124"/>
      <c r="M675" s="124"/>
      <c r="N675" s="124"/>
      <c r="O675" s="124"/>
      <c r="P675" s="124"/>
      <c r="Q675" s="124"/>
      <c r="R675" s="124"/>
      <c r="S675" s="124"/>
    </row>
    <row r="676" spans="1:19" x14ac:dyDescent="0.25">
      <c r="A676" s="124"/>
      <c r="B676" s="124"/>
      <c r="C676" s="124"/>
      <c r="D676" s="124"/>
      <c r="E676" s="124"/>
      <c r="F676" s="124"/>
      <c r="G676" s="124"/>
      <c r="H676" s="124"/>
      <c r="I676" s="124"/>
      <c r="J676" s="124"/>
      <c r="K676" s="124"/>
      <c r="L676" s="124"/>
      <c r="M676" s="124"/>
      <c r="N676" s="124"/>
      <c r="O676" s="124"/>
      <c r="P676" s="124"/>
      <c r="Q676" s="124"/>
      <c r="R676" s="124"/>
      <c r="S676" s="124"/>
    </row>
    <row r="677" spans="1:19" x14ac:dyDescent="0.25">
      <c r="A677" s="124"/>
      <c r="B677" s="124"/>
      <c r="C677" s="124"/>
      <c r="D677" s="124"/>
      <c r="E677" s="124"/>
      <c r="F677" s="124"/>
      <c r="G677" s="124"/>
      <c r="H677" s="124"/>
      <c r="I677" s="124"/>
      <c r="J677" s="124"/>
      <c r="K677" s="124"/>
      <c r="L677" s="124"/>
      <c r="M677" s="124"/>
      <c r="N677" s="124"/>
      <c r="O677" s="124"/>
      <c r="P677" s="124"/>
      <c r="Q677" s="124"/>
      <c r="R677" s="124"/>
      <c r="S677" s="124"/>
    </row>
    <row r="678" spans="1:19" x14ac:dyDescent="0.25">
      <c r="A678" s="124"/>
      <c r="B678" s="124"/>
      <c r="C678" s="124"/>
      <c r="D678" s="124"/>
      <c r="E678" s="124"/>
      <c r="F678" s="124"/>
      <c r="G678" s="124"/>
      <c r="H678" s="124"/>
      <c r="I678" s="124"/>
      <c r="J678" s="124"/>
      <c r="K678" s="124"/>
      <c r="L678" s="124"/>
      <c r="M678" s="124"/>
      <c r="N678" s="124"/>
      <c r="O678" s="124"/>
      <c r="P678" s="124"/>
      <c r="Q678" s="124"/>
      <c r="R678" s="124"/>
      <c r="S678" s="124"/>
    </row>
    <row r="679" spans="1:19" x14ac:dyDescent="0.25">
      <c r="A679" s="124"/>
      <c r="B679" s="124"/>
      <c r="C679" s="124"/>
      <c r="D679" s="124"/>
      <c r="E679" s="124"/>
      <c r="F679" s="124"/>
      <c r="G679" s="124"/>
      <c r="H679" s="124"/>
      <c r="I679" s="124"/>
      <c r="J679" s="124"/>
      <c r="K679" s="124"/>
      <c r="L679" s="124"/>
      <c r="M679" s="124"/>
      <c r="N679" s="124"/>
      <c r="O679" s="124"/>
      <c r="P679" s="124"/>
      <c r="Q679" s="124"/>
      <c r="R679" s="124"/>
      <c r="S679" s="124"/>
    </row>
    <row r="680" spans="1:19" x14ac:dyDescent="0.25">
      <c r="A680" s="124"/>
      <c r="B680" s="124"/>
      <c r="C680" s="124"/>
      <c r="D680" s="124"/>
      <c r="E680" s="124"/>
      <c r="F680" s="124"/>
      <c r="G680" s="124"/>
      <c r="H680" s="124"/>
      <c r="I680" s="124"/>
      <c r="J680" s="124"/>
      <c r="K680" s="124"/>
      <c r="L680" s="124"/>
      <c r="M680" s="124"/>
      <c r="N680" s="124"/>
      <c r="O680" s="124"/>
      <c r="P680" s="124"/>
      <c r="Q680" s="124"/>
      <c r="R680" s="124"/>
      <c r="S680" s="124"/>
    </row>
    <row r="681" spans="1:19" x14ac:dyDescent="0.25">
      <c r="A681" s="124"/>
      <c r="B681" s="124"/>
      <c r="C681" s="124"/>
      <c r="D681" s="124"/>
      <c r="E681" s="124"/>
      <c r="F681" s="124"/>
      <c r="G681" s="124"/>
      <c r="H681" s="124"/>
      <c r="I681" s="124"/>
      <c r="J681" s="124"/>
      <c r="K681" s="124"/>
      <c r="L681" s="124"/>
      <c r="M681" s="124"/>
      <c r="N681" s="124"/>
      <c r="O681" s="124"/>
      <c r="P681" s="124"/>
      <c r="Q681" s="124"/>
      <c r="R681" s="124"/>
      <c r="S681" s="124"/>
    </row>
    <row r="682" spans="1:19" x14ac:dyDescent="0.25">
      <c r="A682" s="124"/>
      <c r="B682" s="124"/>
      <c r="C682" s="124"/>
      <c r="D682" s="124"/>
      <c r="E682" s="124"/>
      <c r="F682" s="124"/>
      <c r="G682" s="124"/>
      <c r="H682" s="124"/>
      <c r="I682" s="124"/>
      <c r="J682" s="124"/>
      <c r="K682" s="124"/>
      <c r="L682" s="124"/>
      <c r="M682" s="124"/>
      <c r="N682" s="124"/>
      <c r="O682" s="124"/>
      <c r="P682" s="124"/>
      <c r="Q682" s="124"/>
      <c r="R682" s="124"/>
      <c r="S682" s="124"/>
    </row>
    <row r="683" spans="1:19" x14ac:dyDescent="0.25">
      <c r="A683" s="124"/>
      <c r="B683" s="124"/>
      <c r="C683" s="124"/>
      <c r="D683" s="124"/>
      <c r="E683" s="124"/>
      <c r="F683" s="124"/>
      <c r="G683" s="124"/>
      <c r="H683" s="124"/>
      <c r="I683" s="124"/>
      <c r="J683" s="124"/>
      <c r="K683" s="124"/>
      <c r="L683" s="124"/>
      <c r="M683" s="124"/>
      <c r="N683" s="124"/>
      <c r="O683" s="124"/>
      <c r="P683" s="124"/>
      <c r="Q683" s="124"/>
      <c r="R683" s="124"/>
      <c r="S683" s="124"/>
    </row>
    <row r="684" spans="1:19" x14ac:dyDescent="0.25">
      <c r="A684" s="124"/>
      <c r="B684" s="124"/>
      <c r="C684" s="124"/>
      <c r="D684" s="124"/>
      <c r="E684" s="124"/>
      <c r="F684" s="124"/>
      <c r="G684" s="124"/>
      <c r="H684" s="124"/>
      <c r="I684" s="124"/>
      <c r="J684" s="124"/>
      <c r="K684" s="124"/>
      <c r="L684" s="124"/>
      <c r="M684" s="124"/>
      <c r="N684" s="124"/>
      <c r="O684" s="124"/>
      <c r="P684" s="124"/>
      <c r="Q684" s="124"/>
      <c r="R684" s="124"/>
      <c r="S684" s="124"/>
    </row>
    <row r="685" spans="1:19" x14ac:dyDescent="0.25">
      <c r="A685" s="124"/>
      <c r="B685" s="124"/>
      <c r="C685" s="124"/>
      <c r="D685" s="124"/>
      <c r="E685" s="124"/>
      <c r="F685" s="124"/>
      <c r="G685" s="124"/>
      <c r="H685" s="124"/>
      <c r="I685" s="124"/>
      <c r="J685" s="124"/>
      <c r="K685" s="124"/>
      <c r="L685" s="124"/>
      <c r="M685" s="124"/>
      <c r="N685" s="124"/>
      <c r="O685" s="124"/>
      <c r="P685" s="124"/>
      <c r="Q685" s="124"/>
      <c r="R685" s="124"/>
      <c r="S685" s="124"/>
    </row>
    <row r="686" spans="1:19" x14ac:dyDescent="0.25">
      <c r="A686" s="124"/>
      <c r="B686" s="124"/>
      <c r="C686" s="124"/>
      <c r="D686" s="124"/>
      <c r="E686" s="124"/>
      <c r="F686" s="124"/>
      <c r="G686" s="124"/>
      <c r="H686" s="124"/>
      <c r="I686" s="124"/>
      <c r="J686" s="124"/>
      <c r="K686" s="124"/>
      <c r="L686" s="124"/>
      <c r="M686" s="124"/>
      <c r="N686" s="124"/>
      <c r="O686" s="124"/>
      <c r="P686" s="124"/>
      <c r="Q686" s="124"/>
      <c r="R686" s="124"/>
      <c r="S686" s="124"/>
    </row>
    <row r="687" spans="1:19" x14ac:dyDescent="0.25">
      <c r="A687" s="124"/>
      <c r="B687" s="124"/>
      <c r="C687" s="124"/>
      <c r="D687" s="124"/>
      <c r="E687" s="124"/>
      <c r="F687" s="124"/>
      <c r="G687" s="124"/>
      <c r="H687" s="124"/>
      <c r="I687" s="124"/>
      <c r="J687" s="124"/>
      <c r="K687" s="124"/>
      <c r="L687" s="124"/>
      <c r="M687" s="124"/>
      <c r="N687" s="124"/>
      <c r="O687" s="124"/>
      <c r="P687" s="124"/>
      <c r="Q687" s="124"/>
      <c r="R687" s="124"/>
      <c r="S687" s="124"/>
    </row>
    <row r="688" spans="1:19" x14ac:dyDescent="0.25">
      <c r="A688" s="124"/>
      <c r="B688" s="124"/>
      <c r="C688" s="124"/>
      <c r="D688" s="124"/>
      <c r="E688" s="124"/>
      <c r="F688" s="124"/>
      <c r="G688" s="124"/>
      <c r="H688" s="124"/>
      <c r="I688" s="124"/>
      <c r="J688" s="124"/>
      <c r="K688" s="124"/>
      <c r="L688" s="124"/>
      <c r="M688" s="124"/>
      <c r="N688" s="124"/>
      <c r="O688" s="124"/>
      <c r="P688" s="124"/>
      <c r="Q688" s="124"/>
      <c r="R688" s="124"/>
      <c r="S688" s="124"/>
    </row>
    <row r="689" spans="1:19" x14ac:dyDescent="0.25">
      <c r="A689" s="124"/>
      <c r="B689" s="124"/>
      <c r="C689" s="124"/>
      <c r="D689" s="124"/>
      <c r="E689" s="124"/>
      <c r="F689" s="124"/>
      <c r="G689" s="124"/>
      <c r="H689" s="124"/>
      <c r="I689" s="124"/>
      <c r="J689" s="124"/>
      <c r="K689" s="124"/>
      <c r="L689" s="124"/>
      <c r="M689" s="124"/>
      <c r="N689" s="124"/>
      <c r="O689" s="124"/>
      <c r="P689" s="124"/>
      <c r="Q689" s="124"/>
      <c r="R689" s="124"/>
      <c r="S689" s="124"/>
    </row>
    <row r="690" spans="1:19" x14ac:dyDescent="0.25">
      <c r="A690" s="124"/>
      <c r="B690" s="124"/>
      <c r="C690" s="124"/>
      <c r="D690" s="124"/>
      <c r="E690" s="124"/>
      <c r="F690" s="124"/>
      <c r="G690" s="124"/>
      <c r="H690" s="124"/>
      <c r="I690" s="124"/>
      <c r="J690" s="124"/>
      <c r="K690" s="124"/>
      <c r="L690" s="124"/>
      <c r="M690" s="124"/>
      <c r="N690" s="124"/>
      <c r="O690" s="124"/>
      <c r="P690" s="124"/>
      <c r="Q690" s="124"/>
      <c r="R690" s="124"/>
      <c r="S690" s="124"/>
    </row>
    <row r="691" spans="1:19" x14ac:dyDescent="0.25">
      <c r="A691" s="124"/>
      <c r="B691" s="124"/>
      <c r="C691" s="124"/>
      <c r="D691" s="124"/>
      <c r="E691" s="124"/>
      <c r="F691" s="124"/>
      <c r="G691" s="124"/>
      <c r="H691" s="124"/>
      <c r="I691" s="124"/>
      <c r="J691" s="124"/>
      <c r="K691" s="124"/>
      <c r="L691" s="124"/>
      <c r="M691" s="124"/>
      <c r="N691" s="124"/>
      <c r="O691" s="124"/>
      <c r="P691" s="124"/>
      <c r="Q691" s="124"/>
      <c r="R691" s="124"/>
      <c r="S691" s="124"/>
    </row>
    <row r="692" spans="1:19" x14ac:dyDescent="0.25">
      <c r="A692" s="124"/>
      <c r="B692" s="124"/>
      <c r="C692" s="124"/>
      <c r="D692" s="124"/>
      <c r="E692" s="124"/>
      <c r="F692" s="124"/>
      <c r="G692" s="124"/>
      <c r="H692" s="124"/>
      <c r="I692" s="124"/>
      <c r="J692" s="124"/>
      <c r="K692" s="124"/>
      <c r="L692" s="124"/>
      <c r="M692" s="124"/>
      <c r="N692" s="124"/>
      <c r="O692" s="124"/>
      <c r="P692" s="124"/>
      <c r="Q692" s="124"/>
      <c r="R692" s="124"/>
      <c r="S692" s="124"/>
    </row>
    <row r="693" spans="1:19" x14ac:dyDescent="0.25">
      <c r="A693" s="124"/>
      <c r="B693" s="124"/>
      <c r="C693" s="124"/>
      <c r="D693" s="124"/>
      <c r="E693" s="124"/>
      <c r="F693" s="124"/>
      <c r="G693" s="124"/>
      <c r="H693" s="124"/>
      <c r="I693" s="124"/>
      <c r="J693" s="124"/>
      <c r="K693" s="124"/>
      <c r="L693" s="124"/>
      <c r="M693" s="124"/>
      <c r="N693" s="124"/>
      <c r="O693" s="124"/>
      <c r="P693" s="124"/>
      <c r="Q693" s="124"/>
      <c r="R693" s="124"/>
      <c r="S693" s="124"/>
    </row>
    <row r="694" spans="1:19" x14ac:dyDescent="0.25">
      <c r="A694" s="124"/>
      <c r="B694" s="124"/>
      <c r="C694" s="124"/>
      <c r="D694" s="124"/>
      <c r="E694" s="124"/>
      <c r="F694" s="124"/>
      <c r="G694" s="124"/>
      <c r="H694" s="124"/>
      <c r="I694" s="124"/>
      <c r="J694" s="124"/>
      <c r="K694" s="124"/>
      <c r="L694" s="124"/>
      <c r="M694" s="124"/>
      <c r="N694" s="124"/>
      <c r="O694" s="124"/>
      <c r="P694" s="124"/>
      <c r="Q694" s="124"/>
      <c r="R694" s="124"/>
      <c r="S694" s="124"/>
    </row>
    <row r="695" spans="1:19" x14ac:dyDescent="0.25">
      <c r="A695" s="124"/>
      <c r="B695" s="124"/>
      <c r="C695" s="124"/>
      <c r="D695" s="124"/>
      <c r="E695" s="124"/>
      <c r="F695" s="124"/>
      <c r="G695" s="124"/>
      <c r="H695" s="124"/>
      <c r="I695" s="124"/>
      <c r="J695" s="124"/>
      <c r="K695" s="124"/>
      <c r="L695" s="124"/>
      <c r="M695" s="124"/>
      <c r="N695" s="124"/>
      <c r="O695" s="124"/>
      <c r="P695" s="124"/>
      <c r="Q695" s="124"/>
      <c r="R695" s="124"/>
      <c r="S695" s="124"/>
    </row>
    <row r="696" spans="1:19" x14ac:dyDescent="0.25">
      <c r="A696" s="124"/>
      <c r="B696" s="124"/>
      <c r="C696" s="124"/>
      <c r="D696" s="124"/>
      <c r="E696" s="124"/>
      <c r="F696" s="124"/>
      <c r="G696" s="124"/>
      <c r="H696" s="124"/>
      <c r="I696" s="124"/>
      <c r="J696" s="124"/>
      <c r="K696" s="124"/>
      <c r="L696" s="124"/>
      <c r="M696" s="124"/>
      <c r="N696" s="124"/>
      <c r="O696" s="124"/>
      <c r="P696" s="124"/>
      <c r="Q696" s="124"/>
      <c r="R696" s="124"/>
      <c r="S696" s="124"/>
    </row>
    <row r="697" spans="1:19" x14ac:dyDescent="0.25">
      <c r="A697" s="124"/>
      <c r="B697" s="124"/>
      <c r="C697" s="124"/>
      <c r="D697" s="124"/>
      <c r="E697" s="124"/>
      <c r="F697" s="124"/>
      <c r="G697" s="124"/>
      <c r="H697" s="124"/>
      <c r="I697" s="124"/>
      <c r="J697" s="124"/>
      <c r="K697" s="124"/>
      <c r="L697" s="124"/>
      <c r="M697" s="124"/>
      <c r="N697" s="124"/>
      <c r="O697" s="124"/>
      <c r="P697" s="124"/>
      <c r="Q697" s="124"/>
      <c r="R697" s="124"/>
      <c r="S697" s="124"/>
    </row>
    <row r="698" spans="1:19" x14ac:dyDescent="0.25">
      <c r="A698" s="124"/>
      <c r="B698" s="124"/>
      <c r="C698" s="124"/>
      <c r="D698" s="124"/>
      <c r="E698" s="124"/>
      <c r="F698" s="124"/>
      <c r="G698" s="124"/>
      <c r="H698" s="124"/>
      <c r="I698" s="124"/>
      <c r="J698" s="124"/>
      <c r="K698" s="124"/>
      <c r="L698" s="124"/>
      <c r="M698" s="124"/>
      <c r="N698" s="124"/>
      <c r="O698" s="124"/>
      <c r="P698" s="124"/>
      <c r="Q698" s="124"/>
      <c r="R698" s="124"/>
      <c r="S698" s="124"/>
    </row>
    <row r="699" spans="1:19" x14ac:dyDescent="0.25">
      <c r="A699" s="124"/>
      <c r="B699" s="124"/>
      <c r="C699" s="124"/>
      <c r="D699" s="124"/>
      <c r="E699" s="124"/>
      <c r="F699" s="124"/>
      <c r="G699" s="124"/>
      <c r="H699" s="124"/>
      <c r="I699" s="124"/>
      <c r="J699" s="124"/>
      <c r="K699" s="124"/>
      <c r="L699" s="124"/>
      <c r="M699" s="124"/>
      <c r="N699" s="124"/>
      <c r="O699" s="124"/>
      <c r="P699" s="124"/>
      <c r="Q699" s="124"/>
      <c r="R699" s="124"/>
      <c r="S699" s="124"/>
    </row>
    <row r="700" spans="1:19" x14ac:dyDescent="0.25">
      <c r="A700" s="124"/>
      <c r="B700" s="124"/>
      <c r="C700" s="124"/>
      <c r="D700" s="124"/>
      <c r="E700" s="124"/>
      <c r="F700" s="124"/>
      <c r="G700" s="124"/>
      <c r="H700" s="124"/>
      <c r="I700" s="124"/>
      <c r="J700" s="124"/>
      <c r="K700" s="124"/>
      <c r="L700" s="124"/>
      <c r="M700" s="124"/>
      <c r="N700" s="124"/>
      <c r="O700" s="124"/>
      <c r="P700" s="124"/>
      <c r="Q700" s="124"/>
      <c r="R700" s="124"/>
      <c r="S700" s="124"/>
    </row>
    <row r="701" spans="1:19" x14ac:dyDescent="0.25">
      <c r="A701" s="124"/>
      <c r="B701" s="124"/>
      <c r="C701" s="124"/>
      <c r="D701" s="124"/>
      <c r="E701" s="124"/>
      <c r="F701" s="124"/>
      <c r="G701" s="124"/>
      <c r="H701" s="124"/>
      <c r="I701" s="124"/>
      <c r="J701" s="124"/>
      <c r="K701" s="124"/>
      <c r="L701" s="124"/>
      <c r="M701" s="124"/>
      <c r="N701" s="124"/>
      <c r="O701" s="124"/>
      <c r="P701" s="124"/>
      <c r="Q701" s="124"/>
      <c r="R701" s="124"/>
      <c r="S701" s="124"/>
    </row>
    <row r="702" spans="1:19" x14ac:dyDescent="0.25">
      <c r="A702" s="124"/>
      <c r="B702" s="124"/>
      <c r="C702" s="124"/>
      <c r="D702" s="124"/>
      <c r="E702" s="124"/>
      <c r="F702" s="124"/>
      <c r="G702" s="124"/>
      <c r="H702" s="124"/>
      <c r="I702" s="124"/>
      <c r="J702" s="124"/>
      <c r="K702" s="124"/>
      <c r="L702" s="124"/>
      <c r="M702" s="124"/>
      <c r="N702" s="124"/>
      <c r="O702" s="124"/>
      <c r="P702" s="124"/>
      <c r="Q702" s="124"/>
      <c r="R702" s="124"/>
      <c r="S702" s="124"/>
    </row>
    <row r="703" spans="1:19" x14ac:dyDescent="0.25">
      <c r="A703" s="124"/>
      <c r="B703" s="124"/>
      <c r="C703" s="124"/>
      <c r="D703" s="124"/>
      <c r="E703" s="124"/>
      <c r="F703" s="124"/>
      <c r="G703" s="124"/>
      <c r="H703" s="124"/>
      <c r="I703" s="124"/>
      <c r="J703" s="124"/>
      <c r="K703" s="124"/>
      <c r="L703" s="124"/>
      <c r="M703" s="124"/>
      <c r="N703" s="124"/>
      <c r="O703" s="124"/>
      <c r="P703" s="124"/>
      <c r="Q703" s="124"/>
      <c r="R703" s="124"/>
      <c r="S703" s="124"/>
    </row>
    <row r="704" spans="1:19" x14ac:dyDescent="0.25">
      <c r="A704" s="124"/>
      <c r="B704" s="124"/>
      <c r="C704" s="124"/>
      <c r="D704" s="124"/>
      <c r="E704" s="124"/>
      <c r="F704" s="124"/>
      <c r="G704" s="124"/>
      <c r="H704" s="124"/>
      <c r="I704" s="124"/>
      <c r="J704" s="124"/>
      <c r="K704" s="124"/>
      <c r="L704" s="124"/>
      <c r="M704" s="124"/>
      <c r="N704" s="124"/>
      <c r="O704" s="124"/>
      <c r="P704" s="124"/>
      <c r="Q704" s="124"/>
      <c r="R704" s="124"/>
      <c r="S704" s="124"/>
    </row>
    <row r="705" spans="1:19" x14ac:dyDescent="0.25">
      <c r="A705" s="124"/>
      <c r="B705" s="124"/>
      <c r="C705" s="124"/>
      <c r="D705" s="124"/>
      <c r="E705" s="124"/>
      <c r="F705" s="124"/>
      <c r="G705" s="124"/>
      <c r="H705" s="124"/>
      <c r="I705" s="124"/>
      <c r="J705" s="124"/>
      <c r="K705" s="124"/>
      <c r="L705" s="124"/>
      <c r="M705" s="124"/>
      <c r="N705" s="124"/>
      <c r="O705" s="124"/>
      <c r="P705" s="124"/>
      <c r="Q705" s="124"/>
      <c r="R705" s="124"/>
      <c r="S705" s="124"/>
    </row>
    <row r="706" spans="1:19" x14ac:dyDescent="0.25">
      <c r="A706" s="124"/>
      <c r="B706" s="124"/>
      <c r="C706" s="124"/>
      <c r="D706" s="124"/>
      <c r="E706" s="124"/>
      <c r="F706" s="124"/>
      <c r="G706" s="124"/>
      <c r="H706" s="124"/>
      <c r="I706" s="124"/>
      <c r="J706" s="124"/>
      <c r="K706" s="124"/>
      <c r="L706" s="124"/>
      <c r="M706" s="124"/>
      <c r="N706" s="124"/>
      <c r="O706" s="124"/>
      <c r="P706" s="124"/>
      <c r="Q706" s="124"/>
      <c r="R706" s="124"/>
      <c r="S706" s="124"/>
    </row>
    <row r="707" spans="1:19" x14ac:dyDescent="0.25">
      <c r="A707" s="124"/>
      <c r="B707" s="124"/>
      <c r="C707" s="124"/>
      <c r="D707" s="124"/>
      <c r="E707" s="124"/>
      <c r="F707" s="124"/>
      <c r="G707" s="124"/>
      <c r="H707" s="124"/>
      <c r="I707" s="124"/>
      <c r="J707" s="124"/>
      <c r="K707" s="124"/>
      <c r="L707" s="124"/>
      <c r="M707" s="124"/>
      <c r="N707" s="124"/>
      <c r="O707" s="124"/>
      <c r="P707" s="124"/>
      <c r="Q707" s="124"/>
      <c r="R707" s="124"/>
      <c r="S707" s="124"/>
    </row>
    <row r="708" spans="1:19" x14ac:dyDescent="0.25">
      <c r="A708" s="124"/>
      <c r="B708" s="124"/>
      <c r="C708" s="124"/>
      <c r="D708" s="124"/>
      <c r="E708" s="124"/>
      <c r="F708" s="124"/>
      <c r="G708" s="124"/>
      <c r="H708" s="124"/>
      <c r="I708" s="124"/>
      <c r="J708" s="124"/>
      <c r="K708" s="124"/>
      <c r="L708" s="124"/>
      <c r="M708" s="124"/>
      <c r="N708" s="124"/>
      <c r="O708" s="124"/>
      <c r="P708" s="124"/>
      <c r="Q708" s="124"/>
      <c r="R708" s="124"/>
      <c r="S708" s="124"/>
    </row>
    <row r="709" spans="1:19" x14ac:dyDescent="0.25">
      <c r="A709" s="124"/>
      <c r="B709" s="124"/>
      <c r="C709" s="124"/>
      <c r="D709" s="124"/>
      <c r="E709" s="124"/>
      <c r="F709" s="124"/>
      <c r="G709" s="124"/>
      <c r="H709" s="124"/>
      <c r="I709" s="124"/>
      <c r="J709" s="124"/>
      <c r="K709" s="124"/>
      <c r="L709" s="124"/>
      <c r="M709" s="124"/>
      <c r="N709" s="124"/>
      <c r="O709" s="124"/>
      <c r="P709" s="124"/>
      <c r="Q709" s="124"/>
      <c r="R709" s="124"/>
      <c r="S709" s="124"/>
    </row>
    <row r="710" spans="1:19" x14ac:dyDescent="0.25">
      <c r="A710" s="124"/>
      <c r="B710" s="124"/>
      <c r="C710" s="124"/>
      <c r="D710" s="124"/>
      <c r="E710" s="124"/>
      <c r="F710" s="124"/>
      <c r="G710" s="124"/>
      <c r="H710" s="124"/>
      <c r="I710" s="124"/>
      <c r="J710" s="124"/>
      <c r="K710" s="124"/>
      <c r="L710" s="124"/>
      <c r="M710" s="124"/>
      <c r="N710" s="124"/>
      <c r="O710" s="124"/>
      <c r="P710" s="124"/>
      <c r="Q710" s="124"/>
      <c r="R710" s="124"/>
      <c r="S710" s="124"/>
    </row>
    <row r="711" spans="1:19" x14ac:dyDescent="0.25">
      <c r="A711" s="124"/>
      <c r="B711" s="124"/>
      <c r="C711" s="124"/>
      <c r="D711" s="124"/>
      <c r="E711" s="124"/>
      <c r="F711" s="124"/>
      <c r="G711" s="124"/>
      <c r="H711" s="124"/>
      <c r="I711" s="124"/>
      <c r="J711" s="124"/>
      <c r="K711" s="124"/>
      <c r="L711" s="124"/>
      <c r="M711" s="124"/>
      <c r="N711" s="124"/>
      <c r="O711" s="124"/>
      <c r="P711" s="124"/>
      <c r="Q711" s="124"/>
      <c r="R711" s="124"/>
      <c r="S711" s="124"/>
    </row>
    <row r="712" spans="1:19" x14ac:dyDescent="0.25">
      <c r="A712" s="124"/>
      <c r="B712" s="124"/>
      <c r="C712" s="124"/>
      <c r="D712" s="124"/>
      <c r="E712" s="124"/>
      <c r="F712" s="124"/>
      <c r="G712" s="124"/>
      <c r="H712" s="124"/>
      <c r="I712" s="124"/>
      <c r="J712" s="124"/>
      <c r="K712" s="124"/>
      <c r="L712" s="124"/>
      <c r="M712" s="124"/>
      <c r="N712" s="124"/>
      <c r="O712" s="124"/>
      <c r="P712" s="124"/>
      <c r="Q712" s="124"/>
      <c r="R712" s="124"/>
      <c r="S712" s="124"/>
    </row>
    <row r="713" spans="1:19" x14ac:dyDescent="0.25">
      <c r="A713" s="124"/>
      <c r="B713" s="124"/>
      <c r="C713" s="124"/>
      <c r="D713" s="124"/>
      <c r="E713" s="124"/>
      <c r="F713" s="124"/>
      <c r="G713" s="124"/>
      <c r="H713" s="124"/>
      <c r="I713" s="124"/>
      <c r="J713" s="124"/>
      <c r="K713" s="124"/>
      <c r="L713" s="124"/>
      <c r="M713" s="124"/>
      <c r="N713" s="124"/>
      <c r="O713" s="124"/>
      <c r="P713" s="124"/>
      <c r="Q713" s="124"/>
      <c r="R713" s="124"/>
      <c r="S713" s="124"/>
    </row>
    <row r="714" spans="1:19" x14ac:dyDescent="0.25">
      <c r="A714" s="124"/>
      <c r="B714" s="124"/>
      <c r="C714" s="124"/>
      <c r="D714" s="124"/>
      <c r="E714" s="124"/>
      <c r="F714" s="124"/>
      <c r="G714" s="124"/>
      <c r="H714" s="124"/>
      <c r="I714" s="124"/>
      <c r="J714" s="124"/>
      <c r="K714" s="124"/>
      <c r="L714" s="124"/>
      <c r="M714" s="124"/>
      <c r="N714" s="124"/>
      <c r="O714" s="124"/>
      <c r="P714" s="124"/>
      <c r="Q714" s="124"/>
      <c r="R714" s="124"/>
      <c r="S714" s="124"/>
    </row>
    <row r="715" spans="1:19" x14ac:dyDescent="0.25">
      <c r="A715" s="124"/>
      <c r="B715" s="124"/>
      <c r="C715" s="124"/>
      <c r="D715" s="124"/>
      <c r="E715" s="124"/>
      <c r="F715" s="124"/>
      <c r="G715" s="124"/>
      <c r="H715" s="124"/>
      <c r="I715" s="124"/>
      <c r="J715" s="124"/>
      <c r="K715" s="124"/>
      <c r="L715" s="124"/>
      <c r="M715" s="124"/>
      <c r="N715" s="124"/>
      <c r="O715" s="124"/>
      <c r="P715" s="124"/>
      <c r="Q715" s="124"/>
      <c r="R715" s="124"/>
      <c r="S715" s="124"/>
    </row>
    <row r="716" spans="1:19" x14ac:dyDescent="0.25">
      <c r="A716" s="124"/>
      <c r="B716" s="124"/>
      <c r="C716" s="124"/>
      <c r="D716" s="124"/>
      <c r="E716" s="124"/>
      <c r="F716" s="124"/>
      <c r="G716" s="124"/>
      <c r="H716" s="124"/>
      <c r="I716" s="124"/>
      <c r="J716" s="124"/>
      <c r="K716" s="124"/>
      <c r="L716" s="124"/>
      <c r="M716" s="124"/>
      <c r="N716" s="124"/>
      <c r="O716" s="124"/>
      <c r="P716" s="124"/>
      <c r="Q716" s="124"/>
      <c r="R716" s="124"/>
      <c r="S716" s="124"/>
    </row>
    <row r="717" spans="1:19" x14ac:dyDescent="0.25">
      <c r="A717" s="124"/>
      <c r="B717" s="124"/>
      <c r="C717" s="124"/>
      <c r="D717" s="124"/>
      <c r="E717" s="124"/>
      <c r="F717" s="124"/>
      <c r="G717" s="124"/>
      <c r="H717" s="124"/>
      <c r="I717" s="124"/>
      <c r="J717" s="124"/>
      <c r="K717" s="124"/>
      <c r="L717" s="124"/>
      <c r="M717" s="124"/>
      <c r="N717" s="124"/>
      <c r="O717" s="124"/>
      <c r="P717" s="124"/>
      <c r="Q717" s="124"/>
      <c r="R717" s="124"/>
      <c r="S717" s="124"/>
    </row>
    <row r="718" spans="1:19" x14ac:dyDescent="0.25">
      <c r="A718" s="124"/>
      <c r="B718" s="124"/>
      <c r="C718" s="124"/>
      <c r="D718" s="124"/>
      <c r="E718" s="124"/>
      <c r="F718" s="124"/>
      <c r="G718" s="124"/>
      <c r="H718" s="124"/>
      <c r="I718" s="124"/>
      <c r="J718" s="124"/>
      <c r="K718" s="124"/>
      <c r="L718" s="124"/>
      <c r="M718" s="124"/>
      <c r="N718" s="124"/>
      <c r="O718" s="124"/>
      <c r="P718" s="124"/>
      <c r="Q718" s="124"/>
      <c r="R718" s="124"/>
      <c r="S718" s="124"/>
    </row>
    <row r="719" spans="1:19" x14ac:dyDescent="0.25">
      <c r="A719" s="124"/>
      <c r="B719" s="124"/>
      <c r="C719" s="124"/>
      <c r="D719" s="124"/>
      <c r="E719" s="124"/>
      <c r="F719" s="124"/>
      <c r="G719" s="124"/>
      <c r="H719" s="124"/>
      <c r="I719" s="124"/>
      <c r="J719" s="124"/>
      <c r="K719" s="124"/>
      <c r="L719" s="124"/>
      <c r="M719" s="124"/>
      <c r="N719" s="124"/>
      <c r="O719" s="124"/>
      <c r="P719" s="124"/>
      <c r="Q719" s="124"/>
      <c r="R719" s="124"/>
      <c r="S719" s="124"/>
    </row>
    <row r="720" spans="1:19" x14ac:dyDescent="0.25">
      <c r="A720" s="124"/>
      <c r="B720" s="124"/>
      <c r="C720" s="124"/>
      <c r="D720" s="124"/>
      <c r="E720" s="124"/>
      <c r="F720" s="124"/>
      <c r="G720" s="124"/>
      <c r="H720" s="124"/>
      <c r="I720" s="124"/>
      <c r="J720" s="124"/>
      <c r="K720" s="124"/>
      <c r="L720" s="124"/>
      <c r="M720" s="124"/>
      <c r="N720" s="124"/>
      <c r="O720" s="124"/>
      <c r="P720" s="124"/>
      <c r="Q720" s="124"/>
      <c r="R720" s="124"/>
      <c r="S720" s="124"/>
    </row>
    <row r="721" spans="1:19" x14ac:dyDescent="0.25">
      <c r="A721" s="124"/>
      <c r="B721" s="124"/>
      <c r="C721" s="124"/>
      <c r="D721" s="124"/>
      <c r="E721" s="124"/>
      <c r="F721" s="124"/>
      <c r="G721" s="124"/>
      <c r="H721" s="124"/>
      <c r="I721" s="124"/>
      <c r="J721" s="124"/>
      <c r="K721" s="124"/>
      <c r="L721" s="124"/>
      <c r="M721" s="124"/>
      <c r="N721" s="124"/>
      <c r="O721" s="124"/>
      <c r="P721" s="124"/>
      <c r="Q721" s="124"/>
      <c r="R721" s="124"/>
      <c r="S721" s="124"/>
    </row>
    <row r="722" spans="1:19" x14ac:dyDescent="0.25">
      <c r="A722" s="124"/>
      <c r="B722" s="124"/>
      <c r="C722" s="124"/>
      <c r="D722" s="124"/>
      <c r="E722" s="124"/>
      <c r="F722" s="124"/>
      <c r="G722" s="124"/>
      <c r="H722" s="124"/>
      <c r="I722" s="124"/>
      <c r="J722" s="124"/>
      <c r="K722" s="124"/>
      <c r="L722" s="124"/>
      <c r="M722" s="124"/>
      <c r="N722" s="124"/>
      <c r="O722" s="124"/>
      <c r="P722" s="124"/>
      <c r="Q722" s="124"/>
      <c r="R722" s="124"/>
      <c r="S722" s="124"/>
    </row>
    <row r="723" spans="1:19" x14ac:dyDescent="0.25">
      <c r="A723" s="124"/>
      <c r="B723" s="124"/>
      <c r="C723" s="124"/>
      <c r="D723" s="124"/>
      <c r="E723" s="124"/>
      <c r="F723" s="124"/>
      <c r="G723" s="124"/>
      <c r="H723" s="124"/>
      <c r="I723" s="124"/>
      <c r="J723" s="124"/>
      <c r="K723" s="124"/>
      <c r="L723" s="124"/>
      <c r="M723" s="124"/>
      <c r="N723" s="124"/>
      <c r="O723" s="124"/>
      <c r="P723" s="124"/>
      <c r="Q723" s="124"/>
      <c r="R723" s="124"/>
      <c r="S723" s="124"/>
    </row>
    <row r="724" spans="1:19" x14ac:dyDescent="0.25">
      <c r="A724" s="124"/>
      <c r="B724" s="124"/>
      <c r="C724" s="124"/>
      <c r="D724" s="124"/>
      <c r="E724" s="124"/>
      <c r="F724" s="124"/>
      <c r="G724" s="124"/>
      <c r="H724" s="124"/>
      <c r="I724" s="124"/>
      <c r="J724" s="124"/>
      <c r="K724" s="124"/>
      <c r="L724" s="124"/>
      <c r="M724" s="124"/>
      <c r="N724" s="124"/>
      <c r="O724" s="124"/>
      <c r="P724" s="124"/>
      <c r="Q724" s="124"/>
      <c r="R724" s="124"/>
      <c r="S724" s="124"/>
    </row>
    <row r="725" spans="1:19" x14ac:dyDescent="0.25">
      <c r="A725" s="124"/>
      <c r="B725" s="124"/>
      <c r="C725" s="124"/>
      <c r="D725" s="124"/>
      <c r="E725" s="124"/>
      <c r="F725" s="124"/>
      <c r="G725" s="124"/>
      <c r="H725" s="124"/>
      <c r="I725" s="124"/>
      <c r="J725" s="124"/>
      <c r="K725" s="124"/>
      <c r="L725" s="124"/>
      <c r="M725" s="124"/>
      <c r="N725" s="124"/>
      <c r="O725" s="124"/>
      <c r="P725" s="124"/>
      <c r="Q725" s="124"/>
      <c r="R725" s="124"/>
      <c r="S725" s="124"/>
    </row>
    <row r="726" spans="1:19" x14ac:dyDescent="0.25">
      <c r="A726" s="124"/>
      <c r="B726" s="124"/>
      <c r="C726" s="124"/>
      <c r="D726" s="124"/>
      <c r="E726" s="124"/>
      <c r="F726" s="124"/>
      <c r="G726" s="124"/>
      <c r="H726" s="124"/>
      <c r="I726" s="124"/>
      <c r="J726" s="124"/>
      <c r="K726" s="124"/>
      <c r="L726" s="124"/>
      <c r="M726" s="124"/>
      <c r="N726" s="124"/>
      <c r="O726" s="124"/>
      <c r="P726" s="124"/>
      <c r="Q726" s="124"/>
      <c r="R726" s="124"/>
      <c r="S726" s="124"/>
    </row>
    <row r="727" spans="1:19" x14ac:dyDescent="0.25">
      <c r="A727" s="124"/>
      <c r="B727" s="124"/>
      <c r="C727" s="124"/>
      <c r="D727" s="124"/>
      <c r="E727" s="124"/>
      <c r="F727" s="124"/>
      <c r="G727" s="124"/>
      <c r="H727" s="124"/>
      <c r="I727" s="124"/>
      <c r="J727" s="124"/>
      <c r="K727" s="124"/>
      <c r="L727" s="124"/>
      <c r="M727" s="124"/>
      <c r="N727" s="124"/>
      <c r="O727" s="124"/>
      <c r="P727" s="124"/>
      <c r="Q727" s="124"/>
      <c r="R727" s="124"/>
      <c r="S727" s="124"/>
    </row>
    <row r="728" spans="1:19" x14ac:dyDescent="0.25">
      <c r="A728" s="124"/>
      <c r="B728" s="124"/>
      <c r="C728" s="124"/>
      <c r="D728" s="124"/>
      <c r="E728" s="124"/>
      <c r="F728" s="124"/>
      <c r="G728" s="124"/>
      <c r="H728" s="124"/>
      <c r="I728" s="124"/>
      <c r="J728" s="124"/>
      <c r="K728" s="124"/>
      <c r="L728" s="124"/>
      <c r="M728" s="124"/>
      <c r="N728" s="124"/>
      <c r="O728" s="124"/>
      <c r="P728" s="124"/>
      <c r="Q728" s="124"/>
      <c r="R728" s="124"/>
      <c r="S728" s="124"/>
    </row>
    <row r="729" spans="1:19" x14ac:dyDescent="0.25">
      <c r="A729" s="124"/>
      <c r="B729" s="124"/>
      <c r="C729" s="124"/>
      <c r="D729" s="124"/>
      <c r="E729" s="124"/>
      <c r="F729" s="124"/>
      <c r="G729" s="124"/>
      <c r="H729" s="124"/>
      <c r="I729" s="124"/>
      <c r="J729" s="124"/>
      <c r="K729" s="124"/>
      <c r="L729" s="124"/>
      <c r="M729" s="124"/>
      <c r="N729" s="124"/>
      <c r="O729" s="124"/>
      <c r="P729" s="124"/>
      <c r="Q729" s="124"/>
      <c r="R729" s="124"/>
      <c r="S729" s="124"/>
    </row>
    <row r="730" spans="1:19" x14ac:dyDescent="0.25">
      <c r="A730" s="124"/>
      <c r="B730" s="124"/>
      <c r="C730" s="124"/>
      <c r="D730" s="124"/>
      <c r="E730" s="124"/>
      <c r="F730" s="124"/>
      <c r="G730" s="124"/>
      <c r="H730" s="124"/>
      <c r="I730" s="124"/>
      <c r="J730" s="124"/>
      <c r="K730" s="124"/>
      <c r="L730" s="124"/>
      <c r="M730" s="124"/>
      <c r="N730" s="124"/>
      <c r="O730" s="124"/>
      <c r="P730" s="124"/>
      <c r="Q730" s="124"/>
      <c r="R730" s="124"/>
      <c r="S730" s="124"/>
    </row>
    <row r="731" spans="1:19" x14ac:dyDescent="0.25">
      <c r="A731" s="124"/>
      <c r="B731" s="124"/>
      <c r="C731" s="124"/>
      <c r="D731" s="124"/>
      <c r="E731" s="124"/>
      <c r="F731" s="124"/>
      <c r="G731" s="124"/>
      <c r="H731" s="124"/>
      <c r="I731" s="124"/>
      <c r="J731" s="124"/>
      <c r="K731" s="124"/>
      <c r="L731" s="124"/>
      <c r="M731" s="124"/>
      <c r="N731" s="124"/>
      <c r="O731" s="124"/>
      <c r="P731" s="124"/>
      <c r="Q731" s="124"/>
      <c r="R731" s="124"/>
      <c r="S731" s="124"/>
    </row>
    <row r="732" spans="1:19" x14ac:dyDescent="0.25">
      <c r="A732" s="124"/>
      <c r="B732" s="124"/>
      <c r="C732" s="124"/>
      <c r="D732" s="124"/>
      <c r="E732" s="124"/>
      <c r="F732" s="124"/>
      <c r="G732" s="124"/>
      <c r="H732" s="124"/>
      <c r="I732" s="124"/>
      <c r="J732" s="124"/>
      <c r="K732" s="124"/>
      <c r="L732" s="124"/>
      <c r="M732" s="124"/>
      <c r="N732" s="124"/>
      <c r="O732" s="124"/>
      <c r="P732" s="124"/>
      <c r="Q732" s="124"/>
      <c r="R732" s="124"/>
      <c r="S732" s="124"/>
    </row>
    <row r="733" spans="1:19" x14ac:dyDescent="0.25">
      <c r="A733" s="124"/>
      <c r="B733" s="124"/>
      <c r="C733" s="124"/>
      <c r="D733" s="124"/>
      <c r="E733" s="124"/>
      <c r="F733" s="124"/>
      <c r="G733" s="124"/>
      <c r="H733" s="124"/>
      <c r="I733" s="124"/>
      <c r="J733" s="124"/>
      <c r="K733" s="124"/>
      <c r="L733" s="124"/>
      <c r="M733" s="124"/>
      <c r="N733" s="124"/>
      <c r="O733" s="124"/>
      <c r="P733" s="124"/>
      <c r="Q733" s="124"/>
      <c r="R733" s="124"/>
      <c r="S733" s="124"/>
    </row>
    <row r="734" spans="1:19" x14ac:dyDescent="0.25">
      <c r="A734" s="124"/>
      <c r="B734" s="124"/>
      <c r="C734" s="124"/>
      <c r="D734" s="124"/>
      <c r="E734" s="124"/>
      <c r="F734" s="124"/>
      <c r="G734" s="124"/>
      <c r="H734" s="124"/>
      <c r="I734" s="124"/>
      <c r="J734" s="124"/>
      <c r="K734" s="124"/>
      <c r="L734" s="124"/>
      <c r="M734" s="124"/>
      <c r="N734" s="124"/>
      <c r="O734" s="124"/>
      <c r="P734" s="124"/>
      <c r="Q734" s="124"/>
      <c r="R734" s="124"/>
      <c r="S734" s="124"/>
    </row>
    <row r="735" spans="1:19" x14ac:dyDescent="0.25">
      <c r="A735" s="124"/>
      <c r="B735" s="124"/>
      <c r="C735" s="124"/>
      <c r="D735" s="124"/>
      <c r="E735" s="124"/>
      <c r="F735" s="124"/>
      <c r="G735" s="124"/>
      <c r="H735" s="124"/>
      <c r="I735" s="124"/>
      <c r="J735" s="124"/>
      <c r="K735" s="124"/>
      <c r="L735" s="124"/>
      <c r="M735" s="124"/>
      <c r="N735" s="124"/>
      <c r="O735" s="124"/>
      <c r="P735" s="124"/>
      <c r="Q735" s="124"/>
      <c r="R735" s="124"/>
      <c r="S735" s="124"/>
    </row>
    <row r="736" spans="1:19" x14ac:dyDescent="0.25">
      <c r="A736" s="124"/>
      <c r="B736" s="124"/>
      <c r="C736" s="124"/>
      <c r="D736" s="124"/>
      <c r="E736" s="124"/>
      <c r="F736" s="124"/>
      <c r="G736" s="124"/>
      <c r="H736" s="124"/>
      <c r="I736" s="124"/>
      <c r="J736" s="124"/>
      <c r="K736" s="124"/>
      <c r="L736" s="124"/>
      <c r="M736" s="124"/>
      <c r="N736" s="124"/>
      <c r="O736" s="124"/>
      <c r="P736" s="124"/>
      <c r="Q736" s="124"/>
      <c r="R736" s="124"/>
      <c r="S736" s="124"/>
    </row>
    <row r="737" spans="1:19" x14ac:dyDescent="0.25">
      <c r="A737" s="124"/>
      <c r="B737" s="124"/>
      <c r="C737" s="124"/>
      <c r="D737" s="124"/>
      <c r="E737" s="124"/>
      <c r="F737" s="124"/>
      <c r="G737" s="124"/>
      <c r="H737" s="124"/>
      <c r="I737" s="124"/>
      <c r="J737" s="124"/>
      <c r="K737" s="124"/>
      <c r="L737" s="124"/>
      <c r="M737" s="124"/>
      <c r="N737" s="124"/>
      <c r="O737" s="124"/>
      <c r="P737" s="124"/>
      <c r="Q737" s="124"/>
      <c r="R737" s="124"/>
      <c r="S737" s="124"/>
    </row>
    <row r="738" spans="1:19" x14ac:dyDescent="0.25">
      <c r="A738" s="124"/>
      <c r="B738" s="124"/>
      <c r="C738" s="124"/>
      <c r="D738" s="124"/>
      <c r="E738" s="124"/>
      <c r="F738" s="124"/>
      <c r="G738" s="124"/>
      <c r="H738" s="124"/>
      <c r="I738" s="124"/>
      <c r="J738" s="124"/>
      <c r="K738" s="124"/>
      <c r="L738" s="124"/>
      <c r="M738" s="124"/>
      <c r="N738" s="124"/>
      <c r="O738" s="124"/>
      <c r="P738" s="124"/>
      <c r="Q738" s="124"/>
      <c r="R738" s="124"/>
      <c r="S738" s="124"/>
    </row>
    <row r="739" spans="1:19" x14ac:dyDescent="0.25">
      <c r="A739" s="124"/>
      <c r="B739" s="124"/>
      <c r="C739" s="124"/>
      <c r="D739" s="124"/>
      <c r="E739" s="124"/>
      <c r="F739" s="124"/>
      <c r="G739" s="124"/>
      <c r="H739" s="124"/>
      <c r="I739" s="124"/>
      <c r="J739" s="124"/>
      <c r="K739" s="124"/>
      <c r="L739" s="124"/>
      <c r="M739" s="124"/>
      <c r="N739" s="124"/>
      <c r="O739" s="124"/>
      <c r="P739" s="124"/>
      <c r="Q739" s="124"/>
      <c r="R739" s="124"/>
      <c r="S739" s="124"/>
    </row>
    <row r="740" spans="1:19" x14ac:dyDescent="0.25">
      <c r="A740" s="124"/>
      <c r="B740" s="124"/>
      <c r="C740" s="124"/>
      <c r="D740" s="124"/>
      <c r="E740" s="124"/>
      <c r="F740" s="124"/>
      <c r="G740" s="124"/>
      <c r="H740" s="124"/>
      <c r="I740" s="124"/>
      <c r="J740" s="124"/>
      <c r="K740" s="124"/>
      <c r="L740" s="124"/>
      <c r="M740" s="124"/>
      <c r="N740" s="124"/>
      <c r="O740" s="124"/>
      <c r="P740" s="124"/>
      <c r="Q740" s="124"/>
      <c r="R740" s="124"/>
      <c r="S740" s="124"/>
    </row>
    <row r="741" spans="1:19" x14ac:dyDescent="0.25">
      <c r="A741" s="124"/>
      <c r="B741" s="124"/>
      <c r="C741" s="124"/>
      <c r="D741" s="124"/>
      <c r="E741" s="124"/>
      <c r="F741" s="124"/>
      <c r="G741" s="124"/>
      <c r="H741" s="124"/>
      <c r="I741" s="124"/>
      <c r="J741" s="124"/>
      <c r="K741" s="124"/>
      <c r="L741" s="124"/>
      <c r="M741" s="124"/>
      <c r="N741" s="124"/>
      <c r="O741" s="124"/>
      <c r="P741" s="124"/>
      <c r="Q741" s="124"/>
      <c r="R741" s="124"/>
      <c r="S741" s="124"/>
    </row>
    <row r="742" spans="1:19" x14ac:dyDescent="0.25">
      <c r="A742" s="124"/>
      <c r="B742" s="124"/>
      <c r="C742" s="124"/>
      <c r="D742" s="124"/>
      <c r="E742" s="124"/>
      <c r="F742" s="124"/>
      <c r="G742" s="124"/>
      <c r="H742" s="124"/>
      <c r="I742" s="124"/>
      <c r="J742" s="124"/>
      <c r="K742" s="124"/>
      <c r="L742" s="124"/>
      <c r="M742" s="124"/>
      <c r="N742" s="124"/>
      <c r="O742" s="124"/>
      <c r="P742" s="124"/>
      <c r="Q742" s="124"/>
      <c r="R742" s="124"/>
      <c r="S742" s="124"/>
    </row>
    <row r="743" spans="1:19" x14ac:dyDescent="0.25">
      <c r="A743" s="124"/>
      <c r="B743" s="124"/>
      <c r="C743" s="124"/>
      <c r="D743" s="124"/>
      <c r="E743" s="124"/>
      <c r="F743" s="124"/>
      <c r="G743" s="124"/>
      <c r="H743" s="124"/>
      <c r="I743" s="124"/>
      <c r="J743" s="124"/>
      <c r="K743" s="124"/>
      <c r="L743" s="124"/>
      <c r="M743" s="124"/>
      <c r="N743" s="124"/>
      <c r="O743" s="124"/>
      <c r="P743" s="124"/>
      <c r="Q743" s="124"/>
      <c r="R743" s="124"/>
      <c r="S743" s="124"/>
    </row>
    <row r="744" spans="1:19" x14ac:dyDescent="0.25">
      <c r="A744" s="124"/>
      <c r="B744" s="124"/>
      <c r="C744" s="124"/>
      <c r="D744" s="124"/>
      <c r="E744" s="124"/>
      <c r="F744" s="124"/>
      <c r="G744" s="124"/>
      <c r="H744" s="124"/>
      <c r="I744" s="124"/>
      <c r="J744" s="124"/>
      <c r="K744" s="124"/>
      <c r="L744" s="124"/>
      <c r="M744" s="124"/>
      <c r="N744" s="124"/>
      <c r="O744" s="124"/>
      <c r="P744" s="124"/>
      <c r="Q744" s="124"/>
      <c r="R744" s="124"/>
      <c r="S744" s="124"/>
    </row>
    <row r="745" spans="1:19" x14ac:dyDescent="0.25">
      <c r="A745" s="124"/>
      <c r="B745" s="124"/>
      <c r="C745" s="124"/>
      <c r="D745" s="124"/>
      <c r="E745" s="124"/>
      <c r="F745" s="124"/>
      <c r="G745" s="124"/>
      <c r="H745" s="124"/>
      <c r="I745" s="124"/>
      <c r="J745" s="124"/>
      <c r="K745" s="124"/>
      <c r="L745" s="124"/>
      <c r="M745" s="124"/>
      <c r="N745" s="124"/>
      <c r="O745" s="124"/>
      <c r="P745" s="124"/>
      <c r="Q745" s="124"/>
      <c r="R745" s="124"/>
      <c r="S745" s="124"/>
    </row>
    <row r="746" spans="1:19" x14ac:dyDescent="0.25">
      <c r="A746" s="124"/>
      <c r="B746" s="124"/>
      <c r="C746" s="124"/>
      <c r="D746" s="124"/>
      <c r="E746" s="124"/>
      <c r="F746" s="124"/>
      <c r="G746" s="124"/>
      <c r="H746" s="124"/>
      <c r="I746" s="124"/>
      <c r="J746" s="124"/>
      <c r="K746" s="124"/>
      <c r="L746" s="124"/>
      <c r="M746" s="124"/>
      <c r="N746" s="124"/>
      <c r="O746" s="124"/>
      <c r="P746" s="124"/>
      <c r="Q746" s="124"/>
      <c r="R746" s="124"/>
      <c r="S746" s="124"/>
    </row>
    <row r="747" spans="1:19" x14ac:dyDescent="0.25">
      <c r="A747" s="124"/>
      <c r="B747" s="124"/>
      <c r="C747" s="124"/>
      <c r="D747" s="124"/>
      <c r="E747" s="124"/>
      <c r="F747" s="124"/>
      <c r="G747" s="124"/>
      <c r="H747" s="124"/>
      <c r="I747" s="124"/>
      <c r="J747" s="124"/>
      <c r="K747" s="124"/>
      <c r="L747" s="124"/>
      <c r="M747" s="124"/>
      <c r="N747" s="124"/>
      <c r="O747" s="124"/>
      <c r="P747" s="124"/>
      <c r="Q747" s="124"/>
      <c r="R747" s="124"/>
      <c r="S747" s="124"/>
    </row>
    <row r="748" spans="1:19" x14ac:dyDescent="0.25">
      <c r="A748" s="124"/>
      <c r="B748" s="124"/>
      <c r="C748" s="124"/>
      <c r="D748" s="124"/>
      <c r="E748" s="124"/>
      <c r="F748" s="124"/>
      <c r="G748" s="124"/>
      <c r="H748" s="124"/>
      <c r="I748" s="124"/>
      <c r="J748" s="124"/>
      <c r="K748" s="124"/>
      <c r="L748" s="124"/>
      <c r="M748" s="124"/>
      <c r="N748" s="124"/>
      <c r="O748" s="124"/>
      <c r="P748" s="124"/>
      <c r="Q748" s="124"/>
      <c r="R748" s="124"/>
      <c r="S748" s="124"/>
    </row>
    <row r="749" spans="1:19" x14ac:dyDescent="0.25">
      <c r="A749" s="124"/>
      <c r="B749" s="124"/>
      <c r="C749" s="124"/>
      <c r="D749" s="124"/>
      <c r="E749" s="124"/>
      <c r="F749" s="124"/>
      <c r="G749" s="124"/>
      <c r="H749" s="124"/>
      <c r="I749" s="124"/>
      <c r="J749" s="124"/>
      <c r="K749" s="124"/>
      <c r="L749" s="124"/>
      <c r="M749" s="124"/>
      <c r="N749" s="124"/>
      <c r="O749" s="124"/>
      <c r="P749" s="124"/>
      <c r="Q749" s="124"/>
      <c r="R749" s="124"/>
      <c r="S749" s="124"/>
    </row>
    <row r="750" spans="1:19" x14ac:dyDescent="0.25">
      <c r="A750" s="124"/>
      <c r="B750" s="124"/>
      <c r="C750" s="124"/>
      <c r="D750" s="124"/>
      <c r="E750" s="124"/>
      <c r="F750" s="124"/>
      <c r="G750" s="124"/>
      <c r="H750" s="124"/>
      <c r="I750" s="124"/>
      <c r="J750" s="124"/>
      <c r="K750" s="124"/>
      <c r="L750" s="124"/>
      <c r="M750" s="124"/>
      <c r="N750" s="124"/>
      <c r="O750" s="124"/>
      <c r="P750" s="124"/>
      <c r="Q750" s="124"/>
      <c r="R750" s="124"/>
      <c r="S750" s="124"/>
    </row>
    <row r="751" spans="1:19" x14ac:dyDescent="0.25">
      <c r="A751" s="124"/>
      <c r="B751" s="124"/>
      <c r="C751" s="124"/>
      <c r="D751" s="124"/>
      <c r="E751" s="124"/>
      <c r="F751" s="124"/>
      <c r="G751" s="124"/>
      <c r="H751" s="124"/>
      <c r="I751" s="124"/>
      <c r="J751" s="124"/>
      <c r="K751" s="124"/>
      <c r="L751" s="124"/>
      <c r="M751" s="124"/>
      <c r="N751" s="124"/>
      <c r="O751" s="124"/>
      <c r="P751" s="124"/>
      <c r="Q751" s="124"/>
      <c r="R751" s="124"/>
      <c r="S751" s="124"/>
    </row>
    <row r="752" spans="1:19" x14ac:dyDescent="0.25">
      <c r="A752" s="124"/>
      <c r="B752" s="124"/>
      <c r="C752" s="124"/>
      <c r="D752" s="124"/>
      <c r="E752" s="124"/>
      <c r="F752" s="124"/>
      <c r="G752" s="124"/>
      <c r="H752" s="124"/>
      <c r="I752" s="124"/>
      <c r="J752" s="124"/>
      <c r="K752" s="124"/>
      <c r="L752" s="124"/>
      <c r="M752" s="124"/>
      <c r="N752" s="124"/>
      <c r="O752" s="124"/>
      <c r="P752" s="124"/>
      <c r="Q752" s="124"/>
      <c r="R752" s="124"/>
      <c r="S752" s="124"/>
    </row>
    <row r="753" spans="1:19" x14ac:dyDescent="0.25">
      <c r="A753" s="124"/>
      <c r="B753" s="124"/>
      <c r="C753" s="124"/>
      <c r="D753" s="124"/>
      <c r="E753" s="124"/>
      <c r="F753" s="124"/>
      <c r="G753" s="124"/>
      <c r="H753" s="124"/>
      <c r="I753" s="124"/>
      <c r="J753" s="124"/>
      <c r="K753" s="124"/>
      <c r="L753" s="124"/>
      <c r="M753" s="124"/>
      <c r="N753" s="124"/>
      <c r="O753" s="124"/>
      <c r="P753" s="124"/>
      <c r="Q753" s="124"/>
      <c r="R753" s="124"/>
      <c r="S753" s="124"/>
    </row>
    <row r="754" spans="1:19" x14ac:dyDescent="0.25">
      <c r="A754" s="124"/>
      <c r="B754" s="124"/>
      <c r="C754" s="124"/>
      <c r="D754" s="124"/>
      <c r="E754" s="124"/>
      <c r="F754" s="124"/>
      <c r="G754" s="124"/>
      <c r="H754" s="124"/>
      <c r="I754" s="124"/>
      <c r="J754" s="124"/>
      <c r="K754" s="124"/>
      <c r="L754" s="124"/>
      <c r="M754" s="124"/>
      <c r="N754" s="124"/>
      <c r="O754" s="124"/>
      <c r="P754" s="124"/>
      <c r="Q754" s="124"/>
      <c r="R754" s="124"/>
      <c r="S754" s="124"/>
    </row>
    <row r="755" spans="1:19" x14ac:dyDescent="0.25">
      <c r="A755" s="124"/>
      <c r="B755" s="124"/>
      <c r="C755" s="124"/>
      <c r="D755" s="124"/>
      <c r="E755" s="124"/>
      <c r="F755" s="124"/>
      <c r="G755" s="124"/>
      <c r="H755" s="124"/>
      <c r="I755" s="124"/>
      <c r="J755" s="124"/>
      <c r="K755" s="124"/>
      <c r="L755" s="124"/>
      <c r="M755" s="124"/>
      <c r="N755" s="124"/>
      <c r="O755" s="124"/>
      <c r="P755" s="124"/>
      <c r="Q755" s="124"/>
      <c r="R755" s="124"/>
      <c r="S755" s="124"/>
    </row>
    <row r="756" spans="1:19" x14ac:dyDescent="0.25">
      <c r="A756" s="124"/>
      <c r="B756" s="124"/>
      <c r="C756" s="124"/>
      <c r="D756" s="124"/>
      <c r="E756" s="124"/>
      <c r="F756" s="124"/>
      <c r="G756" s="124"/>
      <c r="H756" s="124"/>
      <c r="I756" s="124"/>
      <c r="J756" s="124"/>
      <c r="K756" s="124"/>
      <c r="L756" s="124"/>
      <c r="M756" s="124"/>
      <c r="N756" s="124"/>
      <c r="O756" s="124"/>
      <c r="P756" s="124"/>
      <c r="Q756" s="124"/>
      <c r="R756" s="124"/>
      <c r="S756" s="124"/>
    </row>
    <row r="757" spans="1:19" x14ac:dyDescent="0.25">
      <c r="A757" s="124"/>
      <c r="B757" s="124"/>
      <c r="C757" s="124"/>
      <c r="D757" s="124"/>
      <c r="E757" s="124"/>
      <c r="F757" s="124"/>
      <c r="G757" s="124"/>
      <c r="H757" s="124"/>
      <c r="I757" s="124"/>
      <c r="J757" s="124"/>
      <c r="K757" s="124"/>
      <c r="L757" s="124"/>
      <c r="M757" s="124"/>
      <c r="N757" s="124"/>
      <c r="O757" s="124"/>
      <c r="P757" s="124"/>
      <c r="Q757" s="124"/>
      <c r="R757" s="124"/>
      <c r="S757" s="124"/>
    </row>
    <row r="758" spans="1:19" x14ac:dyDescent="0.25">
      <c r="A758" s="124"/>
      <c r="B758" s="124"/>
      <c r="C758" s="124"/>
      <c r="D758" s="124"/>
      <c r="E758" s="124"/>
      <c r="F758" s="124"/>
      <c r="G758" s="124"/>
      <c r="H758" s="124"/>
      <c r="I758" s="124"/>
      <c r="J758" s="124"/>
      <c r="K758" s="124"/>
      <c r="L758" s="124"/>
      <c r="M758" s="124"/>
      <c r="N758" s="124"/>
      <c r="O758" s="124"/>
      <c r="P758" s="124"/>
      <c r="Q758" s="124"/>
      <c r="R758" s="124"/>
      <c r="S758" s="124"/>
    </row>
    <row r="759" spans="1:19" x14ac:dyDescent="0.25">
      <c r="A759" s="124"/>
      <c r="B759" s="124"/>
      <c r="C759" s="124"/>
      <c r="D759" s="124"/>
      <c r="E759" s="124"/>
      <c r="F759" s="124"/>
      <c r="G759" s="124"/>
      <c r="H759" s="124"/>
      <c r="I759" s="124"/>
      <c r="J759" s="124"/>
      <c r="K759" s="124"/>
      <c r="L759" s="124"/>
      <c r="M759" s="124"/>
      <c r="N759" s="124"/>
      <c r="O759" s="124"/>
      <c r="P759" s="124"/>
      <c r="Q759" s="124"/>
      <c r="R759" s="124"/>
      <c r="S759" s="124"/>
    </row>
    <row r="760" spans="1:19" x14ac:dyDescent="0.25">
      <c r="A760" s="124"/>
      <c r="B760" s="124"/>
      <c r="C760" s="124"/>
      <c r="D760" s="124"/>
      <c r="E760" s="124"/>
      <c r="F760" s="124"/>
      <c r="G760" s="124"/>
      <c r="H760" s="124"/>
      <c r="I760" s="124"/>
      <c r="J760" s="124"/>
      <c r="K760" s="124"/>
      <c r="L760" s="124"/>
      <c r="M760" s="124"/>
      <c r="N760" s="124"/>
      <c r="O760" s="124"/>
      <c r="P760" s="124"/>
      <c r="Q760" s="124"/>
      <c r="R760" s="124"/>
      <c r="S760" s="124"/>
    </row>
    <row r="761" spans="1:19" x14ac:dyDescent="0.25">
      <c r="A761" s="124"/>
      <c r="B761" s="124"/>
      <c r="C761" s="124"/>
      <c r="D761" s="124"/>
      <c r="E761" s="124"/>
      <c r="F761" s="124"/>
      <c r="G761" s="124"/>
      <c r="H761" s="124"/>
      <c r="I761" s="124"/>
      <c r="J761" s="124"/>
      <c r="K761" s="124"/>
      <c r="L761" s="124"/>
      <c r="M761" s="124"/>
      <c r="N761" s="124"/>
      <c r="O761" s="124"/>
      <c r="P761" s="124"/>
      <c r="Q761" s="124"/>
      <c r="R761" s="124"/>
      <c r="S761" s="124"/>
    </row>
    <row r="762" spans="1:19" x14ac:dyDescent="0.25">
      <c r="A762" s="124"/>
      <c r="B762" s="124"/>
      <c r="C762" s="124"/>
      <c r="D762" s="124"/>
      <c r="E762" s="124"/>
      <c r="F762" s="124"/>
      <c r="G762" s="124"/>
      <c r="H762" s="124"/>
      <c r="I762" s="124"/>
      <c r="J762" s="124"/>
      <c r="K762" s="124"/>
      <c r="L762" s="124"/>
      <c r="M762" s="124"/>
      <c r="N762" s="124"/>
      <c r="O762" s="124"/>
      <c r="P762" s="124"/>
      <c r="Q762" s="124"/>
      <c r="R762" s="124"/>
      <c r="S762" s="124"/>
    </row>
    <row r="763" spans="1:19" x14ac:dyDescent="0.25">
      <c r="A763" s="124"/>
      <c r="B763" s="124"/>
      <c r="C763" s="124"/>
      <c r="D763" s="124"/>
      <c r="E763" s="124"/>
      <c r="F763" s="124"/>
      <c r="G763" s="124"/>
      <c r="H763" s="124"/>
      <c r="I763" s="124"/>
      <c r="J763" s="124"/>
      <c r="K763" s="124"/>
      <c r="L763" s="124"/>
      <c r="M763" s="124"/>
      <c r="N763" s="124"/>
      <c r="O763" s="124"/>
      <c r="P763" s="124"/>
      <c r="Q763" s="124"/>
      <c r="R763" s="124"/>
      <c r="S763" s="124"/>
    </row>
    <row r="764" spans="1:19" x14ac:dyDescent="0.25">
      <c r="A764" s="124"/>
      <c r="B764" s="124"/>
      <c r="C764" s="124"/>
      <c r="D764" s="124"/>
      <c r="E764" s="124"/>
      <c r="F764" s="124"/>
      <c r="G764" s="124"/>
      <c r="H764" s="124"/>
      <c r="I764" s="124"/>
      <c r="J764" s="124"/>
      <c r="K764" s="124"/>
      <c r="L764" s="124"/>
      <c r="M764" s="124"/>
      <c r="N764" s="124"/>
      <c r="O764" s="124"/>
      <c r="P764" s="124"/>
      <c r="Q764" s="124"/>
      <c r="R764" s="124"/>
      <c r="S764" s="124"/>
    </row>
    <row r="765" spans="1:19" x14ac:dyDescent="0.25">
      <c r="A765" s="124"/>
      <c r="B765" s="124"/>
      <c r="C765" s="124"/>
      <c r="D765" s="124"/>
      <c r="E765" s="124"/>
      <c r="F765" s="124"/>
      <c r="G765" s="124"/>
      <c r="H765" s="124"/>
      <c r="I765" s="124"/>
      <c r="J765" s="124"/>
      <c r="K765" s="124"/>
      <c r="L765" s="124"/>
      <c r="M765" s="124"/>
      <c r="N765" s="124"/>
      <c r="O765" s="124"/>
      <c r="P765" s="124"/>
      <c r="Q765" s="124"/>
      <c r="R765" s="124"/>
      <c r="S765" s="124"/>
    </row>
    <row r="766" spans="1:19" x14ac:dyDescent="0.25">
      <c r="A766" s="124"/>
      <c r="B766" s="124"/>
      <c r="C766" s="124"/>
      <c r="D766" s="124"/>
      <c r="E766" s="124"/>
      <c r="F766" s="124"/>
      <c r="G766" s="124"/>
      <c r="H766" s="124"/>
      <c r="I766" s="124"/>
      <c r="J766" s="124"/>
      <c r="K766" s="124"/>
      <c r="L766" s="124"/>
      <c r="M766" s="124"/>
      <c r="N766" s="124"/>
      <c r="O766" s="124"/>
      <c r="P766" s="124"/>
      <c r="Q766" s="124"/>
      <c r="R766" s="124"/>
      <c r="S766" s="124"/>
    </row>
    <row r="767" spans="1:19" x14ac:dyDescent="0.25">
      <c r="A767" s="124"/>
      <c r="B767" s="124"/>
      <c r="C767" s="124"/>
      <c r="D767" s="124"/>
      <c r="E767" s="124"/>
      <c r="F767" s="124"/>
      <c r="G767" s="124"/>
      <c r="H767" s="124"/>
      <c r="I767" s="124"/>
      <c r="J767" s="124"/>
      <c r="K767" s="124"/>
      <c r="L767" s="124"/>
      <c r="M767" s="124"/>
      <c r="N767" s="124"/>
      <c r="O767" s="124"/>
      <c r="P767" s="124"/>
      <c r="Q767" s="124"/>
      <c r="R767" s="124"/>
      <c r="S767" s="124"/>
    </row>
    <row r="768" spans="1:19" x14ac:dyDescent="0.25">
      <c r="A768" s="124"/>
      <c r="B768" s="124"/>
      <c r="C768" s="124"/>
      <c r="D768" s="124"/>
      <c r="E768" s="124"/>
      <c r="F768" s="124"/>
      <c r="G768" s="124"/>
      <c r="H768" s="124"/>
      <c r="I768" s="124"/>
      <c r="J768" s="124"/>
      <c r="K768" s="124"/>
      <c r="L768" s="124"/>
      <c r="M768" s="124"/>
      <c r="N768" s="124"/>
      <c r="O768" s="124"/>
      <c r="P768" s="124"/>
      <c r="Q768" s="124"/>
      <c r="R768" s="124"/>
      <c r="S768" s="124"/>
    </row>
    <row r="769" spans="1:19" x14ac:dyDescent="0.25">
      <c r="A769" s="124"/>
      <c r="B769" s="124"/>
      <c r="C769" s="124"/>
      <c r="D769" s="124"/>
      <c r="E769" s="124"/>
      <c r="F769" s="124"/>
      <c r="G769" s="124"/>
      <c r="H769" s="124"/>
      <c r="I769" s="124"/>
      <c r="J769" s="124"/>
      <c r="K769" s="124"/>
      <c r="L769" s="124"/>
      <c r="M769" s="124"/>
      <c r="N769" s="124"/>
      <c r="O769" s="124"/>
      <c r="P769" s="124"/>
      <c r="Q769" s="124"/>
      <c r="R769" s="124"/>
      <c r="S769" s="124"/>
    </row>
    <row r="770" spans="1:19" x14ac:dyDescent="0.25">
      <c r="A770" s="124"/>
      <c r="B770" s="124"/>
      <c r="C770" s="124"/>
      <c r="D770" s="124"/>
      <c r="E770" s="124"/>
      <c r="F770" s="124"/>
      <c r="G770" s="124"/>
      <c r="H770" s="124"/>
      <c r="I770" s="124"/>
      <c r="J770" s="124"/>
      <c r="K770" s="124"/>
      <c r="L770" s="124"/>
      <c r="M770" s="124"/>
      <c r="N770" s="124"/>
      <c r="O770" s="124"/>
      <c r="P770" s="124"/>
      <c r="Q770" s="124"/>
      <c r="R770" s="124"/>
      <c r="S770" s="124"/>
    </row>
    <row r="771" spans="1:19" x14ac:dyDescent="0.25">
      <c r="A771" s="124"/>
      <c r="B771" s="124"/>
      <c r="C771" s="124"/>
      <c r="D771" s="124"/>
      <c r="E771" s="124"/>
      <c r="F771" s="124"/>
      <c r="G771" s="124"/>
      <c r="H771" s="124"/>
      <c r="I771" s="124"/>
      <c r="J771" s="124"/>
      <c r="K771" s="124"/>
      <c r="L771" s="124"/>
      <c r="M771" s="124"/>
      <c r="N771" s="124"/>
      <c r="O771" s="124"/>
      <c r="P771" s="124"/>
      <c r="Q771" s="124"/>
      <c r="R771" s="124"/>
      <c r="S771" s="124"/>
    </row>
    <row r="772" spans="1:19" x14ac:dyDescent="0.25">
      <c r="A772" s="124"/>
      <c r="B772" s="124"/>
      <c r="C772" s="124"/>
      <c r="D772" s="124"/>
      <c r="E772" s="124"/>
      <c r="F772" s="124"/>
      <c r="G772" s="124"/>
      <c r="H772" s="124"/>
      <c r="I772" s="124"/>
      <c r="J772" s="124"/>
      <c r="K772" s="124"/>
      <c r="L772" s="124"/>
      <c r="M772" s="124"/>
      <c r="N772" s="124"/>
      <c r="O772" s="124"/>
      <c r="P772" s="124"/>
      <c r="Q772" s="124"/>
      <c r="R772" s="124"/>
      <c r="S772" s="124"/>
    </row>
    <row r="773" spans="1:19" x14ac:dyDescent="0.25">
      <c r="A773" s="124"/>
      <c r="B773" s="124"/>
      <c r="C773" s="124"/>
      <c r="D773" s="124"/>
      <c r="E773" s="124"/>
      <c r="F773" s="124"/>
      <c r="G773" s="124"/>
      <c r="H773" s="124"/>
      <c r="I773" s="124"/>
      <c r="J773" s="124"/>
      <c r="K773" s="124"/>
      <c r="L773" s="124"/>
      <c r="M773" s="124"/>
      <c r="N773" s="124"/>
      <c r="O773" s="124"/>
      <c r="P773" s="124"/>
      <c r="Q773" s="124"/>
      <c r="R773" s="124"/>
      <c r="S773" s="124"/>
    </row>
    <row r="774" spans="1:19" x14ac:dyDescent="0.25">
      <c r="A774" s="124"/>
      <c r="B774" s="124"/>
      <c r="C774" s="124"/>
      <c r="D774" s="124"/>
      <c r="E774" s="124"/>
      <c r="F774" s="124"/>
      <c r="G774" s="124"/>
      <c r="H774" s="124"/>
      <c r="I774" s="124"/>
      <c r="J774" s="124"/>
      <c r="K774" s="124"/>
      <c r="L774" s="124"/>
      <c r="M774" s="124"/>
      <c r="N774" s="124"/>
      <c r="O774" s="124"/>
      <c r="P774" s="124"/>
      <c r="Q774" s="124"/>
      <c r="R774" s="124"/>
      <c r="S774" s="124"/>
    </row>
    <row r="775" spans="1:19" x14ac:dyDescent="0.25">
      <c r="A775" s="124"/>
      <c r="B775" s="124"/>
      <c r="C775" s="124"/>
      <c r="D775" s="124"/>
      <c r="E775" s="124"/>
      <c r="F775" s="124"/>
      <c r="G775" s="124"/>
      <c r="H775" s="124"/>
      <c r="I775" s="124"/>
      <c r="J775" s="124"/>
      <c r="K775" s="124"/>
      <c r="L775" s="124"/>
      <c r="M775" s="124"/>
      <c r="N775" s="124"/>
      <c r="O775" s="124"/>
      <c r="P775" s="124"/>
      <c r="Q775" s="124"/>
      <c r="R775" s="124"/>
      <c r="S775" s="124"/>
    </row>
    <row r="776" spans="1:19" x14ac:dyDescent="0.25">
      <c r="A776" s="124"/>
      <c r="B776" s="124"/>
      <c r="C776" s="124"/>
      <c r="D776" s="124"/>
      <c r="E776" s="124"/>
      <c r="F776" s="124"/>
      <c r="G776" s="124"/>
      <c r="H776" s="124"/>
      <c r="I776" s="124"/>
      <c r="J776" s="124"/>
      <c r="K776" s="124"/>
      <c r="L776" s="124"/>
      <c r="M776" s="124"/>
      <c r="N776" s="124"/>
      <c r="O776" s="124"/>
      <c r="P776" s="124"/>
      <c r="Q776" s="124"/>
      <c r="R776" s="124"/>
      <c r="S776" s="124"/>
    </row>
    <row r="777" spans="1:19" x14ac:dyDescent="0.25">
      <c r="A777" s="124"/>
      <c r="B777" s="124"/>
      <c r="C777" s="124"/>
      <c r="D777" s="124"/>
      <c r="E777" s="124"/>
      <c r="F777" s="124"/>
      <c r="G777" s="124"/>
      <c r="H777" s="124"/>
      <c r="I777" s="124"/>
      <c r="J777" s="124"/>
      <c r="K777" s="124"/>
      <c r="L777" s="124"/>
      <c r="M777" s="124"/>
      <c r="N777" s="124"/>
      <c r="O777" s="124"/>
      <c r="P777" s="124"/>
      <c r="Q777" s="124"/>
      <c r="R777" s="124"/>
      <c r="S777" s="124"/>
    </row>
    <row r="778" spans="1:19" x14ac:dyDescent="0.25">
      <c r="A778" s="124"/>
      <c r="B778" s="124"/>
      <c r="C778" s="124"/>
      <c r="D778" s="124"/>
      <c r="E778" s="124"/>
      <c r="F778" s="124"/>
      <c r="G778" s="124"/>
      <c r="H778" s="124"/>
      <c r="I778" s="124"/>
      <c r="J778" s="124"/>
      <c r="K778" s="124"/>
      <c r="L778" s="124"/>
      <c r="M778" s="124"/>
      <c r="N778" s="124"/>
      <c r="O778" s="124"/>
      <c r="P778" s="124"/>
      <c r="Q778" s="124"/>
      <c r="R778" s="124"/>
      <c r="S778" s="124"/>
    </row>
    <row r="779" spans="1:19" x14ac:dyDescent="0.25">
      <c r="A779" s="124"/>
      <c r="B779" s="124"/>
      <c r="C779" s="124"/>
      <c r="D779" s="124"/>
      <c r="E779" s="124"/>
      <c r="F779" s="124"/>
      <c r="G779" s="124"/>
      <c r="H779" s="124"/>
      <c r="I779" s="124"/>
      <c r="J779" s="124"/>
      <c r="K779" s="124"/>
      <c r="L779" s="124"/>
      <c r="M779" s="124"/>
      <c r="N779" s="124"/>
      <c r="O779" s="124"/>
      <c r="P779" s="124"/>
      <c r="Q779" s="124"/>
      <c r="R779" s="124"/>
      <c r="S779" s="124"/>
    </row>
    <row r="780" spans="1:19" x14ac:dyDescent="0.25">
      <c r="A780" s="124"/>
      <c r="B780" s="124"/>
      <c r="C780" s="124"/>
      <c r="D780" s="124"/>
      <c r="E780" s="124"/>
      <c r="F780" s="124"/>
      <c r="G780" s="124"/>
      <c r="H780" s="124"/>
      <c r="I780" s="124"/>
      <c r="J780" s="124"/>
      <c r="K780" s="124"/>
      <c r="L780" s="124"/>
      <c r="M780" s="124"/>
      <c r="N780" s="124"/>
      <c r="O780" s="124"/>
      <c r="P780" s="124"/>
      <c r="Q780" s="124"/>
      <c r="R780" s="124"/>
      <c r="S780" s="124"/>
    </row>
    <row r="781" spans="1:19" x14ac:dyDescent="0.25">
      <c r="A781" s="124"/>
      <c r="B781" s="124"/>
      <c r="C781" s="124"/>
      <c r="D781" s="124"/>
      <c r="E781" s="124"/>
      <c r="F781" s="124"/>
      <c r="G781" s="124"/>
      <c r="H781" s="124"/>
      <c r="I781" s="124"/>
      <c r="J781" s="124"/>
      <c r="K781" s="124"/>
      <c r="L781" s="124"/>
      <c r="M781" s="124"/>
      <c r="N781" s="124"/>
      <c r="O781" s="124"/>
      <c r="P781" s="124"/>
      <c r="Q781" s="124"/>
      <c r="R781" s="124"/>
      <c r="S781" s="124"/>
    </row>
    <row r="782" spans="1:19" x14ac:dyDescent="0.25">
      <c r="A782" s="124"/>
      <c r="B782" s="124"/>
      <c r="C782" s="124"/>
      <c r="D782" s="124"/>
      <c r="E782" s="124"/>
      <c r="F782" s="124"/>
      <c r="G782" s="124"/>
      <c r="H782" s="124"/>
      <c r="I782" s="124"/>
      <c r="J782" s="124"/>
      <c r="K782" s="124"/>
      <c r="L782" s="124"/>
      <c r="M782" s="124"/>
      <c r="N782" s="124"/>
      <c r="O782" s="124"/>
      <c r="P782" s="124"/>
      <c r="Q782" s="124"/>
      <c r="R782" s="124"/>
      <c r="S782" s="124"/>
    </row>
    <row r="783" spans="1:19" x14ac:dyDescent="0.25">
      <c r="A783" s="124"/>
      <c r="B783" s="124"/>
      <c r="C783" s="124"/>
      <c r="D783" s="124"/>
      <c r="E783" s="124"/>
      <c r="F783" s="124"/>
      <c r="G783" s="124"/>
      <c r="H783" s="124"/>
      <c r="I783" s="124"/>
      <c r="J783" s="124"/>
      <c r="K783" s="124"/>
      <c r="L783" s="124"/>
      <c r="M783" s="124"/>
      <c r="N783" s="124"/>
      <c r="O783" s="124"/>
      <c r="P783" s="124"/>
      <c r="Q783" s="124"/>
      <c r="R783" s="124"/>
      <c r="S783" s="124"/>
    </row>
    <row r="784" spans="1:19" x14ac:dyDescent="0.25">
      <c r="A784" s="124"/>
      <c r="B784" s="124"/>
      <c r="C784" s="124"/>
      <c r="D784" s="124"/>
      <c r="E784" s="124"/>
      <c r="F784" s="124"/>
      <c r="G784" s="124"/>
      <c r="H784" s="124"/>
      <c r="I784" s="124"/>
      <c r="J784" s="124"/>
      <c r="K784" s="124"/>
      <c r="L784" s="124"/>
      <c r="M784" s="124"/>
      <c r="N784" s="124"/>
      <c r="O784" s="124"/>
      <c r="P784" s="124"/>
      <c r="Q784" s="124"/>
      <c r="R784" s="124"/>
      <c r="S784" s="124"/>
    </row>
    <row r="785" spans="1:19" x14ac:dyDescent="0.25">
      <c r="A785" s="124"/>
      <c r="B785" s="124"/>
      <c r="C785" s="124"/>
      <c r="D785" s="124"/>
      <c r="E785" s="124"/>
      <c r="F785" s="124"/>
      <c r="G785" s="124"/>
      <c r="H785" s="124"/>
      <c r="I785" s="124"/>
      <c r="J785" s="124"/>
      <c r="K785" s="124"/>
      <c r="L785" s="124"/>
      <c r="M785" s="124"/>
      <c r="N785" s="124"/>
      <c r="O785" s="124"/>
      <c r="P785" s="124"/>
      <c r="Q785" s="124"/>
      <c r="R785" s="124"/>
      <c r="S785" s="124"/>
    </row>
    <row r="786" spans="1:19" x14ac:dyDescent="0.25">
      <c r="A786" s="124"/>
      <c r="B786" s="124"/>
      <c r="C786" s="124"/>
      <c r="D786" s="124"/>
      <c r="E786" s="124"/>
      <c r="F786" s="124"/>
      <c r="G786" s="124"/>
      <c r="H786" s="124"/>
      <c r="I786" s="124"/>
      <c r="J786" s="124"/>
      <c r="K786" s="124"/>
      <c r="L786" s="124"/>
      <c r="M786" s="124"/>
      <c r="N786" s="124"/>
      <c r="O786" s="124"/>
      <c r="P786" s="124"/>
      <c r="Q786" s="124"/>
      <c r="R786" s="124"/>
      <c r="S786" s="124"/>
    </row>
    <row r="787" spans="1:19" x14ac:dyDescent="0.25">
      <c r="A787" s="124"/>
      <c r="B787" s="124"/>
      <c r="C787" s="124"/>
      <c r="D787" s="124"/>
      <c r="E787" s="124"/>
      <c r="F787" s="124"/>
      <c r="G787" s="124"/>
      <c r="H787" s="124"/>
      <c r="I787" s="124"/>
      <c r="J787" s="124"/>
      <c r="K787" s="124"/>
      <c r="L787" s="124"/>
      <c r="M787" s="124"/>
      <c r="N787" s="124"/>
      <c r="O787" s="124"/>
      <c r="P787" s="124"/>
      <c r="Q787" s="124"/>
      <c r="R787" s="124"/>
      <c r="S787" s="124"/>
    </row>
    <row r="788" spans="1:19" x14ac:dyDescent="0.25">
      <c r="A788" s="124"/>
      <c r="B788" s="124"/>
      <c r="C788" s="124"/>
      <c r="D788" s="124"/>
      <c r="E788" s="124"/>
      <c r="F788" s="124"/>
      <c r="G788" s="124"/>
      <c r="H788" s="124"/>
      <c r="I788" s="124"/>
      <c r="J788" s="124"/>
      <c r="K788" s="124"/>
      <c r="L788" s="124"/>
      <c r="M788" s="124"/>
      <c r="N788" s="124"/>
      <c r="O788" s="124"/>
      <c r="P788" s="124"/>
      <c r="Q788" s="124"/>
      <c r="R788" s="124"/>
      <c r="S788" s="124"/>
    </row>
    <row r="789" spans="1:19" x14ac:dyDescent="0.25">
      <c r="A789" s="124"/>
      <c r="B789" s="124"/>
      <c r="C789" s="124"/>
      <c r="D789" s="124"/>
      <c r="E789" s="124"/>
      <c r="F789" s="124"/>
      <c r="G789" s="124"/>
      <c r="H789" s="124"/>
      <c r="I789" s="124"/>
      <c r="J789" s="124"/>
      <c r="K789" s="124"/>
      <c r="L789" s="124"/>
      <c r="M789" s="124"/>
      <c r="N789" s="124"/>
      <c r="O789" s="124"/>
      <c r="P789" s="124"/>
      <c r="Q789" s="124"/>
      <c r="R789" s="124"/>
      <c r="S789" s="124"/>
    </row>
    <row r="790" spans="1:19" x14ac:dyDescent="0.25">
      <c r="A790" s="124"/>
      <c r="B790" s="124"/>
      <c r="C790" s="124"/>
      <c r="D790" s="124"/>
      <c r="E790" s="124"/>
      <c r="F790" s="124"/>
      <c r="G790" s="124"/>
      <c r="H790" s="124"/>
      <c r="I790" s="124"/>
      <c r="J790" s="124"/>
      <c r="K790" s="124"/>
      <c r="L790" s="124"/>
      <c r="M790" s="124"/>
      <c r="N790" s="124"/>
      <c r="O790" s="124"/>
      <c r="P790" s="124"/>
      <c r="Q790" s="124"/>
      <c r="R790" s="124"/>
      <c r="S790" s="124"/>
    </row>
    <row r="791" spans="1:19" x14ac:dyDescent="0.25">
      <c r="A791" s="124"/>
      <c r="B791" s="124"/>
      <c r="C791" s="124"/>
      <c r="D791" s="124"/>
      <c r="E791" s="124"/>
      <c r="F791" s="124"/>
      <c r="G791" s="124"/>
      <c r="H791" s="124"/>
      <c r="I791" s="124"/>
      <c r="J791" s="124"/>
      <c r="K791" s="124"/>
      <c r="L791" s="124"/>
      <c r="M791" s="124"/>
      <c r="N791" s="124"/>
      <c r="O791" s="124"/>
      <c r="P791" s="124"/>
      <c r="Q791" s="124"/>
      <c r="R791" s="124"/>
      <c r="S791" s="124"/>
    </row>
    <row r="792" spans="1:19" x14ac:dyDescent="0.25">
      <c r="A792" s="124"/>
      <c r="B792" s="124"/>
      <c r="C792" s="124"/>
      <c r="D792" s="124"/>
      <c r="E792" s="124"/>
      <c r="F792" s="124"/>
      <c r="G792" s="124"/>
      <c r="H792" s="124"/>
      <c r="I792" s="124"/>
      <c r="J792" s="124"/>
      <c r="K792" s="124"/>
      <c r="L792" s="124"/>
      <c r="M792" s="124"/>
      <c r="N792" s="124"/>
      <c r="O792" s="124"/>
      <c r="P792" s="124"/>
      <c r="Q792" s="124"/>
      <c r="R792" s="124"/>
      <c r="S792" s="124"/>
    </row>
    <row r="793" spans="1:19" x14ac:dyDescent="0.25">
      <c r="A793" s="124"/>
      <c r="B793" s="124"/>
      <c r="C793" s="124"/>
      <c r="D793" s="124"/>
      <c r="E793" s="124"/>
      <c r="F793" s="124"/>
      <c r="G793" s="124"/>
      <c r="H793" s="124"/>
      <c r="I793" s="124"/>
      <c r="J793" s="124"/>
      <c r="K793" s="124"/>
      <c r="L793" s="124"/>
      <c r="M793" s="124"/>
      <c r="N793" s="124"/>
      <c r="O793" s="124"/>
      <c r="P793" s="124"/>
      <c r="Q793" s="124"/>
      <c r="R793" s="124"/>
      <c r="S793" s="124"/>
    </row>
    <row r="794" spans="1:19" x14ac:dyDescent="0.25">
      <c r="A794" s="124"/>
      <c r="B794" s="124"/>
      <c r="C794" s="124"/>
      <c r="D794" s="124"/>
      <c r="E794" s="124"/>
      <c r="F794" s="124"/>
      <c r="G794" s="124"/>
      <c r="H794" s="124"/>
      <c r="I794" s="124"/>
      <c r="J794" s="124"/>
      <c r="K794" s="124"/>
      <c r="L794" s="124"/>
      <c r="M794" s="124"/>
      <c r="N794" s="124"/>
      <c r="O794" s="124"/>
      <c r="P794" s="124"/>
      <c r="Q794" s="124"/>
      <c r="R794" s="124"/>
      <c r="S794" s="124"/>
    </row>
    <row r="795" spans="1:19" x14ac:dyDescent="0.25">
      <c r="A795" s="124"/>
      <c r="B795" s="124"/>
      <c r="C795" s="124"/>
      <c r="D795" s="124"/>
      <c r="E795" s="124"/>
      <c r="F795" s="124"/>
      <c r="G795" s="124"/>
      <c r="H795" s="124"/>
      <c r="I795" s="124"/>
      <c r="J795" s="124"/>
      <c r="K795" s="124"/>
      <c r="L795" s="124"/>
      <c r="M795" s="124"/>
      <c r="N795" s="124"/>
      <c r="O795" s="124"/>
      <c r="P795" s="124"/>
      <c r="Q795" s="124"/>
      <c r="R795" s="124"/>
      <c r="S795" s="124"/>
    </row>
    <row r="796" spans="1:19" x14ac:dyDescent="0.25">
      <c r="A796" s="124"/>
      <c r="B796" s="124"/>
      <c r="C796" s="124"/>
      <c r="D796" s="124"/>
      <c r="E796" s="124"/>
      <c r="F796" s="124"/>
      <c r="G796" s="124"/>
      <c r="H796" s="124"/>
      <c r="I796" s="124"/>
      <c r="J796" s="124"/>
      <c r="K796" s="124"/>
      <c r="L796" s="124"/>
      <c r="M796" s="124"/>
      <c r="N796" s="124"/>
      <c r="O796" s="124"/>
      <c r="P796" s="124"/>
      <c r="Q796" s="124"/>
      <c r="R796" s="124"/>
      <c r="S796" s="124"/>
    </row>
    <row r="797" spans="1:19" x14ac:dyDescent="0.25">
      <c r="A797" s="124"/>
      <c r="B797" s="124"/>
      <c r="C797" s="124"/>
      <c r="D797" s="124"/>
      <c r="E797" s="124"/>
      <c r="F797" s="124"/>
      <c r="G797" s="124"/>
      <c r="H797" s="124"/>
      <c r="I797" s="124"/>
      <c r="J797" s="124"/>
      <c r="K797" s="124"/>
      <c r="L797" s="124"/>
      <c r="M797" s="124"/>
      <c r="N797" s="124"/>
      <c r="O797" s="124"/>
      <c r="P797" s="124"/>
      <c r="Q797" s="124"/>
      <c r="R797" s="124"/>
      <c r="S797" s="124"/>
    </row>
    <row r="798" spans="1:19" x14ac:dyDescent="0.25">
      <c r="A798" s="124"/>
      <c r="B798" s="124"/>
      <c r="C798" s="124"/>
      <c r="D798" s="124"/>
      <c r="E798" s="124"/>
      <c r="F798" s="124"/>
      <c r="G798" s="124"/>
      <c r="H798" s="124"/>
      <c r="I798" s="124"/>
      <c r="J798" s="124"/>
      <c r="K798" s="124"/>
      <c r="L798" s="124"/>
      <c r="M798" s="124"/>
      <c r="N798" s="124"/>
      <c r="O798" s="124"/>
      <c r="P798" s="124"/>
      <c r="Q798" s="124"/>
      <c r="R798" s="124"/>
      <c r="S798" s="124"/>
    </row>
    <row r="799" spans="1:19" x14ac:dyDescent="0.25">
      <c r="A799" s="124"/>
      <c r="B799" s="124"/>
      <c r="C799" s="124"/>
      <c r="D799" s="124"/>
      <c r="E799" s="124"/>
      <c r="F799" s="124"/>
      <c r="G799" s="124"/>
      <c r="H799" s="124"/>
      <c r="I799" s="124"/>
      <c r="J799" s="124"/>
      <c r="K799" s="124"/>
      <c r="L799" s="124"/>
      <c r="M799" s="124"/>
      <c r="N799" s="124"/>
      <c r="O799" s="124"/>
      <c r="P799" s="124"/>
      <c r="Q799" s="124"/>
      <c r="R799" s="124"/>
      <c r="S799" s="124"/>
    </row>
    <row r="800" spans="1:19" x14ac:dyDescent="0.25">
      <c r="A800" s="124"/>
      <c r="B800" s="124"/>
      <c r="C800" s="124"/>
      <c r="D800" s="124"/>
      <c r="E800" s="124"/>
      <c r="F800" s="124"/>
      <c r="G800" s="124"/>
      <c r="H800" s="124"/>
      <c r="I800" s="124"/>
      <c r="J800" s="124"/>
      <c r="K800" s="124"/>
      <c r="L800" s="124"/>
      <c r="M800" s="124"/>
      <c r="N800" s="124"/>
      <c r="O800" s="124"/>
      <c r="P800" s="124"/>
      <c r="Q800" s="124"/>
      <c r="R800" s="124"/>
      <c r="S800" s="124"/>
    </row>
    <row r="801" spans="1:19" x14ac:dyDescent="0.25">
      <c r="A801" s="124"/>
      <c r="B801" s="124"/>
      <c r="C801" s="124"/>
      <c r="D801" s="124"/>
      <c r="E801" s="124"/>
      <c r="F801" s="124"/>
      <c r="G801" s="124"/>
      <c r="H801" s="124"/>
      <c r="I801" s="124"/>
      <c r="J801" s="124"/>
      <c r="K801" s="124"/>
      <c r="L801" s="124"/>
      <c r="M801" s="124"/>
      <c r="N801" s="124"/>
      <c r="O801" s="124"/>
      <c r="P801" s="124"/>
      <c r="Q801" s="124"/>
      <c r="R801" s="124"/>
      <c r="S801" s="124"/>
    </row>
    <row r="802" spans="1:19" x14ac:dyDescent="0.25">
      <c r="A802" s="124"/>
      <c r="B802" s="124"/>
      <c r="C802" s="124"/>
      <c r="D802" s="124"/>
      <c r="E802" s="124"/>
      <c r="F802" s="124"/>
      <c r="G802" s="124"/>
      <c r="H802" s="124"/>
      <c r="I802" s="124"/>
      <c r="J802" s="124"/>
      <c r="K802" s="124"/>
      <c r="L802" s="124"/>
      <c r="M802" s="124"/>
      <c r="N802" s="124"/>
      <c r="O802" s="124"/>
      <c r="P802" s="124"/>
      <c r="Q802" s="124"/>
      <c r="R802" s="124"/>
      <c r="S802" s="124"/>
    </row>
    <row r="803" spans="1:19" x14ac:dyDescent="0.25">
      <c r="A803" s="124"/>
      <c r="B803" s="124"/>
      <c r="C803" s="124"/>
      <c r="D803" s="124"/>
      <c r="E803" s="124"/>
      <c r="F803" s="124"/>
      <c r="G803" s="124"/>
      <c r="H803" s="124"/>
      <c r="I803" s="124"/>
      <c r="J803" s="124"/>
      <c r="K803" s="124"/>
      <c r="L803" s="124"/>
      <c r="M803" s="124"/>
      <c r="N803" s="124"/>
      <c r="O803" s="124"/>
      <c r="P803" s="124"/>
      <c r="Q803" s="124"/>
      <c r="R803" s="124"/>
      <c r="S803" s="124"/>
    </row>
    <row r="804" spans="1:19" x14ac:dyDescent="0.25">
      <c r="A804" s="124"/>
      <c r="B804" s="124"/>
      <c r="C804" s="124"/>
      <c r="D804" s="124"/>
      <c r="E804" s="124"/>
      <c r="F804" s="124"/>
      <c r="G804" s="124"/>
      <c r="H804" s="124"/>
      <c r="I804" s="124"/>
      <c r="J804" s="124"/>
      <c r="K804" s="124"/>
      <c r="L804" s="124"/>
      <c r="M804" s="124"/>
      <c r="N804" s="124"/>
      <c r="O804" s="124"/>
      <c r="P804" s="124"/>
      <c r="Q804" s="124"/>
      <c r="R804" s="124"/>
      <c r="S804" s="124"/>
    </row>
    <row r="805" spans="1:19" x14ac:dyDescent="0.25">
      <c r="A805" s="124"/>
      <c r="B805" s="124"/>
      <c r="C805" s="124"/>
      <c r="D805" s="124"/>
      <c r="E805" s="124"/>
      <c r="F805" s="124"/>
      <c r="G805" s="124"/>
      <c r="H805" s="124"/>
      <c r="I805" s="124"/>
      <c r="J805" s="124"/>
      <c r="K805" s="124"/>
      <c r="L805" s="124"/>
      <c r="M805" s="124"/>
      <c r="N805" s="124"/>
      <c r="O805" s="124"/>
      <c r="P805" s="124"/>
      <c r="Q805" s="124"/>
      <c r="R805" s="124"/>
      <c r="S805" s="124"/>
    </row>
    <row r="806" spans="1:19" x14ac:dyDescent="0.25">
      <c r="A806" s="124"/>
      <c r="B806" s="124"/>
      <c r="C806" s="124"/>
      <c r="D806" s="124"/>
      <c r="E806" s="124"/>
      <c r="F806" s="124"/>
      <c r="G806" s="124"/>
      <c r="H806" s="124"/>
      <c r="I806" s="124"/>
      <c r="J806" s="124"/>
      <c r="K806" s="124"/>
      <c r="L806" s="124"/>
      <c r="M806" s="124"/>
      <c r="N806" s="124"/>
      <c r="O806" s="124"/>
      <c r="P806" s="124"/>
      <c r="Q806" s="124"/>
      <c r="R806" s="124"/>
      <c r="S806" s="124"/>
    </row>
    <row r="807" spans="1:19" x14ac:dyDescent="0.25">
      <c r="A807" s="124"/>
      <c r="B807" s="124"/>
      <c r="C807" s="124"/>
      <c r="D807" s="124"/>
      <c r="E807" s="124"/>
      <c r="F807" s="124"/>
      <c r="G807" s="124"/>
      <c r="H807" s="124"/>
      <c r="I807" s="124"/>
      <c r="J807" s="124"/>
      <c r="K807" s="124"/>
      <c r="L807" s="124"/>
      <c r="M807" s="124"/>
      <c r="N807" s="124"/>
      <c r="O807" s="124"/>
      <c r="P807" s="124"/>
      <c r="Q807" s="124"/>
      <c r="R807" s="124"/>
      <c r="S807" s="124"/>
    </row>
    <row r="808" spans="1:19" x14ac:dyDescent="0.25">
      <c r="A808" s="124"/>
      <c r="B808" s="124"/>
      <c r="C808" s="124"/>
      <c r="D808" s="124"/>
      <c r="E808" s="124"/>
      <c r="F808" s="124"/>
      <c r="G808" s="124"/>
      <c r="H808" s="124"/>
      <c r="I808" s="124"/>
      <c r="J808" s="124"/>
      <c r="K808" s="124"/>
      <c r="L808" s="124"/>
      <c r="M808" s="124"/>
      <c r="N808" s="124"/>
      <c r="O808" s="124"/>
      <c r="P808" s="124"/>
      <c r="Q808" s="124"/>
      <c r="R808" s="124"/>
      <c r="S808" s="124"/>
    </row>
    <row r="809" spans="1:19" x14ac:dyDescent="0.25">
      <c r="A809" s="124"/>
      <c r="B809" s="124"/>
      <c r="C809" s="124"/>
      <c r="D809" s="124"/>
      <c r="E809" s="124"/>
      <c r="F809" s="124"/>
      <c r="G809" s="124"/>
      <c r="H809" s="124"/>
      <c r="I809" s="124"/>
      <c r="J809" s="124"/>
      <c r="K809" s="124"/>
      <c r="L809" s="124"/>
      <c r="M809" s="124"/>
      <c r="N809" s="124"/>
      <c r="O809" s="124"/>
      <c r="P809" s="124"/>
      <c r="Q809" s="124"/>
      <c r="R809" s="124"/>
      <c r="S809" s="124"/>
    </row>
    <row r="810" spans="1:19" x14ac:dyDescent="0.25">
      <c r="A810" s="124"/>
      <c r="B810" s="124"/>
      <c r="C810" s="124"/>
      <c r="D810" s="124"/>
      <c r="E810" s="124"/>
      <c r="F810" s="124"/>
      <c r="G810" s="124"/>
      <c r="H810" s="124"/>
      <c r="I810" s="124"/>
      <c r="J810" s="124"/>
      <c r="K810" s="124"/>
      <c r="L810" s="124"/>
      <c r="M810" s="124"/>
      <c r="N810" s="124"/>
      <c r="O810" s="124"/>
      <c r="P810" s="124"/>
      <c r="Q810" s="124"/>
      <c r="R810" s="124"/>
      <c r="S810" s="124"/>
    </row>
    <row r="811" spans="1:19" x14ac:dyDescent="0.25">
      <c r="A811" s="124"/>
      <c r="B811" s="124"/>
      <c r="C811" s="124"/>
      <c r="D811" s="124"/>
      <c r="E811" s="124"/>
      <c r="F811" s="124"/>
      <c r="G811" s="124"/>
      <c r="H811" s="124"/>
      <c r="I811" s="124"/>
      <c r="J811" s="124"/>
      <c r="K811" s="124"/>
      <c r="L811" s="124"/>
      <c r="M811" s="124"/>
      <c r="N811" s="124"/>
      <c r="O811" s="124"/>
      <c r="P811" s="124"/>
      <c r="Q811" s="124"/>
      <c r="R811" s="124"/>
      <c r="S811" s="124"/>
    </row>
    <row r="812" spans="1:19" x14ac:dyDescent="0.25">
      <c r="A812" s="124"/>
      <c r="B812" s="124"/>
      <c r="C812" s="124"/>
      <c r="D812" s="124"/>
      <c r="E812" s="124"/>
      <c r="F812" s="124"/>
      <c r="G812" s="124"/>
      <c r="H812" s="124"/>
      <c r="I812" s="124"/>
      <c r="J812" s="124"/>
      <c r="K812" s="124"/>
      <c r="L812" s="124"/>
      <c r="M812" s="124"/>
      <c r="N812" s="124"/>
      <c r="O812" s="124"/>
      <c r="P812" s="124"/>
      <c r="Q812" s="124"/>
      <c r="R812" s="124"/>
      <c r="S812" s="124"/>
    </row>
    <row r="813" spans="1:19" x14ac:dyDescent="0.25">
      <c r="A813" s="124"/>
      <c r="B813" s="124"/>
      <c r="C813" s="124"/>
      <c r="D813" s="124"/>
      <c r="E813" s="124"/>
      <c r="F813" s="124"/>
      <c r="G813" s="124"/>
      <c r="H813" s="124"/>
      <c r="I813" s="124"/>
      <c r="J813" s="124"/>
      <c r="K813" s="124"/>
      <c r="L813" s="124"/>
      <c r="M813" s="124"/>
      <c r="N813" s="124"/>
      <c r="O813" s="124"/>
      <c r="P813" s="124"/>
      <c r="Q813" s="124"/>
      <c r="R813" s="124"/>
      <c r="S813" s="124"/>
    </row>
    <row r="814" spans="1:19" x14ac:dyDescent="0.25">
      <c r="A814" s="124"/>
      <c r="B814" s="124"/>
      <c r="C814" s="124"/>
      <c r="D814" s="124"/>
      <c r="E814" s="124"/>
      <c r="F814" s="124"/>
      <c r="G814" s="124"/>
      <c r="H814" s="124"/>
      <c r="I814" s="124"/>
      <c r="J814" s="124"/>
      <c r="K814" s="124"/>
      <c r="L814" s="124"/>
      <c r="M814" s="124"/>
      <c r="N814" s="124"/>
      <c r="O814" s="124"/>
      <c r="P814" s="124"/>
      <c r="Q814" s="124"/>
      <c r="R814" s="124"/>
      <c r="S814" s="124"/>
    </row>
    <row r="815" spans="1:19" x14ac:dyDescent="0.25">
      <c r="A815" s="124"/>
      <c r="B815" s="124"/>
      <c r="C815" s="124"/>
      <c r="D815" s="124"/>
      <c r="E815" s="124"/>
      <c r="F815" s="124"/>
      <c r="G815" s="124"/>
      <c r="H815" s="124"/>
      <c r="I815" s="124"/>
      <c r="J815" s="124"/>
      <c r="K815" s="124"/>
      <c r="L815" s="124"/>
      <c r="M815" s="124"/>
      <c r="N815" s="124"/>
      <c r="O815" s="124"/>
      <c r="P815" s="124"/>
      <c r="Q815" s="124"/>
      <c r="R815" s="124"/>
      <c r="S815" s="124"/>
    </row>
    <row r="816" spans="1:19" x14ac:dyDescent="0.25">
      <c r="A816" s="124"/>
      <c r="B816" s="124"/>
      <c r="C816" s="124"/>
      <c r="D816" s="124"/>
      <c r="E816" s="124"/>
      <c r="F816" s="124"/>
      <c r="G816" s="124"/>
      <c r="H816" s="124"/>
      <c r="I816" s="124"/>
      <c r="J816" s="124"/>
      <c r="K816" s="124"/>
      <c r="L816" s="124"/>
      <c r="M816" s="124"/>
      <c r="N816" s="124"/>
      <c r="O816" s="124"/>
      <c r="P816" s="124"/>
      <c r="Q816" s="124"/>
      <c r="R816" s="124"/>
      <c r="S816" s="124"/>
    </row>
    <row r="817" spans="1:19" x14ac:dyDescent="0.25">
      <c r="A817" s="124"/>
      <c r="B817" s="124"/>
      <c r="C817" s="124"/>
      <c r="D817" s="124"/>
      <c r="E817" s="124"/>
      <c r="F817" s="124"/>
      <c r="G817" s="124"/>
      <c r="H817" s="124"/>
      <c r="I817" s="124"/>
      <c r="J817" s="124"/>
      <c r="K817" s="124"/>
      <c r="L817" s="124"/>
      <c r="M817" s="124"/>
      <c r="N817" s="124"/>
      <c r="O817" s="124"/>
      <c r="P817" s="124"/>
      <c r="Q817" s="124"/>
      <c r="R817" s="124"/>
      <c r="S817" s="124"/>
    </row>
    <row r="818" spans="1:19" x14ac:dyDescent="0.25">
      <c r="A818" s="124"/>
      <c r="B818" s="124"/>
      <c r="C818" s="124"/>
      <c r="D818" s="124"/>
      <c r="E818" s="124"/>
      <c r="F818" s="124"/>
      <c r="G818" s="124"/>
      <c r="H818" s="124"/>
      <c r="I818" s="124"/>
      <c r="J818" s="124"/>
      <c r="K818" s="124"/>
      <c r="L818" s="124"/>
      <c r="M818" s="124"/>
      <c r="N818" s="124"/>
      <c r="O818" s="124"/>
      <c r="P818" s="124"/>
      <c r="Q818" s="124"/>
      <c r="R818" s="124"/>
      <c r="S818" s="124"/>
    </row>
    <row r="819" spans="1:19" x14ac:dyDescent="0.25">
      <c r="A819" s="124"/>
      <c r="B819" s="124"/>
      <c r="C819" s="124"/>
      <c r="D819" s="124"/>
      <c r="E819" s="124"/>
      <c r="F819" s="124"/>
      <c r="G819" s="124"/>
      <c r="H819" s="124"/>
      <c r="I819" s="124"/>
      <c r="J819" s="124"/>
      <c r="K819" s="124"/>
      <c r="L819" s="124"/>
      <c r="M819" s="124"/>
      <c r="N819" s="124"/>
      <c r="O819" s="124"/>
      <c r="P819" s="124"/>
      <c r="Q819" s="124"/>
      <c r="R819" s="124"/>
      <c r="S819" s="124"/>
    </row>
    <row r="820" spans="1:19" x14ac:dyDescent="0.25">
      <c r="A820" s="124"/>
      <c r="B820" s="124"/>
      <c r="C820" s="124"/>
      <c r="D820" s="124"/>
      <c r="E820" s="124"/>
      <c r="F820" s="124"/>
      <c r="G820" s="124"/>
      <c r="H820" s="124"/>
      <c r="I820" s="124"/>
      <c r="J820" s="124"/>
      <c r="K820" s="124"/>
      <c r="L820" s="124"/>
      <c r="M820" s="124"/>
      <c r="N820" s="124"/>
      <c r="O820" s="124"/>
      <c r="P820" s="124"/>
      <c r="Q820" s="124"/>
      <c r="R820" s="124"/>
      <c r="S820" s="124"/>
    </row>
    <row r="821" spans="1:19" x14ac:dyDescent="0.25">
      <c r="A821" s="124"/>
      <c r="B821" s="124"/>
      <c r="C821" s="124"/>
      <c r="D821" s="124"/>
      <c r="E821" s="124"/>
      <c r="F821" s="124"/>
      <c r="G821" s="124"/>
      <c r="H821" s="124"/>
      <c r="I821" s="124"/>
      <c r="J821" s="124"/>
      <c r="K821" s="124"/>
      <c r="L821" s="124"/>
      <c r="M821" s="124"/>
      <c r="N821" s="124"/>
      <c r="O821" s="124"/>
      <c r="P821" s="124"/>
      <c r="Q821" s="124"/>
      <c r="R821" s="124"/>
      <c r="S821" s="124"/>
    </row>
    <row r="822" spans="1:19" x14ac:dyDescent="0.25">
      <c r="A822" s="124"/>
      <c r="B822" s="124"/>
      <c r="C822" s="124"/>
      <c r="D822" s="124"/>
      <c r="E822" s="124"/>
      <c r="F822" s="124"/>
      <c r="G822" s="124"/>
      <c r="H822" s="124"/>
      <c r="I822" s="124"/>
      <c r="J822" s="124"/>
      <c r="K822" s="124"/>
      <c r="L822" s="124"/>
      <c r="M822" s="124"/>
      <c r="N822" s="124"/>
      <c r="O822" s="124"/>
      <c r="P822" s="124"/>
      <c r="Q822" s="124"/>
      <c r="R822" s="124"/>
      <c r="S822" s="124"/>
    </row>
    <row r="823" spans="1:19" x14ac:dyDescent="0.25">
      <c r="A823" s="124"/>
      <c r="B823" s="124"/>
      <c r="C823" s="124"/>
      <c r="D823" s="124"/>
      <c r="E823" s="124"/>
      <c r="F823" s="124"/>
      <c r="G823" s="124"/>
      <c r="H823" s="124"/>
      <c r="I823" s="124"/>
      <c r="J823" s="124"/>
      <c r="K823" s="124"/>
      <c r="L823" s="124"/>
      <c r="M823" s="124"/>
      <c r="N823" s="124"/>
      <c r="O823" s="124"/>
      <c r="P823" s="124"/>
      <c r="Q823" s="124"/>
      <c r="R823" s="124"/>
      <c r="S823" s="124"/>
    </row>
    <row r="824" spans="1:19" x14ac:dyDescent="0.25">
      <c r="A824" s="124"/>
      <c r="B824" s="124"/>
      <c r="C824" s="124"/>
      <c r="D824" s="124"/>
      <c r="E824" s="124"/>
      <c r="F824" s="124"/>
      <c r="G824" s="124"/>
      <c r="H824" s="124"/>
      <c r="I824" s="124"/>
      <c r="J824" s="124"/>
      <c r="K824" s="124"/>
      <c r="L824" s="124"/>
      <c r="M824" s="124"/>
      <c r="N824" s="124"/>
      <c r="O824" s="124"/>
      <c r="P824" s="124"/>
      <c r="Q824" s="124"/>
      <c r="R824" s="124"/>
      <c r="S824" s="124"/>
    </row>
    <row r="825" spans="1:19" x14ac:dyDescent="0.25">
      <c r="A825" s="124"/>
      <c r="B825" s="124"/>
      <c r="C825" s="124"/>
      <c r="D825" s="124"/>
      <c r="E825" s="124"/>
      <c r="F825" s="124"/>
      <c r="G825" s="124"/>
      <c r="H825" s="124"/>
      <c r="I825" s="124"/>
      <c r="J825" s="124"/>
      <c r="K825" s="124"/>
      <c r="L825" s="124"/>
      <c r="M825" s="124"/>
      <c r="N825" s="124"/>
      <c r="O825" s="124"/>
      <c r="P825" s="124"/>
      <c r="Q825" s="124"/>
      <c r="R825" s="124"/>
      <c r="S825" s="124"/>
    </row>
    <row r="826" spans="1:19" x14ac:dyDescent="0.25">
      <c r="A826" s="124"/>
      <c r="B826" s="124"/>
      <c r="C826" s="124"/>
      <c r="D826" s="124"/>
      <c r="E826" s="124"/>
      <c r="F826" s="124"/>
      <c r="G826" s="124"/>
      <c r="H826" s="124"/>
      <c r="I826" s="124"/>
      <c r="J826" s="124"/>
      <c r="K826" s="124"/>
      <c r="L826" s="124"/>
      <c r="M826" s="124"/>
      <c r="N826" s="124"/>
      <c r="O826" s="124"/>
      <c r="P826" s="124"/>
      <c r="Q826" s="124"/>
      <c r="R826" s="124"/>
      <c r="S826" s="124"/>
    </row>
    <row r="827" spans="1:19" x14ac:dyDescent="0.25">
      <c r="A827" s="124"/>
      <c r="B827" s="124"/>
      <c r="C827" s="124"/>
      <c r="D827" s="124"/>
      <c r="E827" s="124"/>
      <c r="F827" s="124"/>
      <c r="G827" s="124"/>
      <c r="H827" s="124"/>
      <c r="I827" s="124"/>
      <c r="J827" s="124"/>
      <c r="K827" s="124"/>
      <c r="L827" s="124"/>
      <c r="M827" s="124"/>
      <c r="N827" s="124"/>
      <c r="O827" s="124"/>
      <c r="P827" s="124"/>
      <c r="Q827" s="124"/>
      <c r="R827" s="124"/>
      <c r="S827" s="124"/>
    </row>
    <row r="828" spans="1:19" x14ac:dyDescent="0.25">
      <c r="A828" s="124"/>
      <c r="B828" s="124"/>
      <c r="C828" s="124"/>
      <c r="D828" s="124"/>
      <c r="E828" s="124"/>
      <c r="F828" s="124"/>
      <c r="G828" s="124"/>
      <c r="H828" s="124"/>
      <c r="I828" s="124"/>
      <c r="J828" s="124"/>
      <c r="K828" s="124"/>
      <c r="L828" s="124"/>
      <c r="M828" s="124"/>
      <c r="N828" s="124"/>
      <c r="O828" s="124"/>
      <c r="P828" s="124"/>
      <c r="Q828" s="124"/>
      <c r="R828" s="124"/>
      <c r="S828" s="124"/>
    </row>
    <row r="829" spans="1:19" x14ac:dyDescent="0.25">
      <c r="A829" s="124"/>
      <c r="B829" s="124"/>
      <c r="C829" s="124"/>
      <c r="D829" s="124"/>
      <c r="E829" s="124"/>
      <c r="F829" s="124"/>
      <c r="G829" s="124"/>
      <c r="H829" s="124"/>
      <c r="I829" s="124"/>
      <c r="J829" s="124"/>
      <c r="K829" s="124"/>
      <c r="L829" s="124"/>
      <c r="M829" s="124"/>
      <c r="N829" s="124"/>
      <c r="O829" s="124"/>
      <c r="P829" s="124"/>
      <c r="Q829" s="124"/>
      <c r="R829" s="124"/>
      <c r="S829" s="124"/>
    </row>
    <row r="830" spans="1:19" x14ac:dyDescent="0.25">
      <c r="A830" s="124"/>
      <c r="B830" s="124"/>
      <c r="C830" s="124"/>
      <c r="D830" s="124"/>
      <c r="E830" s="124"/>
      <c r="F830" s="124"/>
      <c r="G830" s="124"/>
      <c r="H830" s="124"/>
      <c r="I830" s="124"/>
      <c r="J830" s="124"/>
      <c r="K830" s="124"/>
      <c r="L830" s="124"/>
      <c r="M830" s="124"/>
      <c r="N830" s="124"/>
      <c r="O830" s="124"/>
      <c r="P830" s="124"/>
      <c r="Q830" s="124"/>
      <c r="R830" s="124"/>
      <c r="S830" s="124"/>
    </row>
    <row r="831" spans="1:19" x14ac:dyDescent="0.25">
      <c r="A831" s="124"/>
      <c r="B831" s="124"/>
      <c r="C831" s="124"/>
      <c r="D831" s="124"/>
      <c r="E831" s="124"/>
      <c r="F831" s="124"/>
      <c r="G831" s="124"/>
      <c r="H831" s="124"/>
      <c r="I831" s="124"/>
      <c r="J831" s="124"/>
      <c r="K831" s="124"/>
      <c r="L831" s="124"/>
      <c r="M831" s="124"/>
      <c r="N831" s="124"/>
      <c r="O831" s="124"/>
      <c r="P831" s="124"/>
      <c r="Q831" s="124"/>
      <c r="R831" s="124"/>
      <c r="S831" s="124"/>
    </row>
    <row r="832" spans="1:19" x14ac:dyDescent="0.25">
      <c r="A832" s="124"/>
      <c r="B832" s="124"/>
      <c r="C832" s="124"/>
      <c r="D832" s="124"/>
      <c r="E832" s="124"/>
      <c r="F832" s="124"/>
      <c r="G832" s="124"/>
      <c r="H832" s="124"/>
      <c r="I832" s="124"/>
      <c r="J832" s="124"/>
      <c r="K832" s="124"/>
      <c r="L832" s="124"/>
      <c r="M832" s="124"/>
      <c r="N832" s="124"/>
      <c r="O832" s="124"/>
      <c r="P832" s="124"/>
      <c r="Q832" s="124"/>
      <c r="R832" s="124"/>
      <c r="S832" s="124"/>
    </row>
    <row r="833" spans="1:19" x14ac:dyDescent="0.25">
      <c r="A833" s="124"/>
      <c r="B833" s="124"/>
      <c r="C833" s="124"/>
      <c r="D833" s="124"/>
      <c r="E833" s="124"/>
      <c r="F833" s="124"/>
      <c r="G833" s="124"/>
      <c r="H833" s="124"/>
      <c r="I833" s="124"/>
      <c r="J833" s="124"/>
      <c r="K833" s="124"/>
      <c r="L833" s="124"/>
      <c r="M833" s="124"/>
      <c r="N833" s="124"/>
      <c r="O833" s="124"/>
      <c r="P833" s="124"/>
      <c r="Q833" s="124"/>
      <c r="R833" s="124"/>
      <c r="S833" s="124"/>
    </row>
    <row r="834" spans="1:19" x14ac:dyDescent="0.25">
      <c r="A834" s="124"/>
      <c r="B834" s="124"/>
      <c r="C834" s="124"/>
      <c r="D834" s="124"/>
      <c r="E834" s="124"/>
      <c r="F834" s="124"/>
      <c r="G834" s="124"/>
      <c r="H834" s="124"/>
      <c r="I834" s="124"/>
      <c r="J834" s="124"/>
      <c r="K834" s="124"/>
      <c r="L834" s="124"/>
      <c r="M834" s="124"/>
      <c r="N834" s="124"/>
      <c r="O834" s="124"/>
      <c r="P834" s="124"/>
      <c r="Q834" s="124"/>
      <c r="R834" s="124"/>
      <c r="S834" s="124"/>
    </row>
    <row r="835" spans="1:19" x14ac:dyDescent="0.25">
      <c r="A835" s="124"/>
      <c r="B835" s="124"/>
      <c r="C835" s="124"/>
      <c r="D835" s="124"/>
      <c r="E835" s="124"/>
      <c r="F835" s="124"/>
      <c r="G835" s="124"/>
      <c r="H835" s="124"/>
      <c r="I835" s="124"/>
      <c r="J835" s="124"/>
      <c r="K835" s="124"/>
      <c r="L835" s="124"/>
      <c r="M835" s="124"/>
      <c r="N835" s="124"/>
      <c r="O835" s="124"/>
      <c r="P835" s="124"/>
      <c r="Q835" s="124"/>
      <c r="R835" s="124"/>
      <c r="S835" s="124"/>
    </row>
    <row r="836" spans="1:19" x14ac:dyDescent="0.25">
      <c r="A836" s="124"/>
      <c r="B836" s="124"/>
      <c r="C836" s="124"/>
      <c r="D836" s="124"/>
      <c r="E836" s="124"/>
      <c r="F836" s="124"/>
      <c r="G836" s="124"/>
      <c r="H836" s="124"/>
      <c r="I836" s="124"/>
      <c r="J836" s="124"/>
      <c r="K836" s="124"/>
      <c r="L836" s="124"/>
      <c r="M836" s="124"/>
      <c r="N836" s="124"/>
      <c r="O836" s="124"/>
      <c r="P836" s="124"/>
      <c r="Q836" s="124"/>
      <c r="R836" s="124"/>
      <c r="S836" s="124"/>
    </row>
    <row r="837" spans="1:19" x14ac:dyDescent="0.25">
      <c r="A837" s="124"/>
      <c r="B837" s="124"/>
      <c r="C837" s="124"/>
      <c r="D837" s="124"/>
      <c r="E837" s="124"/>
      <c r="F837" s="124"/>
      <c r="G837" s="124"/>
      <c r="H837" s="124"/>
      <c r="I837" s="124"/>
      <c r="J837" s="124"/>
      <c r="K837" s="124"/>
      <c r="L837" s="124"/>
      <c r="M837" s="124"/>
      <c r="N837" s="124"/>
      <c r="O837" s="124"/>
      <c r="P837" s="124"/>
      <c r="Q837" s="124"/>
      <c r="R837" s="124"/>
      <c r="S837" s="124"/>
    </row>
    <row r="838" spans="1:19" x14ac:dyDescent="0.25">
      <c r="A838" s="124"/>
      <c r="B838" s="124"/>
      <c r="C838" s="124"/>
      <c r="D838" s="124"/>
      <c r="E838" s="124"/>
      <c r="F838" s="124"/>
      <c r="G838" s="124"/>
      <c r="H838" s="124"/>
      <c r="I838" s="124"/>
      <c r="J838" s="124"/>
      <c r="K838" s="124"/>
      <c r="L838" s="124"/>
      <c r="M838" s="124"/>
      <c r="N838" s="124"/>
      <c r="O838" s="124"/>
      <c r="P838" s="124"/>
      <c r="Q838" s="124"/>
      <c r="R838" s="124"/>
      <c r="S838" s="124"/>
    </row>
    <row r="839" spans="1:19" x14ac:dyDescent="0.25">
      <c r="A839" s="124"/>
      <c r="B839" s="124"/>
      <c r="C839" s="124"/>
      <c r="D839" s="124"/>
      <c r="E839" s="124"/>
      <c r="F839" s="124"/>
      <c r="G839" s="124"/>
      <c r="H839" s="124"/>
      <c r="I839" s="124"/>
      <c r="J839" s="124"/>
      <c r="K839" s="124"/>
      <c r="L839" s="124"/>
      <c r="M839" s="124"/>
      <c r="N839" s="124"/>
      <c r="O839" s="124"/>
      <c r="P839" s="124"/>
      <c r="Q839" s="124"/>
      <c r="R839" s="124"/>
      <c r="S839" s="124"/>
    </row>
    <row r="840" spans="1:19" x14ac:dyDescent="0.25">
      <c r="A840" s="124"/>
      <c r="B840" s="124"/>
      <c r="C840" s="124"/>
      <c r="D840" s="124"/>
      <c r="E840" s="124"/>
      <c r="F840" s="124"/>
      <c r="G840" s="124"/>
      <c r="H840" s="124"/>
      <c r="I840" s="124"/>
      <c r="J840" s="124"/>
      <c r="K840" s="124"/>
      <c r="L840" s="124"/>
      <c r="M840" s="124"/>
      <c r="N840" s="124"/>
      <c r="O840" s="124"/>
      <c r="P840" s="124"/>
      <c r="Q840" s="124"/>
      <c r="R840" s="124"/>
      <c r="S840" s="124"/>
    </row>
    <row r="841" spans="1:19" x14ac:dyDescent="0.25">
      <c r="A841" s="124"/>
      <c r="B841" s="124"/>
      <c r="C841" s="124"/>
      <c r="D841" s="124"/>
      <c r="E841" s="124"/>
      <c r="F841" s="124"/>
      <c r="G841" s="124"/>
      <c r="H841" s="124"/>
      <c r="I841" s="124"/>
      <c r="J841" s="124"/>
      <c r="K841" s="124"/>
      <c r="L841" s="124"/>
      <c r="M841" s="124"/>
      <c r="N841" s="124"/>
      <c r="O841" s="124"/>
      <c r="P841" s="124"/>
      <c r="Q841" s="124"/>
      <c r="R841" s="124"/>
      <c r="S841" s="124"/>
    </row>
    <row r="842" spans="1:19" x14ac:dyDescent="0.25">
      <c r="A842" s="124"/>
      <c r="B842" s="124"/>
      <c r="C842" s="124"/>
      <c r="D842" s="124"/>
      <c r="E842" s="124"/>
      <c r="F842" s="124"/>
      <c r="G842" s="124"/>
      <c r="H842" s="124"/>
      <c r="I842" s="124"/>
      <c r="J842" s="124"/>
      <c r="K842" s="124"/>
      <c r="L842" s="124"/>
      <c r="M842" s="124"/>
      <c r="N842" s="124"/>
      <c r="O842" s="124"/>
      <c r="P842" s="124"/>
      <c r="Q842" s="124"/>
      <c r="R842" s="124"/>
      <c r="S842" s="124"/>
    </row>
    <row r="843" spans="1:19" x14ac:dyDescent="0.25">
      <c r="A843" s="124"/>
      <c r="B843" s="124"/>
      <c r="C843" s="124"/>
      <c r="D843" s="124"/>
      <c r="E843" s="124"/>
      <c r="F843" s="124"/>
      <c r="G843" s="124"/>
      <c r="H843" s="124"/>
      <c r="I843" s="124"/>
      <c r="J843" s="124"/>
      <c r="K843" s="124"/>
      <c r="L843" s="124"/>
      <c r="M843" s="124"/>
      <c r="N843" s="124"/>
      <c r="O843" s="124"/>
      <c r="P843" s="124"/>
      <c r="Q843" s="124"/>
      <c r="R843" s="124"/>
      <c r="S843" s="124"/>
    </row>
    <row r="844" spans="1:19" x14ac:dyDescent="0.25">
      <c r="A844" s="124"/>
      <c r="B844" s="124"/>
      <c r="C844" s="124"/>
      <c r="D844" s="124"/>
      <c r="E844" s="124"/>
      <c r="F844" s="124"/>
      <c r="G844" s="124"/>
      <c r="H844" s="124"/>
      <c r="I844" s="124"/>
      <c r="J844" s="124"/>
      <c r="K844" s="124"/>
      <c r="L844" s="124"/>
      <c r="M844" s="124"/>
      <c r="N844" s="124"/>
      <c r="O844" s="124"/>
      <c r="P844" s="124"/>
      <c r="Q844" s="124"/>
      <c r="R844" s="124"/>
      <c r="S844" s="124"/>
    </row>
    <row r="845" spans="1:19" x14ac:dyDescent="0.25">
      <c r="A845" s="124"/>
      <c r="B845" s="124"/>
      <c r="C845" s="124"/>
      <c r="D845" s="124"/>
      <c r="E845" s="124"/>
      <c r="F845" s="124"/>
      <c r="G845" s="124"/>
      <c r="H845" s="124"/>
      <c r="I845" s="124"/>
      <c r="J845" s="124"/>
      <c r="K845" s="124"/>
      <c r="L845" s="124"/>
      <c r="M845" s="124"/>
      <c r="N845" s="124"/>
      <c r="O845" s="124"/>
      <c r="P845" s="124"/>
      <c r="Q845" s="124"/>
      <c r="R845" s="124"/>
      <c r="S845" s="124"/>
    </row>
    <row r="846" spans="1:19" x14ac:dyDescent="0.25">
      <c r="A846" s="124"/>
      <c r="B846" s="124"/>
      <c r="C846" s="124"/>
      <c r="D846" s="124"/>
      <c r="E846" s="124"/>
      <c r="F846" s="124"/>
      <c r="G846" s="124"/>
      <c r="H846" s="124"/>
      <c r="I846" s="124"/>
      <c r="J846" s="124"/>
      <c r="K846" s="124"/>
      <c r="L846" s="124"/>
      <c r="M846" s="124"/>
      <c r="N846" s="124"/>
      <c r="O846" s="124"/>
      <c r="P846" s="124"/>
      <c r="Q846" s="124"/>
      <c r="R846" s="124"/>
      <c r="S846" s="124"/>
    </row>
    <row r="847" spans="1:19" x14ac:dyDescent="0.25">
      <c r="A847" s="124"/>
      <c r="B847" s="124"/>
      <c r="C847" s="124"/>
      <c r="D847" s="124"/>
      <c r="E847" s="124"/>
      <c r="F847" s="124"/>
      <c r="G847" s="124"/>
      <c r="H847" s="124"/>
      <c r="I847" s="124"/>
      <c r="J847" s="124"/>
      <c r="K847" s="124"/>
      <c r="L847" s="124"/>
      <c r="M847" s="124"/>
      <c r="N847" s="124"/>
      <c r="O847" s="124"/>
      <c r="P847" s="124"/>
      <c r="Q847" s="124"/>
      <c r="R847" s="124"/>
      <c r="S847" s="124"/>
    </row>
    <row r="848" spans="1:19" x14ac:dyDescent="0.25">
      <c r="A848" s="124"/>
      <c r="B848" s="124"/>
      <c r="C848" s="124"/>
      <c r="D848" s="124"/>
      <c r="E848" s="124"/>
      <c r="F848" s="124"/>
      <c r="G848" s="124"/>
      <c r="H848" s="124"/>
      <c r="I848" s="124"/>
      <c r="J848" s="124"/>
      <c r="K848" s="124"/>
      <c r="L848" s="124"/>
      <c r="M848" s="124"/>
      <c r="N848" s="124"/>
      <c r="O848" s="124"/>
      <c r="P848" s="124"/>
      <c r="Q848" s="124"/>
      <c r="R848" s="124"/>
      <c r="S848" s="124"/>
    </row>
    <row r="849" spans="1:19" x14ac:dyDescent="0.25">
      <c r="A849" s="124"/>
      <c r="B849" s="124"/>
      <c r="C849" s="124"/>
      <c r="D849" s="124"/>
      <c r="E849" s="124"/>
      <c r="F849" s="124"/>
      <c r="G849" s="124"/>
      <c r="H849" s="124"/>
      <c r="I849" s="124"/>
      <c r="J849" s="124"/>
      <c r="K849" s="124"/>
      <c r="L849" s="124"/>
      <c r="M849" s="124"/>
      <c r="N849" s="124"/>
      <c r="O849" s="124"/>
      <c r="P849" s="124"/>
      <c r="Q849" s="124"/>
      <c r="R849" s="124"/>
      <c r="S849" s="124"/>
    </row>
    <row r="850" spans="1:19" x14ac:dyDescent="0.25">
      <c r="A850" s="124"/>
      <c r="B850" s="124"/>
      <c r="C850" s="124"/>
      <c r="D850" s="124"/>
      <c r="E850" s="124"/>
      <c r="F850" s="124"/>
      <c r="G850" s="124"/>
      <c r="H850" s="124"/>
      <c r="I850" s="124"/>
      <c r="J850" s="124"/>
      <c r="K850" s="124"/>
      <c r="L850" s="124"/>
      <c r="M850" s="124"/>
      <c r="N850" s="124"/>
      <c r="O850" s="124"/>
      <c r="P850" s="124"/>
      <c r="Q850" s="124"/>
      <c r="R850" s="124"/>
      <c r="S850" s="124"/>
    </row>
    <row r="851" spans="1:19" x14ac:dyDescent="0.25">
      <c r="A851" s="124"/>
      <c r="B851" s="124"/>
      <c r="C851" s="124"/>
      <c r="D851" s="124"/>
      <c r="E851" s="124"/>
      <c r="F851" s="124"/>
      <c r="G851" s="124"/>
      <c r="H851" s="124"/>
      <c r="I851" s="124"/>
      <c r="J851" s="124"/>
      <c r="K851" s="124"/>
      <c r="L851" s="124"/>
      <c r="M851" s="124"/>
      <c r="N851" s="124"/>
      <c r="O851" s="124"/>
      <c r="P851" s="124"/>
      <c r="Q851" s="124"/>
      <c r="R851" s="124"/>
      <c r="S851" s="124"/>
    </row>
    <row r="852" spans="1:19" x14ac:dyDescent="0.25">
      <c r="A852" s="124"/>
      <c r="B852" s="124"/>
      <c r="C852" s="124"/>
      <c r="D852" s="124"/>
      <c r="E852" s="124"/>
      <c r="F852" s="124"/>
      <c r="G852" s="124"/>
      <c r="H852" s="124"/>
      <c r="I852" s="124"/>
      <c r="J852" s="124"/>
      <c r="K852" s="124"/>
      <c r="L852" s="124"/>
      <c r="M852" s="124"/>
      <c r="N852" s="124"/>
      <c r="O852" s="124"/>
      <c r="P852" s="124"/>
      <c r="Q852" s="124"/>
      <c r="R852" s="124"/>
      <c r="S852" s="124"/>
    </row>
    <row r="853" spans="1:19" x14ac:dyDescent="0.25">
      <c r="A853" s="124"/>
      <c r="B853" s="124"/>
      <c r="C853" s="124"/>
      <c r="D853" s="124"/>
      <c r="E853" s="124"/>
      <c r="F853" s="124"/>
      <c r="G853" s="124"/>
      <c r="H853" s="124"/>
      <c r="I853" s="124"/>
      <c r="J853" s="124"/>
      <c r="K853" s="124"/>
      <c r="L853" s="124"/>
      <c r="M853" s="124"/>
      <c r="N853" s="124"/>
      <c r="O853" s="124"/>
      <c r="P853" s="124"/>
      <c r="Q853" s="124"/>
      <c r="R853" s="124"/>
      <c r="S853" s="124"/>
    </row>
    <row r="854" spans="1:19" x14ac:dyDescent="0.25">
      <c r="A854" s="124"/>
      <c r="B854" s="124"/>
      <c r="C854" s="124"/>
      <c r="D854" s="124"/>
      <c r="E854" s="124"/>
      <c r="F854" s="124"/>
      <c r="G854" s="124"/>
      <c r="H854" s="124"/>
      <c r="I854" s="124"/>
      <c r="J854" s="124"/>
      <c r="K854" s="124"/>
      <c r="L854" s="124"/>
      <c r="M854" s="124"/>
      <c r="N854" s="124"/>
      <c r="O854" s="124"/>
      <c r="P854" s="124"/>
      <c r="Q854" s="124"/>
      <c r="R854" s="124"/>
      <c r="S854" s="124"/>
    </row>
    <row r="855" spans="1:19" x14ac:dyDescent="0.25">
      <c r="A855" s="124"/>
      <c r="B855" s="124"/>
      <c r="C855" s="124"/>
      <c r="D855" s="124"/>
      <c r="E855" s="124"/>
      <c r="F855" s="124"/>
      <c r="G855" s="124"/>
      <c r="H855" s="124"/>
      <c r="I855" s="124"/>
      <c r="J855" s="124"/>
      <c r="K855" s="124"/>
      <c r="L855" s="124"/>
      <c r="M855" s="124"/>
      <c r="N855" s="124"/>
      <c r="O855" s="124"/>
      <c r="P855" s="124"/>
      <c r="Q855" s="124"/>
      <c r="R855" s="124"/>
      <c r="S855" s="124"/>
    </row>
    <row r="856" spans="1:19" x14ac:dyDescent="0.25">
      <c r="A856" s="124"/>
      <c r="B856" s="124"/>
      <c r="C856" s="124"/>
      <c r="D856" s="124"/>
      <c r="E856" s="124"/>
      <c r="F856" s="124"/>
      <c r="G856" s="124"/>
      <c r="H856" s="124"/>
      <c r="I856" s="124"/>
      <c r="J856" s="124"/>
      <c r="K856" s="124"/>
      <c r="L856" s="124"/>
      <c r="M856" s="124"/>
      <c r="N856" s="124"/>
      <c r="O856" s="124"/>
      <c r="P856" s="124"/>
      <c r="Q856" s="124"/>
      <c r="R856" s="124"/>
      <c r="S856" s="124"/>
    </row>
    <row r="857" spans="1:19" x14ac:dyDescent="0.25">
      <c r="A857" s="124"/>
      <c r="B857" s="124"/>
      <c r="C857" s="124"/>
      <c r="D857" s="124"/>
      <c r="E857" s="124"/>
      <c r="F857" s="124"/>
      <c r="G857" s="124"/>
      <c r="H857" s="124"/>
      <c r="I857" s="124"/>
      <c r="J857" s="124"/>
      <c r="K857" s="124"/>
      <c r="L857" s="124"/>
      <c r="M857" s="124"/>
      <c r="N857" s="124"/>
      <c r="O857" s="124"/>
      <c r="P857" s="124"/>
      <c r="Q857" s="124"/>
      <c r="R857" s="124"/>
      <c r="S857" s="124"/>
    </row>
    <row r="858" spans="1:19" x14ac:dyDescent="0.25">
      <c r="A858" s="124"/>
      <c r="B858" s="124"/>
      <c r="C858" s="124"/>
      <c r="D858" s="124"/>
      <c r="E858" s="124"/>
      <c r="F858" s="124"/>
      <c r="G858" s="124"/>
      <c r="H858" s="124"/>
      <c r="I858" s="124"/>
      <c r="J858" s="124"/>
      <c r="K858" s="124"/>
      <c r="L858" s="124"/>
      <c r="M858" s="124"/>
      <c r="N858" s="124"/>
      <c r="O858" s="124"/>
      <c r="P858" s="124"/>
      <c r="Q858" s="124"/>
      <c r="R858" s="124"/>
      <c r="S858" s="124"/>
    </row>
    <row r="859" spans="1:19" x14ac:dyDescent="0.25">
      <c r="A859" s="124"/>
      <c r="B859" s="124"/>
      <c r="C859" s="124"/>
      <c r="D859" s="124"/>
      <c r="E859" s="124"/>
      <c r="F859" s="124"/>
      <c r="G859" s="124"/>
      <c r="H859" s="124"/>
      <c r="I859" s="124"/>
      <c r="J859" s="124"/>
      <c r="K859" s="124"/>
      <c r="L859" s="124"/>
      <c r="M859" s="124"/>
      <c r="N859" s="124"/>
      <c r="O859" s="124"/>
      <c r="P859" s="124"/>
      <c r="Q859" s="124"/>
      <c r="R859" s="124"/>
      <c r="S859" s="124"/>
    </row>
    <row r="860" spans="1:19" x14ac:dyDescent="0.25">
      <c r="A860" s="124"/>
      <c r="B860" s="124"/>
      <c r="C860" s="124"/>
      <c r="D860" s="124"/>
      <c r="E860" s="124"/>
      <c r="F860" s="124"/>
      <c r="G860" s="124"/>
      <c r="H860" s="124"/>
      <c r="I860" s="124"/>
      <c r="J860" s="124"/>
      <c r="K860" s="124"/>
      <c r="L860" s="124"/>
      <c r="M860" s="124"/>
      <c r="N860" s="124"/>
      <c r="O860" s="124"/>
      <c r="P860" s="124"/>
      <c r="Q860" s="124"/>
      <c r="R860" s="124"/>
      <c r="S860" s="124"/>
    </row>
    <row r="861" spans="1:19" x14ac:dyDescent="0.25">
      <c r="A861" s="124"/>
      <c r="B861" s="124"/>
      <c r="C861" s="124"/>
      <c r="D861" s="124"/>
      <c r="E861" s="124"/>
      <c r="F861" s="124"/>
      <c r="G861" s="124"/>
      <c r="H861" s="124"/>
      <c r="I861" s="124"/>
      <c r="J861" s="124"/>
      <c r="K861" s="124"/>
      <c r="L861" s="124"/>
      <c r="M861" s="124"/>
      <c r="N861" s="124"/>
      <c r="O861" s="124"/>
      <c r="P861" s="124"/>
      <c r="Q861" s="124"/>
      <c r="R861" s="124"/>
      <c r="S861" s="124"/>
    </row>
    <row r="862" spans="1:19" x14ac:dyDescent="0.25">
      <c r="A862" s="124"/>
      <c r="B862" s="124"/>
      <c r="C862" s="124"/>
      <c r="D862" s="124"/>
      <c r="E862" s="124"/>
      <c r="F862" s="124"/>
      <c r="G862" s="124"/>
      <c r="H862" s="124"/>
      <c r="I862" s="124"/>
      <c r="J862" s="124"/>
      <c r="K862" s="124"/>
      <c r="L862" s="124"/>
      <c r="M862" s="124"/>
      <c r="N862" s="124"/>
      <c r="O862" s="124"/>
      <c r="P862" s="124"/>
      <c r="Q862" s="124"/>
      <c r="R862" s="124"/>
      <c r="S862" s="124"/>
    </row>
    <row r="863" spans="1:19" x14ac:dyDescent="0.25">
      <c r="A863" s="124"/>
      <c r="B863" s="124"/>
      <c r="C863" s="124"/>
      <c r="D863" s="124"/>
      <c r="E863" s="124"/>
      <c r="F863" s="124"/>
      <c r="G863" s="124"/>
      <c r="H863" s="124"/>
      <c r="I863" s="124"/>
      <c r="J863" s="124"/>
      <c r="K863" s="124"/>
      <c r="L863" s="124"/>
      <c r="M863" s="124"/>
      <c r="N863" s="124"/>
      <c r="O863" s="124"/>
      <c r="P863" s="124"/>
      <c r="Q863" s="124"/>
      <c r="R863" s="124"/>
      <c r="S863" s="124"/>
    </row>
    <row r="864" spans="1:19" x14ac:dyDescent="0.25">
      <c r="A864" s="124"/>
      <c r="B864" s="124"/>
      <c r="C864" s="124"/>
      <c r="D864" s="124"/>
      <c r="E864" s="124"/>
      <c r="F864" s="124"/>
      <c r="G864" s="124"/>
      <c r="H864" s="124"/>
      <c r="I864" s="124"/>
      <c r="J864" s="124"/>
      <c r="K864" s="124"/>
      <c r="L864" s="124"/>
      <c r="M864" s="124"/>
      <c r="N864" s="124"/>
      <c r="O864" s="124"/>
      <c r="P864" s="124"/>
      <c r="Q864" s="124"/>
      <c r="R864" s="124"/>
      <c r="S864" s="124"/>
    </row>
    <row r="865" spans="1:19" x14ac:dyDescent="0.25">
      <c r="A865" s="124"/>
      <c r="B865" s="124"/>
      <c r="C865" s="124"/>
      <c r="D865" s="124"/>
      <c r="E865" s="124"/>
      <c r="F865" s="124"/>
      <c r="G865" s="124"/>
      <c r="H865" s="124"/>
      <c r="I865" s="124"/>
      <c r="J865" s="124"/>
      <c r="K865" s="124"/>
      <c r="L865" s="124"/>
      <c r="M865" s="124"/>
      <c r="N865" s="124"/>
      <c r="O865" s="124"/>
      <c r="P865" s="124"/>
      <c r="Q865" s="124"/>
      <c r="R865" s="124"/>
      <c r="S865" s="124"/>
    </row>
    <row r="866" spans="1:19" x14ac:dyDescent="0.25">
      <c r="A866" s="124"/>
      <c r="B866" s="124"/>
      <c r="C866" s="124"/>
      <c r="D866" s="124"/>
      <c r="E866" s="124"/>
      <c r="F866" s="124"/>
      <c r="G866" s="124"/>
      <c r="H866" s="124"/>
      <c r="I866" s="124"/>
      <c r="J866" s="124"/>
      <c r="K866" s="124"/>
      <c r="L866" s="124"/>
      <c r="M866" s="124"/>
      <c r="N866" s="124"/>
      <c r="O866" s="124"/>
      <c r="P866" s="124"/>
      <c r="Q866" s="124"/>
      <c r="R866" s="124"/>
      <c r="S866" s="124"/>
    </row>
    <row r="867" spans="1:19" x14ac:dyDescent="0.25">
      <c r="A867" s="124"/>
      <c r="B867" s="124"/>
      <c r="C867" s="124"/>
      <c r="D867" s="124"/>
      <c r="E867" s="124"/>
      <c r="F867" s="124"/>
      <c r="G867" s="124"/>
      <c r="H867" s="124"/>
      <c r="I867" s="124"/>
      <c r="J867" s="124"/>
      <c r="K867" s="124"/>
      <c r="L867" s="124"/>
      <c r="M867" s="124"/>
      <c r="N867" s="124"/>
      <c r="O867" s="124"/>
      <c r="P867" s="124"/>
      <c r="Q867" s="124"/>
      <c r="R867" s="124"/>
      <c r="S867" s="124"/>
    </row>
    <row r="868" spans="1:19" x14ac:dyDescent="0.25">
      <c r="A868" s="124"/>
      <c r="B868" s="124"/>
      <c r="C868" s="124"/>
      <c r="D868" s="124"/>
      <c r="E868" s="124"/>
      <c r="F868" s="124"/>
      <c r="G868" s="124"/>
      <c r="H868" s="124"/>
      <c r="I868" s="124"/>
      <c r="J868" s="124"/>
      <c r="K868" s="124"/>
      <c r="L868" s="124"/>
      <c r="M868" s="124"/>
      <c r="N868" s="124"/>
      <c r="O868" s="124"/>
      <c r="P868" s="124"/>
      <c r="Q868" s="124"/>
      <c r="R868" s="124"/>
      <c r="S868" s="124"/>
    </row>
    <row r="869" spans="1:19" x14ac:dyDescent="0.25">
      <c r="A869" s="124"/>
      <c r="B869" s="124"/>
      <c r="C869" s="124"/>
      <c r="D869" s="124"/>
      <c r="E869" s="124"/>
      <c r="F869" s="124"/>
      <c r="G869" s="124"/>
      <c r="H869" s="124"/>
      <c r="I869" s="124"/>
      <c r="J869" s="124"/>
      <c r="K869" s="124"/>
      <c r="L869" s="124"/>
      <c r="M869" s="124"/>
      <c r="N869" s="124"/>
      <c r="O869" s="124"/>
      <c r="P869" s="124"/>
      <c r="Q869" s="124"/>
      <c r="R869" s="124"/>
      <c r="S869" s="124"/>
    </row>
    <row r="870" spans="1:19" x14ac:dyDescent="0.25">
      <c r="A870" s="124"/>
      <c r="B870" s="124"/>
      <c r="C870" s="124"/>
      <c r="D870" s="124"/>
      <c r="E870" s="124"/>
      <c r="F870" s="124"/>
      <c r="G870" s="124"/>
      <c r="H870" s="124"/>
      <c r="I870" s="124"/>
      <c r="J870" s="124"/>
      <c r="K870" s="124"/>
      <c r="L870" s="124"/>
      <c r="M870" s="124"/>
      <c r="N870" s="124"/>
      <c r="O870" s="124"/>
      <c r="P870" s="124"/>
      <c r="Q870" s="124"/>
      <c r="R870" s="124"/>
      <c r="S870" s="124"/>
    </row>
    <row r="871" spans="1:19" x14ac:dyDescent="0.25">
      <c r="A871" s="124"/>
      <c r="B871" s="124"/>
      <c r="C871" s="124"/>
      <c r="D871" s="124"/>
      <c r="E871" s="124"/>
      <c r="F871" s="124"/>
      <c r="G871" s="124"/>
      <c r="H871" s="124"/>
      <c r="I871" s="124"/>
      <c r="J871" s="124"/>
      <c r="K871" s="124"/>
      <c r="L871" s="124"/>
      <c r="M871" s="124"/>
      <c r="N871" s="124"/>
      <c r="O871" s="124"/>
      <c r="P871" s="124"/>
      <c r="Q871" s="124"/>
      <c r="R871" s="124"/>
      <c r="S871" s="124"/>
    </row>
    <row r="872" spans="1:19" x14ac:dyDescent="0.25">
      <c r="A872" s="124"/>
      <c r="B872" s="124"/>
      <c r="C872" s="124"/>
      <c r="D872" s="124"/>
      <c r="E872" s="124"/>
      <c r="F872" s="124"/>
      <c r="G872" s="124"/>
      <c r="H872" s="124"/>
      <c r="I872" s="124"/>
      <c r="J872" s="124"/>
      <c r="K872" s="124"/>
      <c r="L872" s="124"/>
      <c r="M872" s="124"/>
      <c r="N872" s="124"/>
      <c r="O872" s="124"/>
      <c r="P872" s="124"/>
      <c r="Q872" s="124"/>
      <c r="R872" s="124"/>
      <c r="S872" s="124"/>
    </row>
    <row r="873" spans="1:19" x14ac:dyDescent="0.25">
      <c r="A873" s="124"/>
      <c r="B873" s="124"/>
      <c r="C873" s="124"/>
      <c r="D873" s="124"/>
      <c r="E873" s="124"/>
      <c r="F873" s="124"/>
      <c r="G873" s="124"/>
      <c r="H873" s="124"/>
      <c r="I873" s="124"/>
      <c r="J873" s="124"/>
      <c r="K873" s="124"/>
      <c r="L873" s="124"/>
      <c r="M873" s="124"/>
      <c r="N873" s="124"/>
      <c r="O873" s="124"/>
      <c r="P873" s="124"/>
      <c r="Q873" s="124"/>
      <c r="R873" s="124"/>
      <c r="S873" s="124"/>
    </row>
    <row r="874" spans="1:19" x14ac:dyDescent="0.25">
      <c r="A874" s="124"/>
      <c r="B874" s="124"/>
      <c r="C874" s="124"/>
      <c r="D874" s="124"/>
      <c r="E874" s="124"/>
      <c r="F874" s="124"/>
      <c r="G874" s="124"/>
      <c r="H874" s="124"/>
      <c r="I874" s="124"/>
      <c r="J874" s="124"/>
      <c r="K874" s="124"/>
      <c r="L874" s="124"/>
      <c r="M874" s="124"/>
      <c r="N874" s="124"/>
      <c r="O874" s="124"/>
      <c r="P874" s="124"/>
      <c r="Q874" s="124"/>
      <c r="R874" s="124"/>
      <c r="S874" s="124"/>
    </row>
    <row r="875" spans="1:19" x14ac:dyDescent="0.25">
      <c r="A875" s="124"/>
      <c r="B875" s="124"/>
      <c r="C875" s="124"/>
      <c r="D875" s="124"/>
      <c r="E875" s="124"/>
      <c r="F875" s="124"/>
      <c r="G875" s="124"/>
      <c r="H875" s="124"/>
      <c r="I875" s="124"/>
      <c r="J875" s="124"/>
      <c r="K875" s="124"/>
      <c r="L875" s="124"/>
      <c r="M875" s="124"/>
      <c r="N875" s="124"/>
      <c r="O875" s="124"/>
      <c r="P875" s="124"/>
      <c r="Q875" s="124"/>
      <c r="R875" s="124"/>
      <c r="S875" s="124"/>
    </row>
    <row r="876" spans="1:19" x14ac:dyDescent="0.25">
      <c r="A876" s="124"/>
      <c r="B876" s="124"/>
      <c r="C876" s="124"/>
      <c r="D876" s="124"/>
      <c r="E876" s="124"/>
      <c r="F876" s="124"/>
      <c r="G876" s="124"/>
      <c r="H876" s="124"/>
      <c r="I876" s="124"/>
      <c r="J876" s="124"/>
      <c r="K876" s="124"/>
      <c r="L876" s="124"/>
      <c r="M876" s="124"/>
      <c r="N876" s="124"/>
      <c r="O876" s="124"/>
      <c r="P876" s="124"/>
      <c r="Q876" s="124"/>
      <c r="R876" s="124"/>
      <c r="S876" s="124"/>
    </row>
    <row r="877" spans="1:19" x14ac:dyDescent="0.25">
      <c r="A877" s="124"/>
      <c r="B877" s="124"/>
      <c r="C877" s="124"/>
      <c r="D877" s="124"/>
      <c r="E877" s="124"/>
      <c r="F877" s="124"/>
      <c r="G877" s="124"/>
      <c r="H877" s="124"/>
      <c r="I877" s="124"/>
      <c r="J877" s="124"/>
      <c r="K877" s="124"/>
      <c r="L877" s="124"/>
      <c r="M877" s="124"/>
      <c r="N877" s="124"/>
      <c r="O877" s="124"/>
      <c r="P877" s="124"/>
      <c r="Q877" s="124"/>
      <c r="R877" s="124"/>
      <c r="S877" s="124"/>
    </row>
    <row r="878" spans="1:19" x14ac:dyDescent="0.25">
      <c r="A878" s="124"/>
      <c r="B878" s="124"/>
      <c r="C878" s="124"/>
      <c r="D878" s="124"/>
      <c r="E878" s="124"/>
      <c r="F878" s="124"/>
      <c r="G878" s="124"/>
      <c r="H878" s="124"/>
      <c r="I878" s="124"/>
      <c r="J878" s="124"/>
      <c r="K878" s="124"/>
      <c r="L878" s="124"/>
      <c r="M878" s="124"/>
      <c r="N878" s="124"/>
      <c r="O878" s="124"/>
      <c r="P878" s="124"/>
      <c r="Q878" s="124"/>
      <c r="R878" s="124"/>
      <c r="S878" s="124"/>
    </row>
    <row r="879" spans="1:19" x14ac:dyDescent="0.25">
      <c r="A879" s="124"/>
      <c r="B879" s="124"/>
      <c r="C879" s="124"/>
      <c r="D879" s="124"/>
      <c r="E879" s="124"/>
      <c r="F879" s="124"/>
      <c r="G879" s="124"/>
      <c r="H879" s="124"/>
      <c r="I879" s="124"/>
      <c r="J879" s="124"/>
      <c r="K879" s="124"/>
      <c r="L879" s="124"/>
      <c r="M879" s="124"/>
      <c r="N879" s="124"/>
      <c r="O879" s="124"/>
      <c r="P879" s="124"/>
      <c r="Q879" s="124"/>
      <c r="R879" s="124"/>
      <c r="S879" s="124"/>
    </row>
    <row r="880" spans="1:19" x14ac:dyDescent="0.25">
      <c r="A880" s="124"/>
      <c r="B880" s="124"/>
      <c r="C880" s="124"/>
      <c r="D880" s="124"/>
      <c r="E880" s="124"/>
      <c r="F880" s="124"/>
      <c r="G880" s="124"/>
      <c r="H880" s="124"/>
      <c r="I880" s="124"/>
      <c r="J880" s="124"/>
      <c r="K880" s="124"/>
      <c r="L880" s="124"/>
      <c r="M880" s="124"/>
      <c r="N880" s="124"/>
      <c r="O880" s="124"/>
      <c r="P880" s="124"/>
      <c r="Q880" s="124"/>
      <c r="R880" s="124"/>
      <c r="S880" s="124"/>
    </row>
    <row r="881" spans="1:19" x14ac:dyDescent="0.25">
      <c r="A881" s="124"/>
      <c r="B881" s="124"/>
      <c r="C881" s="124"/>
      <c r="D881" s="124"/>
      <c r="E881" s="124"/>
      <c r="F881" s="124"/>
      <c r="G881" s="124"/>
      <c r="H881" s="124"/>
      <c r="I881" s="124"/>
      <c r="J881" s="124"/>
      <c r="K881" s="124"/>
      <c r="L881" s="124"/>
      <c r="M881" s="124"/>
      <c r="N881" s="124"/>
      <c r="O881" s="124"/>
      <c r="P881" s="124"/>
      <c r="Q881" s="124"/>
      <c r="R881" s="124"/>
      <c r="S881" s="124"/>
    </row>
    <row r="882" spans="1:19" x14ac:dyDescent="0.25">
      <c r="A882" s="124"/>
      <c r="B882" s="124"/>
      <c r="C882" s="124"/>
      <c r="D882" s="124"/>
      <c r="E882" s="124"/>
      <c r="F882" s="124"/>
      <c r="G882" s="124"/>
      <c r="H882" s="124"/>
      <c r="I882" s="124"/>
      <c r="J882" s="124"/>
      <c r="K882" s="124"/>
      <c r="L882" s="124"/>
      <c r="M882" s="124"/>
      <c r="N882" s="124"/>
      <c r="O882" s="124"/>
      <c r="P882" s="124"/>
      <c r="Q882" s="124"/>
      <c r="R882" s="124"/>
      <c r="S882" s="124"/>
    </row>
    <row r="883" spans="1:19" x14ac:dyDescent="0.25">
      <c r="A883" s="124"/>
      <c r="B883" s="124"/>
      <c r="C883" s="124"/>
      <c r="D883" s="124"/>
      <c r="E883" s="124"/>
      <c r="F883" s="124"/>
      <c r="G883" s="124"/>
      <c r="H883" s="124"/>
      <c r="I883" s="124"/>
      <c r="J883" s="124"/>
      <c r="K883" s="124"/>
      <c r="L883" s="124"/>
      <c r="M883" s="124"/>
      <c r="N883" s="124"/>
      <c r="O883" s="124"/>
      <c r="P883" s="124"/>
      <c r="Q883" s="124"/>
      <c r="R883" s="124"/>
      <c r="S883" s="124"/>
    </row>
    <row r="884" spans="1:19" x14ac:dyDescent="0.25">
      <c r="A884" s="124"/>
      <c r="B884" s="124"/>
      <c r="C884" s="124"/>
      <c r="D884" s="124"/>
      <c r="E884" s="124"/>
      <c r="F884" s="124"/>
      <c r="G884" s="124"/>
      <c r="H884" s="124"/>
      <c r="I884" s="124"/>
      <c r="J884" s="124"/>
      <c r="K884" s="124"/>
      <c r="L884" s="124"/>
      <c r="M884" s="124"/>
      <c r="N884" s="124"/>
      <c r="O884" s="124"/>
      <c r="P884" s="124"/>
      <c r="Q884" s="124"/>
      <c r="R884" s="124"/>
      <c r="S884" s="124"/>
    </row>
    <row r="885" spans="1:19" x14ac:dyDescent="0.25">
      <c r="A885" s="124"/>
      <c r="B885" s="124"/>
      <c r="C885" s="124"/>
      <c r="D885" s="124"/>
      <c r="E885" s="124"/>
      <c r="F885" s="124"/>
      <c r="G885" s="124"/>
      <c r="H885" s="124"/>
      <c r="I885" s="124"/>
      <c r="J885" s="124"/>
      <c r="K885" s="124"/>
      <c r="L885" s="124"/>
      <c r="M885" s="124"/>
      <c r="N885" s="124"/>
      <c r="O885" s="124"/>
      <c r="P885" s="124"/>
      <c r="Q885" s="124"/>
      <c r="R885" s="124"/>
      <c r="S885" s="124"/>
    </row>
    <row r="886" spans="1:19" x14ac:dyDescent="0.25">
      <c r="A886" s="124"/>
      <c r="B886" s="124"/>
      <c r="C886" s="124"/>
      <c r="D886" s="124"/>
      <c r="E886" s="124"/>
      <c r="F886" s="124"/>
      <c r="G886" s="124"/>
      <c r="H886" s="124"/>
      <c r="I886" s="124"/>
      <c r="J886" s="124"/>
      <c r="K886" s="124"/>
      <c r="L886" s="124"/>
      <c r="M886" s="124"/>
      <c r="N886" s="124"/>
      <c r="O886" s="124"/>
      <c r="P886" s="124"/>
      <c r="Q886" s="124"/>
      <c r="R886" s="124"/>
      <c r="S886" s="124"/>
    </row>
    <row r="887" spans="1:19" x14ac:dyDescent="0.25">
      <c r="A887" s="124"/>
      <c r="B887" s="124"/>
      <c r="C887" s="124"/>
      <c r="D887" s="124"/>
      <c r="E887" s="124"/>
      <c r="F887" s="124"/>
      <c r="G887" s="124"/>
      <c r="H887" s="124"/>
      <c r="I887" s="124"/>
      <c r="J887" s="124"/>
      <c r="K887" s="124"/>
      <c r="L887" s="124"/>
      <c r="M887" s="124"/>
      <c r="N887" s="124"/>
      <c r="O887" s="124"/>
      <c r="P887" s="124"/>
      <c r="Q887" s="124"/>
      <c r="R887" s="124"/>
      <c r="S887" s="124"/>
    </row>
    <row r="888" spans="1:19" x14ac:dyDescent="0.25">
      <c r="A888" s="124"/>
      <c r="B888" s="124"/>
      <c r="C888" s="124"/>
      <c r="D888" s="124"/>
      <c r="E888" s="124"/>
      <c r="F888" s="124"/>
      <c r="G888" s="124"/>
      <c r="H888" s="124"/>
      <c r="I888" s="124"/>
      <c r="J888" s="124"/>
      <c r="K888" s="124"/>
      <c r="L888" s="124"/>
      <c r="M888" s="124"/>
      <c r="N888" s="124"/>
      <c r="O888" s="124"/>
      <c r="P888" s="124"/>
      <c r="Q888" s="124"/>
      <c r="R888" s="124"/>
      <c r="S888" s="124"/>
    </row>
    <row r="889" spans="1:19" x14ac:dyDescent="0.25">
      <c r="A889" s="124"/>
      <c r="B889" s="124"/>
      <c r="C889" s="124"/>
      <c r="D889" s="124"/>
      <c r="E889" s="124"/>
      <c r="F889" s="124"/>
      <c r="G889" s="124"/>
      <c r="H889" s="124"/>
      <c r="I889" s="124"/>
      <c r="J889" s="124"/>
      <c r="K889" s="124"/>
      <c r="L889" s="124"/>
      <c r="M889" s="124"/>
      <c r="N889" s="124"/>
      <c r="O889" s="124"/>
      <c r="P889" s="124"/>
      <c r="Q889" s="124"/>
      <c r="R889" s="124"/>
      <c r="S889" s="124"/>
    </row>
    <row r="890" spans="1:19" x14ac:dyDescent="0.25">
      <c r="A890" s="124"/>
      <c r="B890" s="124"/>
      <c r="C890" s="124"/>
      <c r="D890" s="124"/>
      <c r="E890" s="124"/>
      <c r="F890" s="124"/>
      <c r="G890" s="124"/>
      <c r="H890" s="124"/>
      <c r="I890" s="124"/>
      <c r="J890" s="124"/>
      <c r="K890" s="124"/>
      <c r="L890" s="124"/>
      <c r="M890" s="124"/>
      <c r="N890" s="124"/>
      <c r="O890" s="124"/>
      <c r="P890" s="124"/>
      <c r="Q890" s="124"/>
      <c r="R890" s="124"/>
      <c r="S890" s="124"/>
    </row>
    <row r="891" spans="1:19" x14ac:dyDescent="0.25">
      <c r="A891" s="124"/>
      <c r="B891" s="124"/>
      <c r="C891" s="124"/>
      <c r="D891" s="124"/>
      <c r="E891" s="124"/>
      <c r="F891" s="124"/>
      <c r="G891" s="124"/>
      <c r="H891" s="124"/>
      <c r="I891" s="124"/>
      <c r="J891" s="124"/>
      <c r="K891" s="124"/>
      <c r="L891" s="124"/>
      <c r="M891" s="124"/>
      <c r="N891" s="124"/>
      <c r="O891" s="124"/>
      <c r="P891" s="124"/>
      <c r="Q891" s="124"/>
      <c r="R891" s="124"/>
      <c r="S891" s="124"/>
    </row>
    <row r="892" spans="1:19" x14ac:dyDescent="0.25">
      <c r="A892" s="124"/>
      <c r="B892" s="124"/>
      <c r="C892" s="124"/>
      <c r="D892" s="124"/>
      <c r="E892" s="124"/>
      <c r="F892" s="124"/>
      <c r="G892" s="124"/>
      <c r="H892" s="124"/>
      <c r="I892" s="124"/>
      <c r="J892" s="124"/>
      <c r="K892" s="124"/>
      <c r="L892" s="124"/>
      <c r="M892" s="124"/>
      <c r="N892" s="124"/>
      <c r="O892" s="124"/>
      <c r="P892" s="124"/>
      <c r="Q892" s="124"/>
      <c r="R892" s="124"/>
      <c r="S892" s="124"/>
    </row>
    <row r="893" spans="1:19" x14ac:dyDescent="0.25">
      <c r="A893" s="124"/>
      <c r="B893" s="124"/>
      <c r="C893" s="124"/>
      <c r="D893" s="124"/>
      <c r="E893" s="124"/>
      <c r="F893" s="124"/>
      <c r="G893" s="124"/>
      <c r="H893" s="124"/>
      <c r="I893" s="124"/>
      <c r="J893" s="124"/>
      <c r="K893" s="124"/>
      <c r="L893" s="124"/>
      <c r="M893" s="124"/>
      <c r="N893" s="124"/>
      <c r="O893" s="124"/>
      <c r="P893" s="124"/>
      <c r="Q893" s="124"/>
      <c r="R893" s="124"/>
      <c r="S893" s="124"/>
    </row>
    <row r="894" spans="1:19" x14ac:dyDescent="0.25">
      <c r="A894" s="124"/>
      <c r="B894" s="124"/>
      <c r="C894" s="124"/>
      <c r="D894" s="124"/>
      <c r="E894" s="124"/>
      <c r="F894" s="124"/>
      <c r="G894" s="124"/>
      <c r="H894" s="124"/>
      <c r="I894" s="124"/>
      <c r="J894" s="124"/>
      <c r="K894" s="124"/>
      <c r="L894" s="124"/>
      <c r="M894" s="124"/>
      <c r="N894" s="124"/>
      <c r="O894" s="124"/>
      <c r="P894" s="124"/>
      <c r="Q894" s="124"/>
      <c r="R894" s="124"/>
      <c r="S894" s="124"/>
    </row>
    <row r="895" spans="1:19" x14ac:dyDescent="0.25">
      <c r="A895" s="124"/>
      <c r="B895" s="124"/>
      <c r="C895" s="124"/>
      <c r="D895" s="124"/>
      <c r="E895" s="124"/>
      <c r="F895" s="124"/>
      <c r="G895" s="124"/>
      <c r="H895" s="124"/>
      <c r="I895" s="124"/>
      <c r="J895" s="124"/>
      <c r="K895" s="124"/>
      <c r="L895" s="124"/>
      <c r="M895" s="124"/>
      <c r="N895" s="124"/>
      <c r="O895" s="124"/>
      <c r="P895" s="124"/>
      <c r="Q895" s="124"/>
      <c r="R895" s="124"/>
      <c r="S895" s="124"/>
    </row>
    <row r="896" spans="1:19" x14ac:dyDescent="0.25">
      <c r="A896" s="124"/>
      <c r="B896" s="124"/>
      <c r="C896" s="124"/>
      <c r="D896" s="124"/>
      <c r="E896" s="124"/>
      <c r="F896" s="124"/>
      <c r="G896" s="124"/>
      <c r="H896" s="124"/>
      <c r="I896" s="124"/>
      <c r="J896" s="124"/>
      <c r="K896" s="124"/>
      <c r="L896" s="124"/>
      <c r="M896" s="124"/>
      <c r="N896" s="124"/>
      <c r="O896" s="124"/>
      <c r="P896" s="124"/>
      <c r="Q896" s="124"/>
      <c r="R896" s="124"/>
      <c r="S896" s="124"/>
    </row>
    <row r="897" spans="1:19" x14ac:dyDescent="0.25">
      <c r="A897" s="124"/>
      <c r="B897" s="124"/>
      <c r="C897" s="124"/>
      <c r="D897" s="124"/>
      <c r="E897" s="124"/>
      <c r="F897" s="124"/>
      <c r="G897" s="124"/>
      <c r="H897" s="124"/>
      <c r="I897" s="124"/>
      <c r="J897" s="124"/>
      <c r="K897" s="124"/>
      <c r="L897" s="124"/>
      <c r="M897" s="124"/>
      <c r="N897" s="124"/>
      <c r="O897" s="124"/>
      <c r="P897" s="124"/>
      <c r="Q897" s="124"/>
      <c r="R897" s="124"/>
      <c r="S897" s="124"/>
    </row>
    <row r="898" spans="1:19" x14ac:dyDescent="0.25">
      <c r="A898" s="124"/>
      <c r="B898" s="124"/>
      <c r="C898" s="124"/>
      <c r="D898" s="124"/>
      <c r="E898" s="124"/>
      <c r="F898" s="124"/>
      <c r="G898" s="124"/>
      <c r="H898" s="124"/>
      <c r="I898" s="124"/>
      <c r="J898" s="124"/>
      <c r="K898" s="124"/>
      <c r="L898" s="124"/>
      <c r="M898" s="124"/>
      <c r="N898" s="124"/>
      <c r="O898" s="124"/>
      <c r="P898" s="124"/>
      <c r="Q898" s="124"/>
      <c r="R898" s="124"/>
      <c r="S898" s="124"/>
    </row>
    <row r="899" spans="1:19" x14ac:dyDescent="0.25">
      <c r="A899" s="124"/>
      <c r="B899" s="124"/>
      <c r="C899" s="124"/>
      <c r="D899" s="124"/>
      <c r="E899" s="124"/>
      <c r="F899" s="124"/>
      <c r="G899" s="124"/>
      <c r="H899" s="124"/>
      <c r="I899" s="124"/>
      <c r="J899" s="124"/>
      <c r="K899" s="124"/>
      <c r="L899" s="124"/>
      <c r="M899" s="124"/>
      <c r="N899" s="124"/>
      <c r="O899" s="124"/>
      <c r="P899" s="124"/>
      <c r="Q899" s="124"/>
      <c r="R899" s="124"/>
      <c r="S899" s="124"/>
    </row>
    <row r="900" spans="1:19" x14ac:dyDescent="0.25">
      <c r="A900" s="124"/>
      <c r="B900" s="124"/>
      <c r="C900" s="124"/>
      <c r="D900" s="124"/>
      <c r="E900" s="124"/>
      <c r="F900" s="124"/>
      <c r="G900" s="124"/>
      <c r="H900" s="124"/>
      <c r="I900" s="124"/>
      <c r="J900" s="124"/>
      <c r="K900" s="124"/>
      <c r="L900" s="124"/>
      <c r="M900" s="124"/>
      <c r="N900" s="124"/>
      <c r="O900" s="124"/>
      <c r="P900" s="124"/>
      <c r="Q900" s="124"/>
      <c r="R900" s="124"/>
      <c r="S900" s="124"/>
    </row>
    <row r="901" spans="1:19" x14ac:dyDescent="0.25">
      <c r="A901" s="124"/>
      <c r="B901" s="124"/>
      <c r="C901" s="124"/>
      <c r="D901" s="124"/>
      <c r="E901" s="124"/>
      <c r="F901" s="124"/>
      <c r="G901" s="124"/>
      <c r="H901" s="124"/>
      <c r="I901" s="124"/>
      <c r="J901" s="124"/>
      <c r="K901" s="124"/>
      <c r="L901" s="124"/>
      <c r="M901" s="124"/>
      <c r="N901" s="124"/>
      <c r="O901" s="124"/>
      <c r="P901" s="124"/>
      <c r="Q901" s="124"/>
      <c r="R901" s="124"/>
      <c r="S901" s="124"/>
    </row>
    <row r="902" spans="1:19" x14ac:dyDescent="0.25">
      <c r="A902" s="124"/>
      <c r="B902" s="124"/>
      <c r="C902" s="124"/>
      <c r="D902" s="124"/>
      <c r="E902" s="124"/>
      <c r="F902" s="124"/>
      <c r="G902" s="124"/>
      <c r="H902" s="124"/>
      <c r="I902" s="124"/>
      <c r="J902" s="124"/>
      <c r="K902" s="124"/>
      <c r="L902" s="124"/>
      <c r="M902" s="124"/>
      <c r="N902" s="124"/>
      <c r="O902" s="124"/>
      <c r="P902" s="124"/>
      <c r="Q902" s="124"/>
      <c r="R902" s="124"/>
      <c r="S902" s="124"/>
    </row>
    <row r="903" spans="1:19" x14ac:dyDescent="0.25">
      <c r="A903" s="124"/>
      <c r="B903" s="124"/>
      <c r="C903" s="124"/>
      <c r="D903" s="124"/>
      <c r="E903" s="124"/>
      <c r="F903" s="124"/>
      <c r="G903" s="124"/>
      <c r="H903" s="124"/>
      <c r="I903" s="124"/>
      <c r="J903" s="124"/>
      <c r="K903" s="124"/>
      <c r="L903" s="124"/>
      <c r="M903" s="124"/>
      <c r="N903" s="124"/>
      <c r="O903" s="124"/>
      <c r="P903" s="124"/>
      <c r="Q903" s="124"/>
      <c r="R903" s="124"/>
      <c r="S903" s="124"/>
    </row>
    <row r="904" spans="1:19" x14ac:dyDescent="0.25">
      <c r="A904" s="124"/>
      <c r="B904" s="124"/>
      <c r="C904" s="124"/>
      <c r="D904" s="124"/>
      <c r="E904" s="124"/>
      <c r="F904" s="124"/>
      <c r="G904" s="124"/>
      <c r="H904" s="124"/>
      <c r="I904" s="124"/>
      <c r="J904" s="124"/>
      <c r="K904" s="124"/>
      <c r="L904" s="124"/>
      <c r="M904" s="124"/>
      <c r="N904" s="124"/>
      <c r="O904" s="124"/>
      <c r="P904" s="124"/>
      <c r="Q904" s="124"/>
      <c r="R904" s="124"/>
      <c r="S904" s="124"/>
    </row>
    <row r="905" spans="1:19" x14ac:dyDescent="0.25">
      <c r="A905" s="124"/>
      <c r="B905" s="124"/>
      <c r="C905" s="124"/>
      <c r="D905" s="124"/>
      <c r="E905" s="124"/>
      <c r="F905" s="124"/>
      <c r="G905" s="124"/>
      <c r="H905" s="124"/>
      <c r="I905" s="124"/>
      <c r="J905" s="124"/>
      <c r="K905" s="124"/>
      <c r="L905" s="124"/>
      <c r="M905" s="124"/>
      <c r="N905" s="124"/>
      <c r="O905" s="124"/>
      <c r="P905" s="124"/>
      <c r="Q905" s="124"/>
      <c r="R905" s="124"/>
      <c r="S905" s="124"/>
    </row>
    <row r="906" spans="1:19" x14ac:dyDescent="0.25">
      <c r="A906" s="124"/>
      <c r="B906" s="124"/>
      <c r="C906" s="124"/>
      <c r="D906" s="124"/>
      <c r="E906" s="124"/>
      <c r="F906" s="124"/>
      <c r="G906" s="124"/>
      <c r="H906" s="124"/>
      <c r="I906" s="124"/>
      <c r="J906" s="124"/>
      <c r="K906" s="124"/>
      <c r="L906" s="124"/>
      <c r="M906" s="124"/>
      <c r="N906" s="124"/>
      <c r="O906" s="124"/>
      <c r="P906" s="124"/>
      <c r="Q906" s="124"/>
      <c r="R906" s="124"/>
      <c r="S906" s="124"/>
    </row>
    <row r="907" spans="1:19" x14ac:dyDescent="0.25">
      <c r="A907" s="124"/>
      <c r="B907" s="124"/>
      <c r="C907" s="124"/>
      <c r="D907" s="124"/>
      <c r="E907" s="124"/>
      <c r="F907" s="124"/>
      <c r="G907" s="124"/>
      <c r="H907" s="124"/>
      <c r="I907" s="124"/>
      <c r="J907" s="124"/>
      <c r="K907" s="124"/>
      <c r="L907" s="124"/>
      <c r="M907" s="124"/>
      <c r="N907" s="124"/>
      <c r="O907" s="124"/>
      <c r="P907" s="124"/>
      <c r="Q907" s="124"/>
      <c r="R907" s="124"/>
      <c r="S907" s="124"/>
    </row>
    <row r="908" spans="1:19" x14ac:dyDescent="0.25">
      <c r="A908" s="124"/>
      <c r="B908" s="124"/>
      <c r="C908" s="124"/>
      <c r="D908" s="124"/>
      <c r="E908" s="124"/>
      <c r="F908" s="124"/>
      <c r="G908" s="124"/>
      <c r="H908" s="124"/>
      <c r="I908" s="124"/>
      <c r="J908" s="124"/>
      <c r="K908" s="124"/>
      <c r="L908" s="124"/>
      <c r="M908" s="124"/>
      <c r="N908" s="124"/>
      <c r="O908" s="124"/>
      <c r="P908" s="124"/>
      <c r="Q908" s="124"/>
      <c r="R908" s="124"/>
      <c r="S908" s="124"/>
    </row>
    <row r="909" spans="1:19" x14ac:dyDescent="0.25">
      <c r="A909" s="124"/>
      <c r="B909" s="124"/>
      <c r="C909" s="124"/>
      <c r="D909" s="124"/>
      <c r="E909" s="124"/>
      <c r="F909" s="124"/>
      <c r="G909" s="124"/>
      <c r="H909" s="124"/>
      <c r="I909" s="124"/>
      <c r="J909" s="124"/>
      <c r="K909" s="124"/>
      <c r="L909" s="124"/>
      <c r="M909" s="124"/>
      <c r="N909" s="124"/>
      <c r="O909" s="124"/>
      <c r="P909" s="124"/>
      <c r="Q909" s="124"/>
      <c r="R909" s="124"/>
      <c r="S909" s="124"/>
    </row>
    <row r="910" spans="1:19" x14ac:dyDescent="0.25">
      <c r="A910" s="124"/>
      <c r="B910" s="124"/>
      <c r="C910" s="124"/>
      <c r="D910" s="124"/>
      <c r="E910" s="124"/>
      <c r="F910" s="124"/>
      <c r="G910" s="124"/>
      <c r="H910" s="124"/>
      <c r="I910" s="124"/>
      <c r="J910" s="124"/>
      <c r="K910" s="124"/>
      <c r="L910" s="124"/>
      <c r="M910" s="124"/>
      <c r="N910" s="124"/>
      <c r="O910" s="124"/>
      <c r="P910" s="124"/>
      <c r="Q910" s="124"/>
      <c r="R910" s="124"/>
      <c r="S910" s="124"/>
    </row>
    <row r="911" spans="1:19" x14ac:dyDescent="0.25">
      <c r="A911" s="124"/>
      <c r="B911" s="124"/>
      <c r="C911" s="124"/>
      <c r="D911" s="124"/>
      <c r="E911" s="124"/>
      <c r="F911" s="124"/>
      <c r="G911" s="124"/>
      <c r="H911" s="124"/>
      <c r="I911" s="124"/>
      <c r="J911" s="124"/>
      <c r="K911" s="124"/>
      <c r="L911" s="124"/>
      <c r="M911" s="124"/>
      <c r="N911" s="124"/>
      <c r="O911" s="124"/>
      <c r="P911" s="124"/>
      <c r="Q911" s="124"/>
      <c r="R911" s="124"/>
      <c r="S911" s="124"/>
    </row>
    <row r="912" spans="1:19" x14ac:dyDescent="0.25">
      <c r="A912" s="124"/>
      <c r="B912" s="124"/>
      <c r="C912" s="124"/>
      <c r="D912" s="124"/>
      <c r="E912" s="124"/>
      <c r="F912" s="124"/>
      <c r="G912" s="124"/>
      <c r="H912" s="124"/>
      <c r="I912" s="124"/>
      <c r="J912" s="124"/>
      <c r="K912" s="124"/>
      <c r="L912" s="124"/>
      <c r="M912" s="124"/>
      <c r="N912" s="124"/>
      <c r="O912" s="124"/>
      <c r="P912" s="124"/>
      <c r="Q912" s="124"/>
      <c r="R912" s="124"/>
      <c r="S912" s="124"/>
    </row>
    <row r="913" spans="1:19" x14ac:dyDescent="0.25">
      <c r="A913" s="124"/>
      <c r="B913" s="124"/>
      <c r="C913" s="124"/>
      <c r="D913" s="124"/>
      <c r="E913" s="124"/>
      <c r="F913" s="124"/>
      <c r="G913" s="124"/>
      <c r="H913" s="124"/>
      <c r="I913" s="124"/>
      <c r="J913" s="124"/>
      <c r="K913" s="124"/>
      <c r="L913" s="124"/>
      <c r="M913" s="124"/>
      <c r="N913" s="124"/>
      <c r="O913" s="124"/>
      <c r="P913" s="124"/>
      <c r="Q913" s="124"/>
      <c r="R913" s="124"/>
      <c r="S913" s="124"/>
    </row>
    <row r="914" spans="1:19" x14ac:dyDescent="0.25">
      <c r="A914" s="124"/>
      <c r="B914" s="124"/>
      <c r="C914" s="124"/>
      <c r="D914" s="124"/>
      <c r="E914" s="124"/>
      <c r="F914" s="124"/>
      <c r="G914" s="124"/>
      <c r="H914" s="124"/>
      <c r="I914" s="124"/>
      <c r="J914" s="124"/>
      <c r="K914" s="124"/>
      <c r="L914" s="124"/>
      <c r="M914" s="124"/>
      <c r="N914" s="124"/>
      <c r="O914" s="124"/>
      <c r="P914" s="124"/>
      <c r="Q914" s="124"/>
      <c r="R914" s="124"/>
      <c r="S914" s="124"/>
    </row>
    <row r="915" spans="1:19" x14ac:dyDescent="0.25">
      <c r="A915" s="124"/>
      <c r="B915" s="124"/>
      <c r="C915" s="124"/>
      <c r="D915" s="124"/>
      <c r="E915" s="124"/>
      <c r="F915" s="124"/>
      <c r="G915" s="124"/>
      <c r="H915" s="124"/>
      <c r="I915" s="124"/>
      <c r="J915" s="124"/>
      <c r="K915" s="124"/>
      <c r="L915" s="124"/>
      <c r="M915" s="124"/>
      <c r="N915" s="124"/>
      <c r="O915" s="124"/>
      <c r="P915" s="124"/>
      <c r="Q915" s="124"/>
      <c r="R915" s="124"/>
      <c r="S915" s="124"/>
    </row>
    <row r="916" spans="1:19" x14ac:dyDescent="0.25">
      <c r="A916" s="124"/>
      <c r="B916" s="124"/>
      <c r="C916" s="124"/>
      <c r="D916" s="124"/>
      <c r="E916" s="124"/>
      <c r="F916" s="124"/>
      <c r="G916" s="124"/>
      <c r="H916" s="124"/>
      <c r="I916" s="124"/>
      <c r="J916" s="124"/>
      <c r="K916" s="124"/>
      <c r="L916" s="124"/>
      <c r="M916" s="124"/>
      <c r="N916" s="124"/>
      <c r="O916" s="124"/>
      <c r="P916" s="124"/>
      <c r="Q916" s="124"/>
      <c r="R916" s="124"/>
      <c r="S916" s="124"/>
    </row>
    <row r="917" spans="1:19" x14ac:dyDescent="0.25">
      <c r="A917" s="124"/>
      <c r="B917" s="124"/>
      <c r="C917" s="124"/>
      <c r="D917" s="124"/>
      <c r="E917" s="124"/>
      <c r="F917" s="124"/>
      <c r="G917" s="124"/>
      <c r="H917" s="124"/>
      <c r="I917" s="124"/>
      <c r="J917" s="124"/>
      <c r="K917" s="124"/>
      <c r="L917" s="124"/>
      <c r="M917" s="124"/>
      <c r="N917" s="124"/>
      <c r="O917" s="124"/>
      <c r="P917" s="124"/>
      <c r="Q917" s="124"/>
      <c r="R917" s="124"/>
      <c r="S917" s="124"/>
    </row>
    <row r="918" spans="1:19" x14ac:dyDescent="0.25">
      <c r="A918" s="124"/>
      <c r="B918" s="124"/>
      <c r="C918" s="124"/>
      <c r="D918" s="124"/>
      <c r="E918" s="124"/>
      <c r="F918" s="124"/>
      <c r="G918" s="124"/>
      <c r="H918" s="124"/>
      <c r="I918" s="124"/>
      <c r="J918" s="124"/>
      <c r="K918" s="124"/>
      <c r="L918" s="124"/>
      <c r="M918" s="124"/>
      <c r="N918" s="124"/>
      <c r="O918" s="124"/>
      <c r="P918" s="124"/>
      <c r="Q918" s="124"/>
      <c r="R918" s="124"/>
      <c r="S918" s="124"/>
    </row>
    <row r="919" spans="1:19" x14ac:dyDescent="0.25">
      <c r="A919" s="124"/>
      <c r="B919" s="124"/>
      <c r="C919" s="124"/>
      <c r="D919" s="124"/>
      <c r="E919" s="124"/>
      <c r="F919" s="124"/>
      <c r="G919" s="124"/>
      <c r="H919" s="124"/>
      <c r="I919" s="124"/>
      <c r="J919" s="124"/>
      <c r="K919" s="124"/>
      <c r="L919" s="124"/>
      <c r="M919" s="124"/>
      <c r="N919" s="124"/>
      <c r="O919" s="124"/>
      <c r="P919" s="124"/>
      <c r="Q919" s="124"/>
      <c r="R919" s="124"/>
      <c r="S919" s="124"/>
    </row>
    <row r="920" spans="1:19" x14ac:dyDescent="0.25">
      <c r="A920" s="124"/>
      <c r="B920" s="124"/>
      <c r="C920" s="124"/>
      <c r="D920" s="124"/>
      <c r="E920" s="124"/>
      <c r="F920" s="124"/>
      <c r="G920" s="124"/>
      <c r="H920" s="124"/>
      <c r="I920" s="124"/>
      <c r="J920" s="124"/>
      <c r="K920" s="124"/>
      <c r="L920" s="124"/>
      <c r="M920" s="124"/>
      <c r="N920" s="124"/>
      <c r="O920" s="124"/>
      <c r="P920" s="124"/>
      <c r="Q920" s="124"/>
      <c r="R920" s="124"/>
      <c r="S920" s="124"/>
    </row>
    <row r="921" spans="1:19" x14ac:dyDescent="0.25">
      <c r="A921" s="124"/>
      <c r="B921" s="124"/>
      <c r="C921" s="124"/>
      <c r="D921" s="124"/>
      <c r="E921" s="124"/>
      <c r="F921" s="124"/>
      <c r="G921" s="124"/>
      <c r="H921" s="124"/>
      <c r="I921" s="124"/>
      <c r="J921" s="124"/>
      <c r="K921" s="124"/>
      <c r="L921" s="124"/>
      <c r="M921" s="124"/>
      <c r="N921" s="124"/>
      <c r="O921" s="124"/>
      <c r="P921" s="124"/>
      <c r="Q921" s="124"/>
      <c r="R921" s="124"/>
      <c r="S921" s="124"/>
    </row>
    <row r="922" spans="1:19" x14ac:dyDescent="0.25">
      <c r="A922" s="124"/>
      <c r="B922" s="124"/>
      <c r="C922" s="124"/>
      <c r="D922" s="124"/>
      <c r="E922" s="124"/>
      <c r="F922" s="124"/>
      <c r="G922" s="124"/>
      <c r="H922" s="124"/>
      <c r="I922" s="124"/>
      <c r="J922" s="124"/>
      <c r="K922" s="124"/>
      <c r="L922" s="124"/>
      <c r="M922" s="124"/>
      <c r="N922" s="124"/>
      <c r="O922" s="124"/>
      <c r="P922" s="124"/>
      <c r="Q922" s="124"/>
      <c r="R922" s="124"/>
      <c r="S922" s="124"/>
    </row>
    <row r="923" spans="1:19" x14ac:dyDescent="0.25">
      <c r="A923" s="124"/>
      <c r="B923" s="124"/>
      <c r="C923" s="124"/>
      <c r="D923" s="124"/>
      <c r="E923" s="124"/>
      <c r="F923" s="124"/>
      <c r="G923" s="124"/>
      <c r="H923" s="124"/>
      <c r="I923" s="124"/>
      <c r="J923" s="124"/>
      <c r="K923" s="124"/>
      <c r="L923" s="124"/>
      <c r="M923" s="124"/>
      <c r="N923" s="124"/>
      <c r="O923" s="124"/>
      <c r="P923" s="124"/>
      <c r="Q923" s="124"/>
      <c r="R923" s="124"/>
      <c r="S923" s="124"/>
    </row>
    <row r="924" spans="1:19" x14ac:dyDescent="0.25">
      <c r="A924" s="124"/>
      <c r="B924" s="124"/>
      <c r="C924" s="124"/>
      <c r="D924" s="124"/>
      <c r="E924" s="124"/>
      <c r="F924" s="124"/>
      <c r="G924" s="124"/>
      <c r="H924" s="124"/>
      <c r="I924" s="124"/>
      <c r="J924" s="124"/>
      <c r="K924" s="124"/>
      <c r="L924" s="124"/>
      <c r="M924" s="124"/>
      <c r="N924" s="124"/>
      <c r="O924" s="124"/>
      <c r="P924" s="124"/>
      <c r="Q924" s="124"/>
      <c r="R924" s="124"/>
      <c r="S924" s="124"/>
    </row>
    <row r="925" spans="1:19" x14ac:dyDescent="0.25">
      <c r="A925" s="124"/>
      <c r="B925" s="124"/>
      <c r="C925" s="124"/>
      <c r="D925" s="124"/>
      <c r="E925" s="124"/>
      <c r="F925" s="124"/>
      <c r="G925" s="124"/>
      <c r="H925" s="124"/>
      <c r="I925" s="124"/>
      <c r="J925" s="124"/>
      <c r="K925" s="124"/>
      <c r="L925" s="124"/>
      <c r="M925" s="124"/>
      <c r="N925" s="124"/>
      <c r="O925" s="124"/>
      <c r="P925" s="124"/>
      <c r="Q925" s="124"/>
      <c r="R925" s="124"/>
      <c r="S925" s="124"/>
    </row>
    <row r="926" spans="1:19" x14ac:dyDescent="0.25">
      <c r="A926" s="124"/>
      <c r="B926" s="124"/>
      <c r="C926" s="124"/>
      <c r="D926" s="124"/>
      <c r="E926" s="124"/>
      <c r="F926" s="124"/>
      <c r="G926" s="124"/>
      <c r="H926" s="124"/>
      <c r="I926" s="124"/>
      <c r="J926" s="124"/>
      <c r="K926" s="124"/>
      <c r="L926" s="124"/>
      <c r="M926" s="124"/>
      <c r="N926" s="124"/>
      <c r="O926" s="124"/>
      <c r="P926" s="124"/>
      <c r="Q926" s="124"/>
      <c r="R926" s="124"/>
      <c r="S926" s="124"/>
    </row>
    <row r="927" spans="1:19" x14ac:dyDescent="0.25">
      <c r="A927" s="124"/>
      <c r="B927" s="124"/>
      <c r="C927" s="124"/>
      <c r="D927" s="124"/>
      <c r="E927" s="124"/>
      <c r="F927" s="124"/>
      <c r="G927" s="124"/>
      <c r="H927" s="124"/>
      <c r="I927" s="124"/>
      <c r="J927" s="124"/>
      <c r="K927" s="124"/>
      <c r="L927" s="124"/>
      <c r="M927" s="124"/>
      <c r="N927" s="124"/>
      <c r="O927" s="124"/>
      <c r="P927" s="124"/>
      <c r="Q927" s="124"/>
      <c r="R927" s="124"/>
      <c r="S927" s="124"/>
    </row>
    <row r="928" spans="1:19" x14ac:dyDescent="0.25">
      <c r="A928" s="124"/>
      <c r="B928" s="124"/>
      <c r="C928" s="124"/>
      <c r="D928" s="124"/>
      <c r="E928" s="124"/>
      <c r="F928" s="124"/>
      <c r="G928" s="124"/>
      <c r="H928" s="124"/>
      <c r="I928" s="124"/>
      <c r="J928" s="124"/>
      <c r="K928" s="124"/>
      <c r="L928" s="124"/>
      <c r="M928" s="124"/>
      <c r="N928" s="124"/>
      <c r="O928" s="124"/>
      <c r="P928" s="124"/>
      <c r="Q928" s="124"/>
      <c r="R928" s="124"/>
      <c r="S928" s="124"/>
    </row>
    <row r="929" spans="1:19" x14ac:dyDescent="0.25">
      <c r="A929" s="124"/>
      <c r="B929" s="124"/>
      <c r="C929" s="124"/>
      <c r="D929" s="124"/>
      <c r="E929" s="124"/>
      <c r="F929" s="124"/>
      <c r="G929" s="124"/>
      <c r="H929" s="124"/>
      <c r="I929" s="124"/>
      <c r="J929" s="124"/>
      <c r="K929" s="124"/>
      <c r="L929" s="124"/>
      <c r="M929" s="124"/>
      <c r="N929" s="124"/>
      <c r="O929" s="124"/>
      <c r="P929" s="124"/>
      <c r="Q929" s="124"/>
      <c r="R929" s="124"/>
      <c r="S929" s="124"/>
    </row>
    <row r="930" spans="1:19" x14ac:dyDescent="0.25">
      <c r="A930" s="124"/>
      <c r="B930" s="124"/>
      <c r="C930" s="124"/>
      <c r="D930" s="124"/>
      <c r="E930" s="124"/>
      <c r="F930" s="124"/>
      <c r="G930" s="124"/>
      <c r="H930" s="124"/>
      <c r="I930" s="124"/>
      <c r="J930" s="124"/>
      <c r="K930" s="124"/>
      <c r="L930" s="124"/>
      <c r="M930" s="124"/>
      <c r="N930" s="124"/>
      <c r="O930" s="124"/>
      <c r="P930" s="124"/>
      <c r="Q930" s="124"/>
      <c r="R930" s="124"/>
      <c r="S930" s="124"/>
    </row>
    <row r="931" spans="1:19" x14ac:dyDescent="0.25">
      <c r="A931" s="124"/>
      <c r="B931" s="124"/>
      <c r="C931" s="124"/>
      <c r="D931" s="124"/>
      <c r="E931" s="124"/>
      <c r="F931" s="124"/>
      <c r="G931" s="124"/>
      <c r="H931" s="124"/>
      <c r="I931" s="124"/>
      <c r="J931" s="124"/>
      <c r="K931" s="124"/>
      <c r="L931" s="124"/>
      <c r="M931" s="124"/>
      <c r="N931" s="124"/>
      <c r="O931" s="124"/>
      <c r="P931" s="124"/>
      <c r="Q931" s="124"/>
      <c r="R931" s="124"/>
      <c r="S931" s="124"/>
    </row>
    <row r="932" spans="1:19" x14ac:dyDescent="0.25">
      <c r="A932" s="124"/>
      <c r="B932" s="124"/>
      <c r="C932" s="124"/>
      <c r="D932" s="124"/>
      <c r="E932" s="124"/>
      <c r="F932" s="124"/>
      <c r="G932" s="124"/>
      <c r="H932" s="124"/>
      <c r="I932" s="124"/>
      <c r="J932" s="124"/>
      <c r="K932" s="124"/>
      <c r="L932" s="124"/>
      <c r="M932" s="124"/>
      <c r="N932" s="124"/>
      <c r="O932" s="124"/>
      <c r="P932" s="124"/>
      <c r="Q932" s="124"/>
      <c r="R932" s="124"/>
      <c r="S932" s="124"/>
    </row>
    <row r="933" spans="1:19" x14ac:dyDescent="0.25">
      <c r="A933" s="124"/>
      <c r="B933" s="124"/>
      <c r="C933" s="124"/>
      <c r="D933" s="124"/>
      <c r="E933" s="124"/>
      <c r="F933" s="124"/>
      <c r="G933" s="124"/>
      <c r="H933" s="124"/>
      <c r="I933" s="124"/>
      <c r="J933" s="124"/>
      <c r="K933" s="124"/>
      <c r="L933" s="124"/>
      <c r="M933" s="124"/>
      <c r="N933" s="124"/>
      <c r="O933" s="124"/>
      <c r="P933" s="124"/>
      <c r="Q933" s="124"/>
      <c r="R933" s="124"/>
      <c r="S933" s="124"/>
    </row>
    <row r="934" spans="1:19" x14ac:dyDescent="0.25">
      <c r="A934" s="124"/>
      <c r="B934" s="124"/>
      <c r="C934" s="124"/>
      <c r="D934" s="124"/>
      <c r="E934" s="124"/>
      <c r="F934" s="124"/>
      <c r="G934" s="124"/>
      <c r="H934" s="124"/>
      <c r="I934" s="124"/>
      <c r="J934" s="124"/>
      <c r="K934" s="124"/>
      <c r="L934" s="124"/>
      <c r="M934" s="124"/>
      <c r="N934" s="124"/>
      <c r="O934" s="124"/>
      <c r="P934" s="124"/>
      <c r="Q934" s="124"/>
      <c r="R934" s="124"/>
      <c r="S934" s="124"/>
    </row>
    <row r="935" spans="1:19" x14ac:dyDescent="0.25">
      <c r="A935" s="124"/>
      <c r="B935" s="124"/>
      <c r="C935" s="124"/>
      <c r="D935" s="124"/>
      <c r="E935" s="124"/>
      <c r="F935" s="124"/>
      <c r="G935" s="124"/>
      <c r="H935" s="124"/>
      <c r="I935" s="124"/>
      <c r="J935" s="124"/>
      <c r="K935" s="124"/>
      <c r="L935" s="124"/>
      <c r="M935" s="124"/>
      <c r="N935" s="124"/>
      <c r="O935" s="124"/>
      <c r="P935" s="124"/>
      <c r="Q935" s="124"/>
      <c r="R935" s="124"/>
      <c r="S935" s="124"/>
    </row>
    <row r="936" spans="1:19" x14ac:dyDescent="0.25">
      <c r="A936" s="124"/>
      <c r="B936" s="124"/>
      <c r="C936" s="124"/>
      <c r="D936" s="124"/>
      <c r="E936" s="124"/>
      <c r="F936" s="124"/>
      <c r="G936" s="124"/>
      <c r="H936" s="124"/>
      <c r="I936" s="124"/>
      <c r="J936" s="124"/>
      <c r="K936" s="124"/>
      <c r="L936" s="124"/>
      <c r="M936" s="124"/>
      <c r="N936" s="124"/>
      <c r="O936" s="124"/>
      <c r="P936" s="124"/>
      <c r="Q936" s="124"/>
      <c r="R936" s="124"/>
      <c r="S936" s="124"/>
    </row>
    <row r="937" spans="1:19" x14ac:dyDescent="0.25">
      <c r="A937" s="124"/>
      <c r="B937" s="124"/>
      <c r="C937" s="124"/>
      <c r="D937" s="124"/>
      <c r="E937" s="124"/>
      <c r="F937" s="124"/>
      <c r="G937" s="124"/>
      <c r="H937" s="124"/>
      <c r="I937" s="124"/>
      <c r="J937" s="124"/>
      <c r="K937" s="124"/>
      <c r="L937" s="124"/>
      <c r="M937" s="124"/>
      <c r="N937" s="124"/>
      <c r="O937" s="124"/>
      <c r="P937" s="124"/>
      <c r="Q937" s="124"/>
      <c r="R937" s="124"/>
      <c r="S937" s="124"/>
    </row>
    <row r="938" spans="1:19" x14ac:dyDescent="0.25">
      <c r="A938" s="124"/>
      <c r="B938" s="124"/>
      <c r="C938" s="124"/>
      <c r="D938" s="124"/>
      <c r="E938" s="124"/>
      <c r="F938" s="124"/>
      <c r="G938" s="124"/>
      <c r="H938" s="124"/>
      <c r="I938" s="124"/>
      <c r="J938" s="124"/>
      <c r="K938" s="124"/>
      <c r="L938" s="124"/>
      <c r="M938" s="124"/>
      <c r="N938" s="124"/>
      <c r="O938" s="124"/>
      <c r="P938" s="124"/>
      <c r="Q938" s="124"/>
      <c r="R938" s="124"/>
      <c r="S938" s="124"/>
    </row>
    <row r="939" spans="1:19" x14ac:dyDescent="0.25">
      <c r="A939" s="124"/>
      <c r="B939" s="124"/>
      <c r="C939" s="124"/>
      <c r="D939" s="124"/>
      <c r="E939" s="124"/>
      <c r="F939" s="124"/>
      <c r="G939" s="124"/>
      <c r="H939" s="124"/>
      <c r="I939" s="124"/>
      <c r="J939" s="124"/>
      <c r="K939" s="124"/>
      <c r="L939" s="124"/>
      <c r="M939" s="124"/>
      <c r="N939" s="124"/>
      <c r="O939" s="124"/>
      <c r="P939" s="124"/>
      <c r="Q939" s="124"/>
      <c r="R939" s="124"/>
      <c r="S939" s="124"/>
    </row>
    <row r="940" spans="1:19" x14ac:dyDescent="0.25">
      <c r="A940" s="124"/>
      <c r="B940" s="124"/>
      <c r="C940" s="124"/>
      <c r="D940" s="124"/>
      <c r="E940" s="124"/>
      <c r="F940" s="124"/>
      <c r="G940" s="124"/>
      <c r="H940" s="124"/>
      <c r="I940" s="124"/>
      <c r="J940" s="124"/>
      <c r="K940" s="124"/>
      <c r="L940" s="124"/>
      <c r="M940" s="124"/>
      <c r="N940" s="124"/>
      <c r="O940" s="124"/>
      <c r="P940" s="124"/>
      <c r="Q940" s="124"/>
      <c r="R940" s="124"/>
      <c r="S940" s="124"/>
    </row>
    <row r="941" spans="1:19" x14ac:dyDescent="0.25">
      <c r="A941" s="124"/>
      <c r="B941" s="124"/>
      <c r="C941" s="124"/>
      <c r="D941" s="124"/>
      <c r="E941" s="124"/>
      <c r="F941" s="124"/>
      <c r="G941" s="124"/>
      <c r="H941" s="124"/>
      <c r="I941" s="124"/>
      <c r="J941" s="124"/>
      <c r="K941" s="124"/>
      <c r="L941" s="124"/>
      <c r="M941" s="124"/>
      <c r="N941" s="124"/>
      <c r="O941" s="124"/>
      <c r="P941" s="124"/>
      <c r="Q941" s="124"/>
      <c r="R941" s="124"/>
      <c r="S941" s="124"/>
    </row>
    <row r="942" spans="1:19" x14ac:dyDescent="0.25">
      <c r="A942" s="124"/>
      <c r="B942" s="124"/>
      <c r="C942" s="124"/>
      <c r="D942" s="124"/>
      <c r="E942" s="124"/>
      <c r="F942" s="124"/>
      <c r="G942" s="124"/>
      <c r="H942" s="124"/>
      <c r="I942" s="124"/>
      <c r="J942" s="124"/>
      <c r="K942" s="124"/>
      <c r="L942" s="124"/>
      <c r="M942" s="124"/>
      <c r="N942" s="124"/>
      <c r="O942" s="124"/>
      <c r="P942" s="124"/>
      <c r="Q942" s="124"/>
      <c r="R942" s="124"/>
      <c r="S942" s="124"/>
    </row>
    <row r="943" spans="1:19" x14ac:dyDescent="0.25">
      <c r="A943" s="124"/>
      <c r="B943" s="124"/>
      <c r="C943" s="124"/>
      <c r="D943" s="124"/>
      <c r="E943" s="124"/>
      <c r="F943" s="124"/>
      <c r="G943" s="124"/>
      <c r="H943" s="124"/>
      <c r="I943" s="124"/>
      <c r="J943" s="124"/>
      <c r="K943" s="124"/>
      <c r="L943" s="124"/>
      <c r="M943" s="124"/>
      <c r="N943" s="124"/>
      <c r="O943" s="124"/>
      <c r="P943" s="124"/>
      <c r="Q943" s="124"/>
      <c r="R943" s="124"/>
      <c r="S943" s="124"/>
    </row>
    <row r="944" spans="1:19" x14ac:dyDescent="0.25">
      <c r="A944" s="124"/>
      <c r="B944" s="124"/>
      <c r="C944" s="124"/>
      <c r="D944" s="124"/>
      <c r="E944" s="124"/>
      <c r="F944" s="124"/>
      <c r="G944" s="124"/>
      <c r="H944" s="124"/>
      <c r="I944" s="124"/>
      <c r="J944" s="124"/>
      <c r="K944" s="124"/>
      <c r="L944" s="124"/>
      <c r="M944" s="124"/>
      <c r="N944" s="124"/>
      <c r="O944" s="124"/>
      <c r="P944" s="124"/>
      <c r="Q944" s="124"/>
      <c r="R944" s="124"/>
      <c r="S944" s="124"/>
    </row>
    <row r="945" spans="1:19" x14ac:dyDescent="0.25">
      <c r="A945" s="124"/>
      <c r="B945" s="124"/>
      <c r="C945" s="124"/>
      <c r="D945" s="124"/>
      <c r="E945" s="124"/>
      <c r="F945" s="124"/>
      <c r="G945" s="124"/>
      <c r="H945" s="124"/>
      <c r="I945" s="124"/>
      <c r="J945" s="124"/>
      <c r="K945" s="124"/>
      <c r="L945" s="124"/>
      <c r="M945" s="124"/>
      <c r="N945" s="124"/>
      <c r="O945" s="124"/>
      <c r="P945" s="124"/>
      <c r="Q945" s="124"/>
      <c r="R945" s="124"/>
      <c r="S945" s="124"/>
    </row>
    <row r="946" spans="1:19" x14ac:dyDescent="0.25">
      <c r="A946" s="124"/>
      <c r="B946" s="124"/>
      <c r="C946" s="124"/>
      <c r="D946" s="124"/>
      <c r="E946" s="124"/>
      <c r="F946" s="124"/>
      <c r="G946" s="124"/>
      <c r="H946" s="124"/>
      <c r="I946" s="124"/>
      <c r="J946" s="124"/>
      <c r="K946" s="124"/>
      <c r="L946" s="124"/>
      <c r="M946" s="124"/>
      <c r="N946" s="124"/>
      <c r="O946" s="124"/>
      <c r="P946" s="124"/>
      <c r="Q946" s="124"/>
      <c r="R946" s="124"/>
      <c r="S946" s="124"/>
    </row>
    <row r="947" spans="1:19" x14ac:dyDescent="0.25">
      <c r="A947" s="124"/>
      <c r="B947" s="124"/>
      <c r="C947" s="124"/>
      <c r="D947" s="124"/>
      <c r="E947" s="124"/>
      <c r="F947" s="124"/>
      <c r="G947" s="124"/>
      <c r="H947" s="124"/>
      <c r="I947" s="124"/>
      <c r="J947" s="124"/>
      <c r="K947" s="124"/>
      <c r="L947" s="124"/>
      <c r="M947" s="124"/>
      <c r="N947" s="124"/>
      <c r="O947" s="124"/>
      <c r="P947" s="124"/>
      <c r="Q947" s="124"/>
      <c r="R947" s="124"/>
      <c r="S947" s="124"/>
    </row>
    <row r="948" spans="1:19" x14ac:dyDescent="0.25">
      <c r="A948" s="124"/>
      <c r="B948" s="124"/>
      <c r="C948" s="124"/>
      <c r="D948" s="124"/>
      <c r="E948" s="124"/>
      <c r="F948" s="124"/>
      <c r="G948" s="124"/>
      <c r="H948" s="124"/>
      <c r="I948" s="124"/>
      <c r="J948" s="124"/>
      <c r="K948" s="124"/>
      <c r="L948" s="124"/>
      <c r="M948" s="124"/>
      <c r="N948" s="124"/>
      <c r="O948" s="124"/>
      <c r="P948" s="124"/>
      <c r="Q948" s="124"/>
      <c r="R948" s="124"/>
      <c r="S948" s="124"/>
    </row>
    <row r="949" spans="1:19" x14ac:dyDescent="0.25">
      <c r="A949" s="124"/>
      <c r="B949" s="124"/>
      <c r="C949" s="124"/>
      <c r="D949" s="124"/>
      <c r="E949" s="124"/>
      <c r="F949" s="124"/>
      <c r="G949" s="124"/>
      <c r="H949" s="124"/>
      <c r="I949" s="124"/>
      <c r="J949" s="124"/>
      <c r="K949" s="124"/>
      <c r="L949" s="124"/>
      <c r="M949" s="124"/>
      <c r="N949" s="124"/>
      <c r="O949" s="124"/>
      <c r="P949" s="124"/>
      <c r="Q949" s="124"/>
      <c r="R949" s="124"/>
      <c r="S949" s="124"/>
    </row>
    <row r="950" spans="1:19" x14ac:dyDescent="0.25">
      <c r="A950" s="124"/>
      <c r="B950" s="124"/>
      <c r="C950" s="124"/>
      <c r="D950" s="124"/>
      <c r="E950" s="124"/>
      <c r="F950" s="124"/>
      <c r="G950" s="124"/>
      <c r="H950" s="124"/>
      <c r="I950" s="124"/>
      <c r="J950" s="124"/>
      <c r="K950" s="124"/>
      <c r="L950" s="124"/>
      <c r="M950" s="124"/>
      <c r="N950" s="124"/>
      <c r="O950" s="124"/>
      <c r="P950" s="124"/>
      <c r="Q950" s="124"/>
      <c r="R950" s="124"/>
      <c r="S950" s="124"/>
    </row>
    <row r="951" spans="1:19" x14ac:dyDescent="0.25">
      <c r="A951" s="124"/>
      <c r="B951" s="124"/>
      <c r="C951" s="124"/>
      <c r="D951" s="124"/>
      <c r="E951" s="124"/>
      <c r="F951" s="124"/>
      <c r="G951" s="124"/>
      <c r="H951" s="124"/>
      <c r="I951" s="124"/>
      <c r="J951" s="124"/>
      <c r="K951" s="124"/>
      <c r="L951" s="124"/>
      <c r="M951" s="124"/>
      <c r="N951" s="124"/>
      <c r="O951" s="124"/>
      <c r="P951" s="124"/>
      <c r="Q951" s="124"/>
      <c r="R951" s="124"/>
      <c r="S951" s="124"/>
    </row>
    <row r="952" spans="1:19" x14ac:dyDescent="0.25">
      <c r="A952" s="124"/>
      <c r="B952" s="124"/>
      <c r="C952" s="124"/>
      <c r="D952" s="124"/>
      <c r="E952" s="124"/>
      <c r="F952" s="124"/>
      <c r="G952" s="124"/>
      <c r="H952" s="124"/>
      <c r="I952" s="124"/>
      <c r="J952" s="124"/>
      <c r="K952" s="124"/>
      <c r="L952" s="124"/>
      <c r="M952" s="124"/>
      <c r="N952" s="124"/>
      <c r="O952" s="124"/>
      <c r="P952" s="124"/>
      <c r="Q952" s="124"/>
      <c r="R952" s="124"/>
      <c r="S952" s="124"/>
    </row>
    <row r="953" spans="1:19" x14ac:dyDescent="0.25">
      <c r="A953" s="124"/>
      <c r="B953" s="124"/>
      <c r="C953" s="124"/>
      <c r="D953" s="124"/>
      <c r="E953" s="124"/>
      <c r="F953" s="124"/>
      <c r="G953" s="124"/>
      <c r="H953" s="124"/>
      <c r="I953" s="124"/>
      <c r="J953" s="124"/>
      <c r="K953" s="124"/>
      <c r="L953" s="124"/>
      <c r="M953" s="124"/>
      <c r="N953" s="124"/>
      <c r="O953" s="124"/>
      <c r="P953" s="124"/>
      <c r="Q953" s="124"/>
      <c r="R953" s="124"/>
      <c r="S953" s="124"/>
    </row>
    <row r="954" spans="1:19" x14ac:dyDescent="0.25">
      <c r="A954" s="124"/>
      <c r="B954" s="124"/>
      <c r="C954" s="124"/>
      <c r="D954" s="124"/>
      <c r="E954" s="124"/>
      <c r="F954" s="124"/>
      <c r="G954" s="124"/>
      <c r="H954" s="124"/>
      <c r="I954" s="124"/>
      <c r="J954" s="124"/>
      <c r="K954" s="124"/>
      <c r="L954" s="124"/>
      <c r="M954" s="124"/>
      <c r="N954" s="124"/>
      <c r="O954" s="124"/>
      <c r="P954" s="124"/>
      <c r="Q954" s="124"/>
      <c r="R954" s="124"/>
      <c r="S954" s="124"/>
    </row>
    <row r="955" spans="1:19" x14ac:dyDescent="0.25">
      <c r="A955" s="124"/>
      <c r="B955" s="124"/>
      <c r="C955" s="124"/>
      <c r="D955" s="124"/>
      <c r="E955" s="124"/>
      <c r="F955" s="124"/>
      <c r="G955" s="124"/>
      <c r="H955" s="124"/>
      <c r="I955" s="124"/>
      <c r="J955" s="124"/>
      <c r="K955" s="124"/>
      <c r="L955" s="124"/>
      <c r="M955" s="124"/>
      <c r="N955" s="124"/>
      <c r="O955" s="124"/>
      <c r="P955" s="124"/>
      <c r="Q955" s="124"/>
      <c r="R955" s="124"/>
      <c r="S955" s="124"/>
    </row>
    <row r="956" spans="1:19" x14ac:dyDescent="0.25">
      <c r="A956" s="124"/>
      <c r="B956" s="124"/>
      <c r="C956" s="124"/>
      <c r="D956" s="124"/>
      <c r="E956" s="124"/>
      <c r="F956" s="124"/>
      <c r="G956" s="124"/>
      <c r="H956" s="124"/>
      <c r="I956" s="124"/>
      <c r="J956" s="124"/>
      <c r="K956" s="124"/>
      <c r="L956" s="124"/>
      <c r="M956" s="124"/>
      <c r="N956" s="124"/>
      <c r="O956" s="124"/>
      <c r="P956" s="124"/>
      <c r="Q956" s="124"/>
      <c r="R956" s="124"/>
      <c r="S956" s="124"/>
    </row>
    <row r="957" spans="1:19" x14ac:dyDescent="0.25">
      <c r="A957" s="124"/>
      <c r="B957" s="124"/>
      <c r="C957" s="124"/>
      <c r="D957" s="124"/>
      <c r="E957" s="124"/>
      <c r="F957" s="124"/>
      <c r="G957" s="124"/>
      <c r="H957" s="124"/>
      <c r="I957" s="124"/>
      <c r="J957" s="124"/>
      <c r="K957" s="124"/>
      <c r="L957" s="124"/>
      <c r="M957" s="124"/>
      <c r="N957" s="124"/>
      <c r="O957" s="124"/>
      <c r="P957" s="124"/>
      <c r="Q957" s="124"/>
      <c r="R957" s="124"/>
      <c r="S957" s="124"/>
    </row>
    <row r="958" spans="1:19" x14ac:dyDescent="0.25">
      <c r="A958" s="124"/>
      <c r="B958" s="124"/>
      <c r="C958" s="124"/>
      <c r="D958" s="124"/>
      <c r="E958" s="124"/>
      <c r="F958" s="124"/>
      <c r="G958" s="124"/>
      <c r="H958" s="124"/>
      <c r="I958" s="124"/>
      <c r="J958" s="124"/>
      <c r="K958" s="124"/>
      <c r="L958" s="124"/>
      <c r="M958" s="124"/>
      <c r="N958" s="124"/>
      <c r="O958" s="124"/>
      <c r="P958" s="124"/>
      <c r="Q958" s="124"/>
      <c r="R958" s="124"/>
      <c r="S958" s="124"/>
    </row>
    <row r="959" spans="1:19" x14ac:dyDescent="0.25">
      <c r="A959" s="124"/>
      <c r="B959" s="124"/>
      <c r="C959" s="124"/>
      <c r="D959" s="124"/>
      <c r="E959" s="124"/>
      <c r="F959" s="124"/>
      <c r="G959" s="124"/>
      <c r="H959" s="124"/>
      <c r="I959" s="124"/>
      <c r="J959" s="124"/>
      <c r="K959" s="124"/>
      <c r="L959" s="124"/>
      <c r="M959" s="124"/>
      <c r="N959" s="124"/>
      <c r="O959" s="124"/>
      <c r="P959" s="124"/>
      <c r="Q959" s="124"/>
      <c r="R959" s="124"/>
      <c r="S959" s="124"/>
    </row>
    <row r="960" spans="1:19" x14ac:dyDescent="0.25">
      <c r="A960" s="124"/>
      <c r="B960" s="124"/>
      <c r="C960" s="124"/>
      <c r="D960" s="124"/>
      <c r="E960" s="124"/>
      <c r="F960" s="124"/>
      <c r="G960" s="124"/>
      <c r="H960" s="124"/>
      <c r="I960" s="124"/>
      <c r="J960" s="124"/>
      <c r="K960" s="124"/>
      <c r="L960" s="124"/>
      <c r="M960" s="124"/>
      <c r="N960" s="124"/>
      <c r="O960" s="124"/>
      <c r="P960" s="124"/>
      <c r="Q960" s="124"/>
      <c r="R960" s="124"/>
      <c r="S960" s="124"/>
    </row>
    <row r="961" spans="1:19" x14ac:dyDescent="0.25">
      <c r="A961" s="124"/>
      <c r="B961" s="124"/>
      <c r="C961" s="124"/>
      <c r="D961" s="124"/>
      <c r="E961" s="124"/>
      <c r="F961" s="124"/>
      <c r="G961" s="124"/>
      <c r="H961" s="124"/>
      <c r="I961" s="124"/>
      <c r="J961" s="124"/>
      <c r="K961" s="124"/>
      <c r="L961" s="124"/>
      <c r="M961" s="124"/>
      <c r="N961" s="124"/>
      <c r="O961" s="124"/>
      <c r="P961" s="124"/>
      <c r="Q961" s="124"/>
      <c r="R961" s="124"/>
      <c r="S961" s="124"/>
    </row>
    <row r="962" spans="1:19" x14ac:dyDescent="0.25">
      <c r="A962" s="124"/>
      <c r="B962" s="124"/>
      <c r="C962" s="124"/>
      <c r="D962" s="124"/>
      <c r="E962" s="124"/>
      <c r="F962" s="124"/>
      <c r="G962" s="124"/>
      <c r="H962" s="124"/>
      <c r="I962" s="124"/>
      <c r="J962" s="124"/>
      <c r="K962" s="124"/>
      <c r="L962" s="124"/>
      <c r="M962" s="124"/>
      <c r="N962" s="124"/>
      <c r="O962" s="124"/>
      <c r="P962" s="124"/>
      <c r="Q962" s="124"/>
      <c r="R962" s="124"/>
      <c r="S962" s="124"/>
    </row>
    <row r="963" spans="1:19" x14ac:dyDescent="0.25">
      <c r="A963" s="124"/>
      <c r="B963" s="124"/>
      <c r="C963" s="124"/>
      <c r="D963" s="124"/>
      <c r="E963" s="124"/>
      <c r="F963" s="124"/>
      <c r="G963" s="124"/>
      <c r="H963" s="124"/>
      <c r="I963" s="124"/>
      <c r="J963" s="124"/>
      <c r="K963" s="124"/>
      <c r="L963" s="124"/>
      <c r="M963" s="124"/>
      <c r="N963" s="124"/>
      <c r="O963" s="124"/>
      <c r="P963" s="124"/>
      <c r="Q963" s="124"/>
      <c r="R963" s="124"/>
      <c r="S963" s="124"/>
    </row>
    <row r="964" spans="1:19" x14ac:dyDescent="0.25">
      <c r="A964" s="124"/>
      <c r="B964" s="124"/>
      <c r="C964" s="124"/>
      <c r="D964" s="124"/>
      <c r="E964" s="124"/>
      <c r="F964" s="124"/>
      <c r="G964" s="124"/>
      <c r="H964" s="124"/>
      <c r="I964" s="124"/>
      <c r="J964" s="124"/>
      <c r="K964" s="124"/>
      <c r="L964" s="124"/>
      <c r="M964" s="124"/>
      <c r="N964" s="124"/>
      <c r="O964" s="124"/>
      <c r="P964" s="124"/>
      <c r="Q964" s="124"/>
      <c r="R964" s="124"/>
      <c r="S964" s="124"/>
    </row>
    <row r="965" spans="1:19" x14ac:dyDescent="0.25">
      <c r="A965" s="124"/>
      <c r="B965" s="124"/>
      <c r="C965" s="124"/>
      <c r="D965" s="124"/>
      <c r="E965" s="124"/>
      <c r="F965" s="124"/>
      <c r="G965" s="124"/>
      <c r="H965" s="124"/>
      <c r="I965" s="124"/>
      <c r="J965" s="124"/>
      <c r="K965" s="124"/>
      <c r="L965" s="124"/>
      <c r="M965" s="124"/>
      <c r="N965" s="124"/>
      <c r="O965" s="124"/>
      <c r="P965" s="124"/>
      <c r="Q965" s="124"/>
      <c r="R965" s="124"/>
      <c r="S965" s="124"/>
    </row>
    <row r="966" spans="1:19" x14ac:dyDescent="0.25">
      <c r="A966" s="124"/>
      <c r="B966" s="124"/>
      <c r="C966" s="124"/>
      <c r="D966" s="124"/>
      <c r="E966" s="124"/>
      <c r="F966" s="124"/>
      <c r="G966" s="124"/>
      <c r="H966" s="124"/>
      <c r="I966" s="124"/>
      <c r="J966" s="124"/>
      <c r="K966" s="124"/>
      <c r="L966" s="124"/>
      <c r="M966" s="124"/>
      <c r="N966" s="124"/>
      <c r="O966" s="124"/>
      <c r="P966" s="124"/>
      <c r="Q966" s="124"/>
      <c r="R966" s="124"/>
      <c r="S966" s="124"/>
    </row>
    <row r="967" spans="1:19" x14ac:dyDescent="0.25">
      <c r="A967" s="124"/>
      <c r="B967" s="124"/>
      <c r="C967" s="124"/>
      <c r="D967" s="124"/>
      <c r="E967" s="124"/>
      <c r="F967" s="124"/>
      <c r="G967" s="124"/>
      <c r="H967" s="124"/>
      <c r="I967" s="124"/>
      <c r="J967" s="124"/>
      <c r="K967" s="124"/>
      <c r="L967" s="124"/>
      <c r="M967" s="124"/>
      <c r="N967" s="124"/>
      <c r="O967" s="124"/>
      <c r="P967" s="124"/>
      <c r="Q967" s="124"/>
      <c r="R967" s="124"/>
      <c r="S967" s="124"/>
    </row>
    <row r="968" spans="1:19" x14ac:dyDescent="0.25">
      <c r="A968" s="124"/>
      <c r="B968" s="124"/>
      <c r="C968" s="124"/>
      <c r="D968" s="124"/>
      <c r="E968" s="124"/>
      <c r="F968" s="124"/>
      <c r="G968" s="124"/>
      <c r="H968" s="124"/>
      <c r="I968" s="124"/>
      <c r="J968" s="124"/>
      <c r="K968" s="124"/>
      <c r="L968" s="124"/>
      <c r="M968" s="124"/>
      <c r="N968" s="124"/>
      <c r="O968" s="124"/>
      <c r="P968" s="124"/>
      <c r="Q968" s="124"/>
      <c r="R968" s="124"/>
      <c r="S968" s="124"/>
    </row>
    <row r="969" spans="1:19" x14ac:dyDescent="0.25">
      <c r="A969" s="124"/>
      <c r="B969" s="124"/>
      <c r="C969" s="124"/>
      <c r="D969" s="124"/>
      <c r="E969" s="124"/>
      <c r="F969" s="124"/>
      <c r="G969" s="124"/>
      <c r="H969" s="124"/>
      <c r="I969" s="124"/>
      <c r="J969" s="124"/>
      <c r="K969" s="124"/>
      <c r="L969" s="124"/>
      <c r="M969" s="124"/>
      <c r="N969" s="124"/>
      <c r="O969" s="124"/>
      <c r="P969" s="124"/>
      <c r="Q969" s="124"/>
      <c r="R969" s="124"/>
      <c r="S969" s="124"/>
    </row>
    <row r="970" spans="1:19" x14ac:dyDescent="0.25">
      <c r="A970" s="124"/>
      <c r="B970" s="124"/>
      <c r="C970" s="124"/>
      <c r="D970" s="124"/>
      <c r="E970" s="124"/>
      <c r="F970" s="124"/>
      <c r="G970" s="124"/>
      <c r="H970" s="124"/>
      <c r="I970" s="124"/>
      <c r="J970" s="124"/>
      <c r="K970" s="124"/>
      <c r="L970" s="124"/>
      <c r="M970" s="124"/>
      <c r="N970" s="124"/>
      <c r="O970" s="124"/>
      <c r="P970" s="124"/>
      <c r="Q970" s="124"/>
      <c r="R970" s="124"/>
      <c r="S970" s="124"/>
    </row>
    <row r="971" spans="1:19" x14ac:dyDescent="0.25">
      <c r="A971" s="124"/>
      <c r="B971" s="124"/>
      <c r="C971" s="124"/>
      <c r="D971" s="124"/>
      <c r="E971" s="124"/>
      <c r="F971" s="124"/>
      <c r="G971" s="124"/>
      <c r="H971" s="124"/>
      <c r="I971" s="124"/>
      <c r="J971" s="124"/>
      <c r="K971" s="124"/>
      <c r="L971" s="124"/>
      <c r="M971" s="124"/>
      <c r="N971" s="124"/>
      <c r="O971" s="124"/>
      <c r="P971" s="124"/>
      <c r="Q971" s="124"/>
      <c r="R971" s="124"/>
      <c r="S971" s="124"/>
    </row>
    <row r="972" spans="1:19" x14ac:dyDescent="0.25">
      <c r="A972" s="124"/>
      <c r="B972" s="124"/>
      <c r="C972" s="124"/>
      <c r="D972" s="124"/>
      <c r="E972" s="124"/>
      <c r="F972" s="124"/>
      <c r="G972" s="124"/>
      <c r="H972" s="124"/>
      <c r="I972" s="124"/>
      <c r="J972" s="124"/>
      <c r="K972" s="124"/>
      <c r="L972" s="124"/>
      <c r="M972" s="124"/>
      <c r="N972" s="124"/>
      <c r="O972" s="124"/>
      <c r="P972" s="124"/>
      <c r="Q972" s="124"/>
      <c r="R972" s="124"/>
      <c r="S972" s="124"/>
    </row>
    <row r="973" spans="1:19" x14ac:dyDescent="0.25">
      <c r="A973" s="124"/>
      <c r="B973" s="124"/>
      <c r="C973" s="124"/>
      <c r="D973" s="124"/>
      <c r="E973" s="124"/>
      <c r="F973" s="124"/>
      <c r="G973" s="124"/>
      <c r="H973" s="124"/>
      <c r="I973" s="124"/>
      <c r="J973" s="124"/>
      <c r="K973" s="124"/>
      <c r="L973" s="124"/>
      <c r="M973" s="124"/>
      <c r="N973" s="124"/>
      <c r="O973" s="124"/>
      <c r="P973" s="124"/>
      <c r="Q973" s="124"/>
      <c r="R973" s="124"/>
      <c r="S973" s="124"/>
    </row>
    <row r="974" spans="1:19" x14ac:dyDescent="0.25">
      <c r="A974" s="124"/>
      <c r="B974" s="124"/>
      <c r="C974" s="124"/>
      <c r="D974" s="124"/>
      <c r="E974" s="124"/>
      <c r="F974" s="124"/>
      <c r="G974" s="124"/>
      <c r="H974" s="124"/>
      <c r="I974" s="124"/>
      <c r="J974" s="124"/>
      <c r="K974" s="124"/>
      <c r="L974" s="124"/>
      <c r="M974" s="124"/>
      <c r="N974" s="124"/>
      <c r="O974" s="124"/>
      <c r="P974" s="124"/>
      <c r="Q974" s="124"/>
      <c r="R974" s="124"/>
      <c r="S974" s="124"/>
    </row>
    <row r="975" spans="1:19" x14ac:dyDescent="0.25">
      <c r="A975" s="124"/>
      <c r="B975" s="124"/>
      <c r="C975" s="124"/>
      <c r="D975" s="124"/>
      <c r="E975" s="124"/>
      <c r="F975" s="124"/>
      <c r="G975" s="124"/>
      <c r="H975" s="124"/>
      <c r="I975" s="124"/>
      <c r="J975" s="124"/>
      <c r="K975" s="124"/>
      <c r="L975" s="124"/>
      <c r="M975" s="124"/>
      <c r="N975" s="124"/>
      <c r="O975" s="124"/>
      <c r="P975" s="124"/>
      <c r="Q975" s="124"/>
      <c r="R975" s="124"/>
      <c r="S975" s="124"/>
    </row>
    <row r="976" spans="1:19" x14ac:dyDescent="0.25">
      <c r="A976" s="124"/>
      <c r="B976" s="124"/>
      <c r="C976" s="124"/>
      <c r="D976" s="124"/>
      <c r="E976" s="124"/>
      <c r="F976" s="124"/>
      <c r="G976" s="124"/>
      <c r="H976" s="124"/>
      <c r="I976" s="124"/>
      <c r="J976" s="124"/>
      <c r="K976" s="124"/>
      <c r="L976" s="124"/>
      <c r="M976" s="124"/>
      <c r="N976" s="124"/>
      <c r="O976" s="124"/>
      <c r="P976" s="124"/>
      <c r="Q976" s="124"/>
      <c r="R976" s="124"/>
      <c r="S976" s="124"/>
    </row>
    <row r="977" spans="1:19" x14ac:dyDescent="0.25">
      <c r="A977" s="124"/>
      <c r="B977" s="124"/>
      <c r="C977" s="124"/>
      <c r="D977" s="124"/>
      <c r="E977" s="124"/>
      <c r="F977" s="124"/>
      <c r="G977" s="124"/>
      <c r="H977" s="124"/>
      <c r="I977" s="124"/>
      <c r="J977" s="124"/>
      <c r="K977" s="124"/>
      <c r="L977" s="124"/>
      <c r="M977" s="124"/>
      <c r="N977" s="124"/>
      <c r="O977" s="124"/>
      <c r="P977" s="124"/>
      <c r="Q977" s="124"/>
      <c r="R977" s="124"/>
      <c r="S977" s="124"/>
    </row>
    <row r="978" spans="1:19" x14ac:dyDescent="0.25">
      <c r="A978" s="124"/>
      <c r="B978" s="124"/>
      <c r="C978" s="124"/>
      <c r="D978" s="124"/>
      <c r="E978" s="124"/>
      <c r="F978" s="124"/>
      <c r="G978" s="124"/>
      <c r="H978" s="124"/>
      <c r="I978" s="124"/>
      <c r="J978" s="124"/>
      <c r="K978" s="124"/>
      <c r="L978" s="124"/>
      <c r="M978" s="124"/>
      <c r="N978" s="124"/>
      <c r="O978" s="124"/>
      <c r="P978" s="124"/>
      <c r="Q978" s="124"/>
      <c r="R978" s="124"/>
      <c r="S978" s="124"/>
    </row>
    <row r="979" spans="1:19" x14ac:dyDescent="0.25">
      <c r="A979" s="124"/>
      <c r="B979" s="124"/>
      <c r="C979" s="124"/>
      <c r="D979" s="124"/>
      <c r="E979" s="124"/>
      <c r="F979" s="124"/>
      <c r="G979" s="124"/>
      <c r="H979" s="124"/>
      <c r="I979" s="124"/>
      <c r="J979" s="124"/>
      <c r="K979" s="124"/>
      <c r="L979" s="124"/>
      <c r="M979" s="124"/>
      <c r="N979" s="124"/>
      <c r="O979" s="124"/>
      <c r="P979" s="124"/>
      <c r="Q979" s="124"/>
      <c r="R979" s="124"/>
      <c r="S979" s="124"/>
    </row>
    <row r="980" spans="1:19" x14ac:dyDescent="0.25">
      <c r="A980" s="124"/>
      <c r="B980" s="124"/>
      <c r="C980" s="124"/>
      <c r="D980" s="124"/>
      <c r="E980" s="124"/>
      <c r="F980" s="124"/>
      <c r="G980" s="124"/>
      <c r="H980" s="124"/>
      <c r="I980" s="124"/>
      <c r="J980" s="124"/>
      <c r="K980" s="124"/>
      <c r="L980" s="124"/>
      <c r="M980" s="124"/>
      <c r="N980" s="124"/>
      <c r="O980" s="124"/>
      <c r="P980" s="124"/>
      <c r="Q980" s="124"/>
      <c r="R980" s="124"/>
      <c r="S980" s="124"/>
    </row>
    <row r="981" spans="1:19" x14ac:dyDescent="0.25">
      <c r="A981" s="124"/>
      <c r="B981" s="124"/>
      <c r="C981" s="124"/>
      <c r="D981" s="124"/>
      <c r="E981" s="124"/>
      <c r="F981" s="124"/>
      <c r="G981" s="124"/>
      <c r="H981" s="124"/>
      <c r="I981" s="124"/>
      <c r="J981" s="124"/>
      <c r="K981" s="124"/>
      <c r="L981" s="124"/>
      <c r="M981" s="124"/>
      <c r="N981" s="124"/>
      <c r="O981" s="124"/>
      <c r="P981" s="124"/>
      <c r="Q981" s="124"/>
      <c r="R981" s="124"/>
      <c r="S981" s="124"/>
    </row>
    <row r="982" spans="1:19" x14ac:dyDescent="0.25">
      <c r="A982" s="124"/>
      <c r="B982" s="124"/>
      <c r="C982" s="124"/>
      <c r="D982" s="124"/>
      <c r="E982" s="124"/>
      <c r="F982" s="124"/>
      <c r="G982" s="124"/>
      <c r="H982" s="124"/>
      <c r="I982" s="124"/>
      <c r="J982" s="124"/>
      <c r="K982" s="124"/>
      <c r="L982" s="124"/>
      <c r="M982" s="124"/>
      <c r="N982" s="124"/>
      <c r="O982" s="124"/>
      <c r="P982" s="124"/>
      <c r="Q982" s="124"/>
      <c r="R982" s="124"/>
      <c r="S982" s="124"/>
    </row>
    <row r="983" spans="1:19" x14ac:dyDescent="0.25">
      <c r="A983" s="124"/>
      <c r="B983" s="124"/>
      <c r="C983" s="124"/>
      <c r="D983" s="124"/>
      <c r="E983" s="124"/>
      <c r="F983" s="124"/>
      <c r="G983" s="124"/>
      <c r="H983" s="124"/>
      <c r="I983" s="124"/>
      <c r="J983" s="124"/>
      <c r="K983" s="124"/>
      <c r="L983" s="124"/>
      <c r="M983" s="124"/>
      <c r="N983" s="124"/>
      <c r="O983" s="124"/>
      <c r="P983" s="124"/>
      <c r="Q983" s="124"/>
      <c r="R983" s="124"/>
      <c r="S983" s="124"/>
    </row>
    <row r="984" spans="1:19" x14ac:dyDescent="0.25">
      <c r="A984" s="124"/>
      <c r="B984" s="124"/>
      <c r="C984" s="124"/>
      <c r="D984" s="124"/>
      <c r="E984" s="124"/>
      <c r="F984" s="124"/>
      <c r="G984" s="124"/>
      <c r="H984" s="124"/>
      <c r="I984" s="124"/>
      <c r="J984" s="124"/>
      <c r="K984" s="124"/>
      <c r="L984" s="124"/>
      <c r="M984" s="124"/>
      <c r="N984" s="124"/>
      <c r="O984" s="124"/>
      <c r="P984" s="124"/>
      <c r="Q984" s="124"/>
      <c r="R984" s="124"/>
      <c r="S984" s="124"/>
    </row>
    <row r="985" spans="1:19" x14ac:dyDescent="0.25">
      <c r="A985" s="124"/>
      <c r="B985" s="124"/>
      <c r="C985" s="124"/>
      <c r="D985" s="124"/>
      <c r="E985" s="124"/>
      <c r="F985" s="124"/>
      <c r="G985" s="124"/>
      <c r="H985" s="124"/>
      <c r="I985" s="124"/>
      <c r="J985" s="124"/>
      <c r="K985" s="124"/>
      <c r="L985" s="124"/>
      <c r="M985" s="124"/>
      <c r="N985" s="124"/>
      <c r="O985" s="124"/>
      <c r="P985" s="124"/>
      <c r="Q985" s="124"/>
      <c r="R985" s="124"/>
      <c r="S985" s="124"/>
    </row>
    <row r="986" spans="1:19" x14ac:dyDescent="0.25">
      <c r="A986" s="124"/>
      <c r="B986" s="124"/>
      <c r="C986" s="124"/>
      <c r="D986" s="124"/>
      <c r="E986" s="124"/>
      <c r="F986" s="124"/>
      <c r="G986" s="124"/>
      <c r="H986" s="124"/>
      <c r="I986" s="124"/>
      <c r="J986" s="124"/>
      <c r="K986" s="124"/>
      <c r="L986" s="124"/>
      <c r="M986" s="124"/>
      <c r="N986" s="124"/>
      <c r="O986" s="124"/>
      <c r="P986" s="124"/>
      <c r="Q986" s="124"/>
      <c r="R986" s="124"/>
      <c r="S986" s="124"/>
    </row>
    <row r="987" spans="1:19" x14ac:dyDescent="0.25">
      <c r="A987" s="124"/>
      <c r="B987" s="124"/>
      <c r="C987" s="124"/>
      <c r="D987" s="124"/>
      <c r="E987" s="124"/>
      <c r="F987" s="124"/>
      <c r="G987" s="124"/>
      <c r="H987" s="124"/>
      <c r="I987" s="124"/>
      <c r="J987" s="124"/>
      <c r="K987" s="124"/>
      <c r="L987" s="124"/>
      <c r="M987" s="124"/>
      <c r="N987" s="124"/>
      <c r="O987" s="124"/>
      <c r="P987" s="124"/>
      <c r="Q987" s="124"/>
      <c r="R987" s="124"/>
      <c r="S987" s="124"/>
    </row>
    <row r="988" spans="1:19" x14ac:dyDescent="0.25">
      <c r="A988" s="124"/>
      <c r="B988" s="124"/>
      <c r="C988" s="124"/>
      <c r="D988" s="124"/>
      <c r="E988" s="124"/>
      <c r="F988" s="124"/>
      <c r="G988" s="124"/>
      <c r="H988" s="124"/>
      <c r="I988" s="124"/>
      <c r="J988" s="124"/>
      <c r="K988" s="124"/>
      <c r="L988" s="124"/>
      <c r="M988" s="124"/>
      <c r="N988" s="124"/>
      <c r="O988" s="124"/>
      <c r="P988" s="124"/>
      <c r="Q988" s="124"/>
      <c r="R988" s="124"/>
      <c r="S988" s="124"/>
    </row>
    <row r="989" spans="1:19" x14ac:dyDescent="0.25">
      <c r="A989" s="124"/>
      <c r="B989" s="124"/>
      <c r="C989" s="124"/>
      <c r="D989" s="124"/>
      <c r="E989" s="124"/>
      <c r="F989" s="124"/>
      <c r="G989" s="124"/>
      <c r="H989" s="124"/>
      <c r="I989" s="124"/>
      <c r="J989" s="124"/>
      <c r="K989" s="124"/>
      <c r="L989" s="124"/>
      <c r="M989" s="124"/>
      <c r="N989" s="124"/>
      <c r="O989" s="124"/>
      <c r="P989" s="124"/>
      <c r="Q989" s="124"/>
      <c r="R989" s="124"/>
      <c r="S989" s="124"/>
    </row>
    <row r="990" spans="1:19" x14ac:dyDescent="0.25">
      <c r="A990" s="124"/>
      <c r="B990" s="124"/>
      <c r="C990" s="124"/>
      <c r="D990" s="124"/>
      <c r="E990" s="124"/>
      <c r="F990" s="124"/>
      <c r="G990" s="124"/>
      <c r="H990" s="124"/>
      <c r="I990" s="124"/>
      <c r="J990" s="124"/>
      <c r="K990" s="124"/>
      <c r="L990" s="124"/>
      <c r="M990" s="124"/>
      <c r="N990" s="124"/>
      <c r="O990" s="124"/>
      <c r="P990" s="124"/>
      <c r="Q990" s="124"/>
      <c r="R990" s="124"/>
      <c r="S990" s="124"/>
    </row>
    <row r="991" spans="1:19" x14ac:dyDescent="0.25">
      <c r="A991" s="124"/>
      <c r="B991" s="124"/>
      <c r="C991" s="124"/>
      <c r="D991" s="124"/>
      <c r="E991" s="124"/>
      <c r="F991" s="124"/>
      <c r="G991" s="124"/>
      <c r="H991" s="124"/>
      <c r="I991" s="124"/>
      <c r="J991" s="124"/>
      <c r="K991" s="124"/>
      <c r="L991" s="124"/>
      <c r="M991" s="124"/>
      <c r="N991" s="124"/>
      <c r="O991" s="124"/>
      <c r="P991" s="124"/>
      <c r="Q991" s="124"/>
      <c r="R991" s="124"/>
      <c r="S991" s="124"/>
    </row>
    <row r="992" spans="1:19" x14ac:dyDescent="0.25">
      <c r="A992" s="124"/>
      <c r="B992" s="124"/>
      <c r="C992" s="124"/>
      <c r="D992" s="124"/>
      <c r="E992" s="124"/>
      <c r="F992" s="124"/>
      <c r="G992" s="124"/>
      <c r="H992" s="124"/>
      <c r="I992" s="124"/>
      <c r="J992" s="124"/>
      <c r="K992" s="124"/>
      <c r="L992" s="124"/>
      <c r="M992" s="124"/>
      <c r="N992" s="124"/>
      <c r="O992" s="124"/>
      <c r="P992" s="124"/>
      <c r="Q992" s="124"/>
      <c r="R992" s="124"/>
      <c r="S992" s="124"/>
    </row>
    <row r="993" spans="1:19" x14ac:dyDescent="0.25">
      <c r="A993" s="124"/>
      <c r="B993" s="124"/>
      <c r="C993" s="124"/>
      <c r="D993" s="124"/>
      <c r="E993" s="124"/>
      <c r="F993" s="124"/>
      <c r="G993" s="124"/>
      <c r="H993" s="124"/>
      <c r="I993" s="124"/>
      <c r="J993" s="124"/>
      <c r="K993" s="124"/>
      <c r="L993" s="124"/>
      <c r="M993" s="124"/>
      <c r="N993" s="124"/>
      <c r="O993" s="124"/>
      <c r="P993" s="124"/>
      <c r="Q993" s="124"/>
      <c r="R993" s="124"/>
      <c r="S993" s="124"/>
    </row>
    <row r="994" spans="1:19" x14ac:dyDescent="0.25">
      <c r="A994" s="124"/>
      <c r="B994" s="124"/>
      <c r="C994" s="124"/>
      <c r="D994" s="124"/>
      <c r="E994" s="124"/>
      <c r="F994" s="124"/>
      <c r="G994" s="124"/>
      <c r="H994" s="124"/>
      <c r="I994" s="124"/>
      <c r="J994" s="124"/>
      <c r="K994" s="124"/>
      <c r="L994" s="124"/>
      <c r="M994" s="124"/>
      <c r="N994" s="124"/>
      <c r="O994" s="124"/>
      <c r="P994" s="124"/>
      <c r="Q994" s="124"/>
      <c r="R994" s="124"/>
      <c r="S994" s="124"/>
    </row>
    <row r="995" spans="1:19" x14ac:dyDescent="0.25">
      <c r="A995" s="124"/>
      <c r="B995" s="124"/>
      <c r="C995" s="124"/>
      <c r="D995" s="124"/>
      <c r="E995" s="124"/>
      <c r="F995" s="124"/>
      <c r="G995" s="124"/>
      <c r="H995" s="124"/>
      <c r="I995" s="124"/>
      <c r="J995" s="124"/>
      <c r="K995" s="124"/>
      <c r="L995" s="124"/>
      <c r="M995" s="124"/>
      <c r="N995" s="124"/>
      <c r="O995" s="124"/>
      <c r="P995" s="124"/>
      <c r="Q995" s="124"/>
      <c r="R995" s="124"/>
      <c r="S995" s="124"/>
    </row>
    <row r="996" spans="1:19" x14ac:dyDescent="0.25">
      <c r="A996" s="124"/>
      <c r="B996" s="124"/>
      <c r="C996" s="124"/>
      <c r="D996" s="124"/>
      <c r="E996" s="124"/>
      <c r="F996" s="124"/>
      <c r="G996" s="124"/>
      <c r="H996" s="124"/>
      <c r="I996" s="124"/>
      <c r="J996" s="124"/>
      <c r="K996" s="124"/>
      <c r="L996" s="124"/>
      <c r="M996" s="124"/>
      <c r="N996" s="124"/>
      <c r="O996" s="124"/>
      <c r="P996" s="124"/>
      <c r="Q996" s="124"/>
      <c r="R996" s="124"/>
      <c r="S996" s="124"/>
    </row>
    <row r="997" spans="1:19" x14ac:dyDescent="0.25">
      <c r="A997" s="124"/>
      <c r="B997" s="124"/>
      <c r="C997" s="124"/>
      <c r="D997" s="124"/>
      <c r="E997" s="124"/>
      <c r="F997" s="124"/>
      <c r="G997" s="124"/>
      <c r="H997" s="124"/>
      <c r="I997" s="124"/>
      <c r="J997" s="124"/>
      <c r="K997" s="124"/>
      <c r="L997" s="124"/>
      <c r="M997" s="124"/>
      <c r="N997" s="124"/>
      <c r="O997" s="124"/>
      <c r="P997" s="124"/>
      <c r="Q997" s="124"/>
      <c r="R997" s="124"/>
      <c r="S997" s="124"/>
    </row>
    <row r="998" spans="1:19" x14ac:dyDescent="0.25">
      <c r="A998" s="124"/>
      <c r="B998" s="124"/>
      <c r="C998" s="124"/>
      <c r="D998" s="124"/>
      <c r="E998" s="124"/>
      <c r="F998" s="124"/>
      <c r="G998" s="124"/>
      <c r="H998" s="124"/>
      <c r="I998" s="124"/>
      <c r="J998" s="124"/>
      <c r="K998" s="124"/>
      <c r="L998" s="124"/>
      <c r="M998" s="124"/>
      <c r="N998" s="124"/>
      <c r="O998" s="124"/>
      <c r="P998" s="124"/>
      <c r="Q998" s="124"/>
      <c r="R998" s="124"/>
      <c r="S998" s="124"/>
    </row>
    <row r="999" spans="1:19" x14ac:dyDescent="0.25">
      <c r="A999" s="124"/>
      <c r="B999" s="124"/>
      <c r="C999" s="124"/>
      <c r="D999" s="124"/>
      <c r="E999" s="124"/>
      <c r="F999" s="124"/>
      <c r="G999" s="124"/>
      <c r="H999" s="124"/>
      <c r="I999" s="124"/>
      <c r="J999" s="124"/>
      <c r="K999" s="124"/>
      <c r="L999" s="124"/>
      <c r="M999" s="124"/>
      <c r="N999" s="124"/>
      <c r="O999" s="124"/>
      <c r="P999" s="124"/>
      <c r="Q999" s="124"/>
      <c r="R999" s="124"/>
      <c r="S999" s="124"/>
    </row>
    <row r="1000" spans="1:19" x14ac:dyDescent="0.25">
      <c r="A1000" s="124"/>
      <c r="B1000" s="124"/>
      <c r="C1000" s="124"/>
      <c r="D1000" s="124"/>
      <c r="E1000" s="124"/>
      <c r="F1000" s="124"/>
      <c r="G1000" s="124"/>
      <c r="H1000" s="124"/>
      <c r="I1000" s="124"/>
      <c r="J1000" s="124"/>
      <c r="K1000" s="124"/>
      <c r="L1000" s="124"/>
      <c r="M1000" s="124"/>
      <c r="N1000" s="124"/>
      <c r="O1000" s="124"/>
      <c r="P1000" s="124"/>
      <c r="Q1000" s="124"/>
      <c r="R1000" s="124"/>
      <c r="S1000" s="12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W1000"/>
  <sheetViews>
    <sheetView topLeftCell="F953" workbookViewId="0">
      <selection activeCell="A3" sqref="A3:S1000"/>
    </sheetView>
  </sheetViews>
  <sheetFormatPr baseColWidth="10" defaultRowHeight="15" x14ac:dyDescent="0.25"/>
  <cols>
    <col min="1" max="1" width="4.140625" style="2" customWidth="1"/>
    <col min="2" max="16384" width="11.42578125" style="2"/>
  </cols>
  <sheetData>
    <row r="1" spans="1:127" x14ac:dyDescent="0.25">
      <c r="B1" s="101">
        <v>1</v>
      </c>
      <c r="C1" s="101">
        <v>2</v>
      </c>
      <c r="D1" s="101">
        <v>3</v>
      </c>
      <c r="E1" s="101">
        <v>4</v>
      </c>
      <c r="F1" s="101">
        <v>5</v>
      </c>
      <c r="G1" s="101">
        <v>6</v>
      </c>
      <c r="H1" s="101">
        <v>7</v>
      </c>
      <c r="I1" s="101">
        <v>8</v>
      </c>
      <c r="J1" s="101">
        <v>9</v>
      </c>
      <c r="K1" s="101">
        <v>10</v>
      </c>
      <c r="L1" s="101">
        <v>11</v>
      </c>
      <c r="M1" s="101">
        <v>12</v>
      </c>
      <c r="N1" s="101">
        <v>13</v>
      </c>
      <c r="O1" s="101">
        <v>14</v>
      </c>
      <c r="P1" s="101">
        <v>15</v>
      </c>
      <c r="Q1" s="101">
        <v>16</v>
      </c>
      <c r="R1" s="101">
        <v>17</v>
      </c>
      <c r="S1" s="101">
        <v>18</v>
      </c>
    </row>
    <row r="2" spans="1:127" s="99" customFormat="1" ht="32.25" customHeight="1" x14ac:dyDescent="0.25">
      <c r="B2" s="93" t="s">
        <v>198</v>
      </c>
      <c r="C2" s="117" t="s">
        <v>199</v>
      </c>
      <c r="D2" s="94" t="s">
        <v>132</v>
      </c>
      <c r="E2" s="95" t="s">
        <v>184</v>
      </c>
      <c r="F2" s="94" t="s">
        <v>186</v>
      </c>
      <c r="G2" s="94" t="s">
        <v>200</v>
      </c>
      <c r="H2" s="94" t="s">
        <v>185</v>
      </c>
      <c r="I2" s="96" t="s">
        <v>187</v>
      </c>
      <c r="J2" s="96" t="s">
        <v>188</v>
      </c>
      <c r="K2" s="94" t="s">
        <v>191</v>
      </c>
      <c r="L2" s="94" t="s">
        <v>190</v>
      </c>
      <c r="M2" s="94" t="s">
        <v>189</v>
      </c>
      <c r="N2" s="118" t="s">
        <v>197</v>
      </c>
      <c r="O2" s="94" t="s">
        <v>192</v>
      </c>
      <c r="P2" s="94" t="s">
        <v>193</v>
      </c>
      <c r="Q2" s="97" t="s">
        <v>194</v>
      </c>
      <c r="R2" s="94" t="s">
        <v>195</v>
      </c>
      <c r="S2" s="98" t="s">
        <v>196</v>
      </c>
    </row>
    <row r="3" spans="1:127" x14ac:dyDescent="0.25">
      <c r="A3" s="2">
        <f>COUNTIF($D$2:D3,'Reporte de Nomina'!$E$2)</f>
        <v>0</v>
      </c>
      <c r="B3" s="125">
        <f>Lista!A2</f>
        <v>0</v>
      </c>
      <c r="C3" s="125">
        <f>Lista!B2</f>
        <v>0</v>
      </c>
      <c r="D3" s="125">
        <f>Lista!C2</f>
        <v>0</v>
      </c>
      <c r="E3" s="125">
        <f>Lista!D2</f>
        <v>0</v>
      </c>
      <c r="F3" s="125">
        <f>Lista!E2</f>
        <v>0</v>
      </c>
      <c r="G3" s="125">
        <f>Lista!F2</f>
        <v>0</v>
      </c>
      <c r="H3" s="125">
        <f>Lista!G2</f>
        <v>0</v>
      </c>
      <c r="I3" s="125">
        <f>Lista!H2</f>
        <v>0</v>
      </c>
      <c r="J3" s="125">
        <f>Lista!I2</f>
        <v>0</v>
      </c>
      <c r="K3" s="125">
        <f>Lista!J2</f>
        <v>0</v>
      </c>
      <c r="L3" s="125">
        <f>Lista!K2</f>
        <v>0</v>
      </c>
      <c r="M3" s="125">
        <f>Lista!L2</f>
        <v>0</v>
      </c>
      <c r="N3" s="125">
        <f>Lista!M2</f>
        <v>0</v>
      </c>
      <c r="O3" s="125">
        <f>Lista!N2</f>
        <v>0</v>
      </c>
      <c r="P3" s="125">
        <f>Lista!O2</f>
        <v>0</v>
      </c>
      <c r="Q3" s="125">
        <f>Lista!P2</f>
        <v>0</v>
      </c>
      <c r="R3" s="125">
        <f>Lista!Q2</f>
        <v>0</v>
      </c>
      <c r="S3" s="125">
        <f>Lista!R2</f>
        <v>0</v>
      </c>
      <c r="T3" s="119"/>
      <c r="U3" s="119"/>
      <c r="V3" s="119"/>
      <c r="W3" s="119"/>
      <c r="X3" s="119"/>
      <c r="Y3" s="119"/>
      <c r="Z3" s="119"/>
      <c r="AA3" s="119"/>
      <c r="AB3" s="119"/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  <c r="AV3" s="119"/>
      <c r="AW3" s="119"/>
      <c r="AX3" s="119"/>
      <c r="AY3" s="119"/>
      <c r="AZ3" s="119"/>
      <c r="BA3" s="119"/>
      <c r="BB3" s="119"/>
      <c r="BC3" s="119"/>
      <c r="BD3" s="119"/>
      <c r="BE3" s="119"/>
      <c r="BF3" s="119"/>
      <c r="BG3" s="119"/>
      <c r="BH3" s="119"/>
      <c r="BI3" s="119"/>
      <c r="BJ3" s="119"/>
      <c r="BK3" s="119"/>
      <c r="BL3" s="119"/>
      <c r="BM3" s="119"/>
      <c r="BN3" s="119"/>
      <c r="BO3" s="119"/>
      <c r="BP3" s="119"/>
      <c r="BQ3" s="119"/>
      <c r="BR3" s="119"/>
      <c r="BS3" s="119"/>
      <c r="BT3" s="119"/>
      <c r="BU3" s="119"/>
      <c r="BV3" s="119"/>
      <c r="BW3" s="119"/>
      <c r="BX3" s="119"/>
      <c r="BY3" s="119"/>
      <c r="BZ3" s="119"/>
      <c r="CA3" s="119"/>
      <c r="CB3" s="119"/>
      <c r="CC3" s="119"/>
      <c r="CD3" s="119"/>
      <c r="CE3" s="119"/>
      <c r="CF3" s="119"/>
      <c r="CG3" s="119"/>
      <c r="CH3" s="119"/>
      <c r="CI3" s="119"/>
      <c r="CJ3" s="119"/>
      <c r="CK3" s="119"/>
      <c r="CL3" s="119"/>
      <c r="CM3" s="119"/>
      <c r="CN3" s="119"/>
      <c r="CO3" s="119"/>
      <c r="CP3" s="119"/>
      <c r="CQ3" s="119"/>
      <c r="CR3" s="119"/>
      <c r="CS3" s="119"/>
      <c r="CT3" s="119"/>
      <c r="CU3" s="119"/>
      <c r="CV3" s="119"/>
      <c r="CW3" s="119"/>
      <c r="CX3" s="119"/>
      <c r="CY3" s="119"/>
      <c r="CZ3" s="119"/>
      <c r="DA3" s="119"/>
      <c r="DB3" s="119"/>
      <c r="DC3" s="119"/>
      <c r="DD3" s="119"/>
      <c r="DE3" s="119"/>
      <c r="DF3" s="119"/>
      <c r="DG3" s="119"/>
      <c r="DH3" s="119"/>
      <c r="DI3" s="119"/>
      <c r="DJ3" s="119"/>
      <c r="DK3" s="119"/>
      <c r="DL3" s="119"/>
      <c r="DM3" s="119"/>
      <c r="DN3" s="119"/>
      <c r="DO3" s="119"/>
      <c r="DP3" s="119"/>
      <c r="DQ3" s="119"/>
      <c r="DR3" s="119"/>
      <c r="DS3" s="119"/>
      <c r="DT3" s="119"/>
      <c r="DU3" s="119"/>
      <c r="DV3" s="119"/>
      <c r="DW3" s="120"/>
    </row>
    <row r="4" spans="1:127" x14ac:dyDescent="0.25">
      <c r="A4" s="2">
        <f>COUNTIF($D$2:D4,'Reporte de Nomina'!$E$2)</f>
        <v>0</v>
      </c>
      <c r="B4" s="125">
        <f>Lista!A3</f>
        <v>0</v>
      </c>
      <c r="C4" s="125">
        <f>Lista!B3</f>
        <v>0</v>
      </c>
      <c r="D4" s="125">
        <f>Lista!C3</f>
        <v>0</v>
      </c>
      <c r="E4" s="125">
        <f>Lista!D3</f>
        <v>0</v>
      </c>
      <c r="F4" s="125">
        <f>Lista!E3</f>
        <v>0</v>
      </c>
      <c r="G4" s="125">
        <f>Lista!F3</f>
        <v>0</v>
      </c>
      <c r="H4" s="125">
        <f>Lista!G3</f>
        <v>0</v>
      </c>
      <c r="I4" s="125">
        <f>Lista!H3</f>
        <v>0</v>
      </c>
      <c r="J4" s="125">
        <f>Lista!I3</f>
        <v>0</v>
      </c>
      <c r="K4" s="125">
        <f>Lista!J3</f>
        <v>0</v>
      </c>
      <c r="L4" s="125">
        <f>Lista!K3</f>
        <v>0</v>
      </c>
      <c r="M4" s="125">
        <f>Lista!L3</f>
        <v>0</v>
      </c>
      <c r="N4" s="125">
        <f>Lista!M3</f>
        <v>0</v>
      </c>
      <c r="O4" s="125">
        <f>Lista!N3</f>
        <v>0</v>
      </c>
      <c r="P4" s="125">
        <f>Lista!O3</f>
        <v>0</v>
      </c>
      <c r="Q4" s="125">
        <f>Lista!P3</f>
        <v>0</v>
      </c>
      <c r="R4" s="125">
        <f>Lista!Q3</f>
        <v>0</v>
      </c>
      <c r="S4" s="125">
        <f>Lista!R3</f>
        <v>0</v>
      </c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  <c r="BA4" s="81"/>
      <c r="BB4" s="81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1"/>
      <c r="DA4" s="81"/>
      <c r="DB4" s="81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121"/>
    </row>
    <row r="5" spans="1:127" x14ac:dyDescent="0.25">
      <c r="A5" s="2">
        <f>COUNTIF($D$2:D5,'Reporte de Nomina'!$E$2)</f>
        <v>0</v>
      </c>
      <c r="B5" s="125">
        <f>Lista!A4</f>
        <v>0</v>
      </c>
      <c r="C5" s="125">
        <f>Lista!B4</f>
        <v>0</v>
      </c>
      <c r="D5" s="125">
        <f>Lista!C4</f>
        <v>0</v>
      </c>
      <c r="E5" s="125">
        <f>Lista!D4</f>
        <v>0</v>
      </c>
      <c r="F5" s="125">
        <f>Lista!E4</f>
        <v>0</v>
      </c>
      <c r="G5" s="125">
        <f>Lista!F4</f>
        <v>0</v>
      </c>
      <c r="H5" s="125">
        <f>Lista!G4</f>
        <v>0</v>
      </c>
      <c r="I5" s="125">
        <f>Lista!H4</f>
        <v>0</v>
      </c>
      <c r="J5" s="125">
        <f>Lista!I4</f>
        <v>0</v>
      </c>
      <c r="K5" s="125">
        <f>Lista!J4</f>
        <v>0</v>
      </c>
      <c r="L5" s="125">
        <f>Lista!K4</f>
        <v>0</v>
      </c>
      <c r="M5" s="125">
        <f>Lista!L4</f>
        <v>0</v>
      </c>
      <c r="N5" s="125">
        <f>Lista!M4</f>
        <v>0</v>
      </c>
      <c r="O5" s="125">
        <f>Lista!N4</f>
        <v>0</v>
      </c>
      <c r="P5" s="125">
        <f>Lista!O4</f>
        <v>0</v>
      </c>
      <c r="Q5" s="125">
        <f>Lista!P4</f>
        <v>0</v>
      </c>
      <c r="R5" s="125">
        <f>Lista!Q4</f>
        <v>0</v>
      </c>
      <c r="S5" s="125">
        <f>Lista!R4</f>
        <v>0</v>
      </c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81"/>
      <c r="CF5" s="81"/>
      <c r="CG5" s="81"/>
      <c r="CH5" s="81"/>
      <c r="CI5" s="81"/>
      <c r="CJ5" s="81"/>
      <c r="CK5" s="81"/>
      <c r="CL5" s="81"/>
      <c r="CM5" s="81"/>
      <c r="CN5" s="81"/>
      <c r="CO5" s="81"/>
      <c r="CP5" s="81"/>
      <c r="CQ5" s="81"/>
      <c r="CR5" s="81"/>
      <c r="CS5" s="81"/>
      <c r="CT5" s="81"/>
      <c r="CU5" s="81"/>
      <c r="CV5" s="81"/>
      <c r="CW5" s="81"/>
      <c r="CX5" s="81"/>
      <c r="CY5" s="81"/>
      <c r="CZ5" s="81"/>
      <c r="DA5" s="81"/>
      <c r="DB5" s="81"/>
      <c r="DC5" s="81"/>
      <c r="DD5" s="81"/>
      <c r="DE5" s="81"/>
      <c r="DF5" s="81"/>
      <c r="DG5" s="81"/>
      <c r="DH5" s="81"/>
      <c r="DI5" s="81"/>
      <c r="DJ5" s="81"/>
      <c r="DK5" s="81"/>
      <c r="DL5" s="81"/>
      <c r="DM5" s="81"/>
      <c r="DN5" s="81"/>
      <c r="DO5" s="81"/>
      <c r="DP5" s="81"/>
      <c r="DQ5" s="81"/>
      <c r="DR5" s="81"/>
      <c r="DS5" s="81"/>
      <c r="DT5" s="81"/>
      <c r="DU5" s="81"/>
      <c r="DV5" s="81"/>
      <c r="DW5" s="121"/>
    </row>
    <row r="6" spans="1:127" x14ac:dyDescent="0.25">
      <c r="A6" s="2">
        <f>COUNTIF($D$2:D6,'Reporte de Nomina'!$E$2)</f>
        <v>0</v>
      </c>
      <c r="B6" s="125">
        <f>Lista!A5</f>
        <v>0</v>
      </c>
      <c r="C6" s="125">
        <f>Lista!B5</f>
        <v>0</v>
      </c>
      <c r="D6" s="125">
        <f>Lista!C5</f>
        <v>0</v>
      </c>
      <c r="E6" s="125">
        <f>Lista!D5</f>
        <v>0</v>
      </c>
      <c r="F6" s="125">
        <f>Lista!E5</f>
        <v>0</v>
      </c>
      <c r="G6" s="125">
        <f>Lista!F5</f>
        <v>0</v>
      </c>
      <c r="H6" s="125">
        <f>Lista!G5</f>
        <v>0</v>
      </c>
      <c r="I6" s="125">
        <f>Lista!H5</f>
        <v>0</v>
      </c>
      <c r="J6" s="125">
        <f>Lista!I5</f>
        <v>0</v>
      </c>
      <c r="K6" s="125">
        <f>Lista!J5</f>
        <v>0</v>
      </c>
      <c r="L6" s="125">
        <f>Lista!K5</f>
        <v>0</v>
      </c>
      <c r="M6" s="125">
        <f>Lista!L5</f>
        <v>0</v>
      </c>
      <c r="N6" s="125">
        <f>Lista!M5</f>
        <v>0</v>
      </c>
      <c r="O6" s="125">
        <f>Lista!N5</f>
        <v>0</v>
      </c>
      <c r="P6" s="125">
        <f>Lista!O5</f>
        <v>0</v>
      </c>
      <c r="Q6" s="125">
        <f>Lista!P5</f>
        <v>0</v>
      </c>
      <c r="R6" s="125">
        <f>Lista!Q5</f>
        <v>0</v>
      </c>
      <c r="S6" s="125">
        <f>Lista!R5</f>
        <v>0</v>
      </c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  <c r="BA6" s="81"/>
      <c r="BB6" s="81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81"/>
      <c r="CF6" s="81"/>
      <c r="CG6" s="81"/>
      <c r="CH6" s="81"/>
      <c r="CI6" s="81"/>
      <c r="CJ6" s="81"/>
      <c r="CK6" s="81"/>
      <c r="CL6" s="81"/>
      <c r="CM6" s="81"/>
      <c r="CN6" s="81"/>
      <c r="CO6" s="81"/>
      <c r="CP6" s="81"/>
      <c r="CQ6" s="81"/>
      <c r="CR6" s="81"/>
      <c r="CS6" s="81"/>
      <c r="CT6" s="81"/>
      <c r="CU6" s="81"/>
      <c r="CV6" s="81"/>
      <c r="CW6" s="81"/>
      <c r="CX6" s="81"/>
      <c r="CY6" s="81"/>
      <c r="CZ6" s="81"/>
      <c r="DA6" s="81"/>
      <c r="DB6" s="81"/>
      <c r="DC6" s="81"/>
      <c r="DD6" s="81"/>
      <c r="DE6" s="81"/>
      <c r="DF6" s="81"/>
      <c r="DG6" s="81"/>
      <c r="DH6" s="81"/>
      <c r="DI6" s="81"/>
      <c r="DJ6" s="81"/>
      <c r="DK6" s="81"/>
      <c r="DL6" s="81"/>
      <c r="DM6" s="81"/>
      <c r="DN6" s="81"/>
      <c r="DO6" s="81"/>
      <c r="DP6" s="81"/>
      <c r="DQ6" s="81"/>
      <c r="DR6" s="81"/>
      <c r="DS6" s="81"/>
      <c r="DT6" s="81"/>
      <c r="DU6" s="81"/>
      <c r="DV6" s="81"/>
      <c r="DW6" s="121"/>
    </row>
    <row r="7" spans="1:127" x14ac:dyDescent="0.25">
      <c r="A7" s="2">
        <f>COUNTIF($D$2:D7,'Reporte de Nomina'!$E$2)</f>
        <v>0</v>
      </c>
      <c r="B7" s="125">
        <f>Lista!A6</f>
        <v>0</v>
      </c>
      <c r="C7" s="125">
        <f>Lista!B6</f>
        <v>0</v>
      </c>
      <c r="D7" s="125">
        <f>Lista!C6</f>
        <v>0</v>
      </c>
      <c r="E7" s="125">
        <f>Lista!D6</f>
        <v>0</v>
      </c>
      <c r="F7" s="125">
        <f>Lista!E6</f>
        <v>0</v>
      </c>
      <c r="G7" s="125">
        <f>Lista!F6</f>
        <v>0</v>
      </c>
      <c r="H7" s="125">
        <f>Lista!G6</f>
        <v>0</v>
      </c>
      <c r="I7" s="125">
        <f>Lista!H6</f>
        <v>0</v>
      </c>
      <c r="J7" s="125">
        <f>Lista!I6</f>
        <v>0</v>
      </c>
      <c r="K7" s="125">
        <f>Lista!J6</f>
        <v>0</v>
      </c>
      <c r="L7" s="125">
        <f>Lista!K6</f>
        <v>0</v>
      </c>
      <c r="M7" s="125">
        <f>Lista!L6</f>
        <v>0</v>
      </c>
      <c r="N7" s="125">
        <f>Lista!M6</f>
        <v>0</v>
      </c>
      <c r="O7" s="125">
        <f>Lista!N6</f>
        <v>0</v>
      </c>
      <c r="P7" s="125">
        <f>Lista!O6</f>
        <v>0</v>
      </c>
      <c r="Q7" s="125">
        <f>Lista!P6</f>
        <v>0</v>
      </c>
      <c r="R7" s="125">
        <f>Lista!Q6</f>
        <v>0</v>
      </c>
      <c r="S7" s="125">
        <f>Lista!R6</f>
        <v>0</v>
      </c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81"/>
      <c r="CF7" s="81"/>
      <c r="CG7" s="81"/>
      <c r="CH7" s="81"/>
      <c r="CI7" s="81"/>
      <c r="CJ7" s="81"/>
      <c r="CK7" s="81"/>
      <c r="CL7" s="81"/>
      <c r="CM7" s="81"/>
      <c r="CN7" s="81"/>
      <c r="CO7" s="81"/>
      <c r="CP7" s="81"/>
      <c r="CQ7" s="81"/>
      <c r="CR7" s="81"/>
      <c r="CS7" s="81"/>
      <c r="CT7" s="81"/>
      <c r="CU7" s="81"/>
      <c r="CV7" s="81"/>
      <c r="CW7" s="81"/>
      <c r="CX7" s="81"/>
      <c r="CY7" s="81"/>
      <c r="CZ7" s="81"/>
      <c r="DA7" s="81"/>
      <c r="DB7" s="81"/>
      <c r="DC7" s="81"/>
      <c r="DD7" s="81"/>
      <c r="DE7" s="81"/>
      <c r="DF7" s="81"/>
      <c r="DG7" s="81"/>
      <c r="DH7" s="81"/>
      <c r="DI7" s="81"/>
      <c r="DJ7" s="81"/>
      <c r="DK7" s="81"/>
      <c r="DL7" s="81"/>
      <c r="DM7" s="81"/>
      <c r="DN7" s="81"/>
      <c r="DO7" s="81"/>
      <c r="DP7" s="81"/>
      <c r="DQ7" s="81"/>
      <c r="DR7" s="81"/>
      <c r="DS7" s="81"/>
      <c r="DT7" s="81"/>
      <c r="DU7" s="81"/>
      <c r="DV7" s="81"/>
      <c r="DW7" s="121"/>
    </row>
    <row r="8" spans="1:127" x14ac:dyDescent="0.25">
      <c r="A8" s="2">
        <f>COUNTIF($D$2:D8,'Reporte de Nomina'!$E$2)</f>
        <v>0</v>
      </c>
      <c r="B8" s="125">
        <f>Lista!A7</f>
        <v>0</v>
      </c>
      <c r="C8" s="125">
        <f>Lista!B7</f>
        <v>0</v>
      </c>
      <c r="D8" s="125">
        <f>Lista!C7</f>
        <v>0</v>
      </c>
      <c r="E8" s="125">
        <f>Lista!D7</f>
        <v>0</v>
      </c>
      <c r="F8" s="125">
        <f>Lista!E7</f>
        <v>0</v>
      </c>
      <c r="G8" s="125">
        <f>Lista!F7</f>
        <v>0</v>
      </c>
      <c r="H8" s="125">
        <f>Lista!G7</f>
        <v>0</v>
      </c>
      <c r="I8" s="125">
        <f>Lista!H7</f>
        <v>0</v>
      </c>
      <c r="J8" s="125">
        <f>Lista!I7</f>
        <v>0</v>
      </c>
      <c r="K8" s="125">
        <f>Lista!J7</f>
        <v>0</v>
      </c>
      <c r="L8" s="125">
        <f>Lista!K7</f>
        <v>0</v>
      </c>
      <c r="M8" s="125">
        <f>Lista!L7</f>
        <v>0</v>
      </c>
      <c r="N8" s="125">
        <f>Lista!M7</f>
        <v>0</v>
      </c>
      <c r="O8" s="125">
        <f>Lista!N7</f>
        <v>0</v>
      </c>
      <c r="P8" s="125">
        <f>Lista!O7</f>
        <v>0</v>
      </c>
      <c r="Q8" s="125">
        <f>Lista!P7</f>
        <v>0</v>
      </c>
      <c r="R8" s="125">
        <f>Lista!Q7</f>
        <v>0</v>
      </c>
      <c r="S8" s="125">
        <f>Lista!R7</f>
        <v>0</v>
      </c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81"/>
      <c r="CF8" s="81"/>
      <c r="CG8" s="81"/>
      <c r="CH8" s="81"/>
      <c r="CI8" s="81"/>
      <c r="CJ8" s="81"/>
      <c r="CK8" s="81"/>
      <c r="CL8" s="81"/>
      <c r="CM8" s="81"/>
      <c r="CN8" s="81"/>
      <c r="CO8" s="81"/>
      <c r="CP8" s="81"/>
      <c r="CQ8" s="81"/>
      <c r="CR8" s="81"/>
      <c r="CS8" s="81"/>
      <c r="CT8" s="81"/>
      <c r="CU8" s="81"/>
      <c r="CV8" s="81"/>
      <c r="CW8" s="81"/>
      <c r="CX8" s="81"/>
      <c r="CY8" s="81"/>
      <c r="CZ8" s="81"/>
      <c r="DA8" s="81"/>
      <c r="DB8" s="81"/>
      <c r="DC8" s="81"/>
      <c r="DD8" s="81"/>
      <c r="DE8" s="81"/>
      <c r="DF8" s="81"/>
      <c r="DG8" s="81"/>
      <c r="DH8" s="81"/>
      <c r="DI8" s="81"/>
      <c r="DJ8" s="81"/>
      <c r="DK8" s="81"/>
      <c r="DL8" s="81"/>
      <c r="DM8" s="81"/>
      <c r="DN8" s="81"/>
      <c r="DO8" s="81"/>
      <c r="DP8" s="81"/>
      <c r="DQ8" s="81"/>
      <c r="DR8" s="81"/>
      <c r="DS8" s="81"/>
      <c r="DT8" s="81"/>
      <c r="DU8" s="81"/>
      <c r="DV8" s="81"/>
      <c r="DW8" s="121"/>
    </row>
    <row r="9" spans="1:127" x14ac:dyDescent="0.25">
      <c r="A9" s="2">
        <f>COUNTIF($D$2:D9,'Reporte de Nomina'!$E$2)</f>
        <v>0</v>
      </c>
      <c r="B9" s="125">
        <f>Lista!A8</f>
        <v>0</v>
      </c>
      <c r="C9" s="125">
        <f>Lista!B8</f>
        <v>0</v>
      </c>
      <c r="D9" s="125">
        <f>Lista!C8</f>
        <v>0</v>
      </c>
      <c r="E9" s="125">
        <f>Lista!D8</f>
        <v>0</v>
      </c>
      <c r="F9" s="125">
        <f>Lista!E8</f>
        <v>0</v>
      </c>
      <c r="G9" s="125">
        <f>Lista!F8</f>
        <v>0</v>
      </c>
      <c r="H9" s="125">
        <f>Lista!G8</f>
        <v>0</v>
      </c>
      <c r="I9" s="125">
        <f>Lista!H8</f>
        <v>0</v>
      </c>
      <c r="J9" s="125">
        <f>Lista!I8</f>
        <v>0</v>
      </c>
      <c r="K9" s="125">
        <f>Lista!J8</f>
        <v>0</v>
      </c>
      <c r="L9" s="125">
        <f>Lista!K8</f>
        <v>0</v>
      </c>
      <c r="M9" s="125">
        <f>Lista!L8</f>
        <v>0</v>
      </c>
      <c r="N9" s="125">
        <f>Lista!M8</f>
        <v>0</v>
      </c>
      <c r="O9" s="125">
        <f>Lista!N8</f>
        <v>0</v>
      </c>
      <c r="P9" s="125">
        <f>Lista!O8</f>
        <v>0</v>
      </c>
      <c r="Q9" s="125">
        <f>Lista!P8</f>
        <v>0</v>
      </c>
      <c r="R9" s="125">
        <f>Lista!Q8</f>
        <v>0</v>
      </c>
      <c r="S9" s="125">
        <f>Lista!R8</f>
        <v>0</v>
      </c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1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81"/>
      <c r="CQ9" s="81"/>
      <c r="CR9" s="81"/>
      <c r="CS9" s="81"/>
      <c r="CT9" s="81"/>
      <c r="CU9" s="81"/>
      <c r="CV9" s="81"/>
      <c r="CW9" s="81"/>
      <c r="CX9" s="81"/>
      <c r="CY9" s="81"/>
      <c r="CZ9" s="81"/>
      <c r="DA9" s="81"/>
      <c r="DB9" s="81"/>
      <c r="DC9" s="81"/>
      <c r="DD9" s="81"/>
      <c r="DE9" s="81"/>
      <c r="DF9" s="81"/>
      <c r="DG9" s="81"/>
      <c r="DH9" s="81"/>
      <c r="DI9" s="81"/>
      <c r="DJ9" s="81"/>
      <c r="DK9" s="81"/>
      <c r="DL9" s="81"/>
      <c r="DM9" s="81"/>
      <c r="DN9" s="81"/>
      <c r="DO9" s="81"/>
      <c r="DP9" s="81"/>
      <c r="DQ9" s="81"/>
      <c r="DR9" s="81"/>
      <c r="DS9" s="81"/>
      <c r="DT9" s="81"/>
      <c r="DU9" s="81"/>
      <c r="DV9" s="81"/>
      <c r="DW9" s="121"/>
    </row>
    <row r="10" spans="1:127" x14ac:dyDescent="0.25">
      <c r="A10" s="2">
        <f>COUNTIF($D$2:D10,'Reporte de Nomina'!$E$2)</f>
        <v>0</v>
      </c>
      <c r="B10" s="125">
        <f>Lista!A9</f>
        <v>0</v>
      </c>
      <c r="C10" s="125">
        <f>Lista!B9</f>
        <v>0</v>
      </c>
      <c r="D10" s="125">
        <f>Lista!C9</f>
        <v>0</v>
      </c>
      <c r="E10" s="125">
        <f>Lista!D9</f>
        <v>0</v>
      </c>
      <c r="F10" s="125">
        <f>Lista!E9</f>
        <v>0</v>
      </c>
      <c r="G10" s="125">
        <f>Lista!F9</f>
        <v>0</v>
      </c>
      <c r="H10" s="125">
        <f>Lista!G9</f>
        <v>0</v>
      </c>
      <c r="I10" s="125">
        <f>Lista!H9</f>
        <v>0</v>
      </c>
      <c r="J10" s="125">
        <f>Lista!I9</f>
        <v>0</v>
      </c>
      <c r="K10" s="125">
        <f>Lista!J9</f>
        <v>0</v>
      </c>
      <c r="L10" s="125">
        <f>Lista!K9</f>
        <v>0</v>
      </c>
      <c r="M10" s="125">
        <f>Lista!L9</f>
        <v>0</v>
      </c>
      <c r="N10" s="125">
        <f>Lista!M9</f>
        <v>0</v>
      </c>
      <c r="O10" s="125">
        <f>Lista!N9</f>
        <v>0</v>
      </c>
      <c r="P10" s="125">
        <f>Lista!O9</f>
        <v>0</v>
      </c>
      <c r="Q10" s="125">
        <f>Lista!P9</f>
        <v>0</v>
      </c>
      <c r="R10" s="125">
        <f>Lista!Q9</f>
        <v>0</v>
      </c>
      <c r="S10" s="125">
        <f>Lista!R9</f>
        <v>0</v>
      </c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1"/>
      <c r="CF10" s="81"/>
      <c r="CG10" s="81"/>
      <c r="CH10" s="81"/>
      <c r="CI10" s="81"/>
      <c r="CJ10" s="81"/>
      <c r="CK10" s="81"/>
      <c r="CL10" s="81"/>
      <c r="CM10" s="81"/>
      <c r="CN10" s="81"/>
      <c r="CO10" s="81"/>
      <c r="CP10" s="81"/>
      <c r="CQ10" s="81"/>
      <c r="CR10" s="81"/>
      <c r="CS10" s="81"/>
      <c r="CT10" s="81"/>
      <c r="CU10" s="81"/>
      <c r="CV10" s="81"/>
      <c r="CW10" s="81"/>
      <c r="CX10" s="81"/>
      <c r="CY10" s="81"/>
      <c r="CZ10" s="81"/>
      <c r="DA10" s="81"/>
      <c r="DB10" s="81"/>
      <c r="DC10" s="81"/>
      <c r="DD10" s="81"/>
      <c r="DE10" s="81"/>
      <c r="DF10" s="81"/>
      <c r="DG10" s="81"/>
      <c r="DH10" s="81"/>
      <c r="DI10" s="81"/>
      <c r="DJ10" s="81"/>
      <c r="DK10" s="81"/>
      <c r="DL10" s="81"/>
      <c r="DM10" s="81"/>
      <c r="DN10" s="81"/>
      <c r="DO10" s="81"/>
      <c r="DP10" s="81"/>
      <c r="DQ10" s="81"/>
      <c r="DR10" s="81"/>
      <c r="DS10" s="81"/>
      <c r="DT10" s="81"/>
      <c r="DU10" s="81"/>
      <c r="DV10" s="81"/>
      <c r="DW10" s="121"/>
    </row>
    <row r="11" spans="1:127" x14ac:dyDescent="0.25">
      <c r="A11" s="2">
        <f>COUNTIF($D$2:D11,'Reporte de Nomina'!$E$2)</f>
        <v>0</v>
      </c>
      <c r="B11" s="125">
        <f>Lista!A10</f>
        <v>0</v>
      </c>
      <c r="C11" s="125">
        <f>Lista!B10</f>
        <v>0</v>
      </c>
      <c r="D11" s="125">
        <f>Lista!C10</f>
        <v>0</v>
      </c>
      <c r="E11" s="125">
        <f>Lista!D10</f>
        <v>0</v>
      </c>
      <c r="F11" s="125">
        <f>Lista!E10</f>
        <v>0</v>
      </c>
      <c r="G11" s="125">
        <f>Lista!F10</f>
        <v>0</v>
      </c>
      <c r="H11" s="125">
        <f>Lista!G10</f>
        <v>0</v>
      </c>
      <c r="I11" s="125">
        <f>Lista!H10</f>
        <v>0</v>
      </c>
      <c r="J11" s="125">
        <f>Lista!I10</f>
        <v>0</v>
      </c>
      <c r="K11" s="125">
        <f>Lista!J10</f>
        <v>0</v>
      </c>
      <c r="L11" s="125">
        <f>Lista!K10</f>
        <v>0</v>
      </c>
      <c r="M11" s="125">
        <f>Lista!L10</f>
        <v>0</v>
      </c>
      <c r="N11" s="125">
        <f>Lista!M10</f>
        <v>0</v>
      </c>
      <c r="O11" s="125">
        <f>Lista!N10</f>
        <v>0</v>
      </c>
      <c r="P11" s="125">
        <f>Lista!O10</f>
        <v>0</v>
      </c>
      <c r="Q11" s="125">
        <f>Lista!P10</f>
        <v>0</v>
      </c>
      <c r="R11" s="125">
        <f>Lista!Q10</f>
        <v>0</v>
      </c>
      <c r="S11" s="125">
        <f>Lista!R10</f>
        <v>0</v>
      </c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1"/>
      <c r="CF11" s="81"/>
      <c r="CG11" s="81"/>
      <c r="CH11" s="81"/>
      <c r="CI11" s="81"/>
      <c r="CJ11" s="81"/>
      <c r="CK11" s="81"/>
      <c r="CL11" s="81"/>
      <c r="CM11" s="81"/>
      <c r="CN11" s="81"/>
      <c r="CO11" s="81"/>
      <c r="CP11" s="81"/>
      <c r="CQ11" s="81"/>
      <c r="CR11" s="81"/>
      <c r="CS11" s="81"/>
      <c r="CT11" s="81"/>
      <c r="CU11" s="81"/>
      <c r="CV11" s="81"/>
      <c r="CW11" s="81"/>
      <c r="CX11" s="81"/>
      <c r="CY11" s="81"/>
      <c r="CZ11" s="81"/>
      <c r="DA11" s="81"/>
      <c r="DB11" s="81"/>
      <c r="DC11" s="81"/>
      <c r="DD11" s="81"/>
      <c r="DE11" s="81"/>
      <c r="DF11" s="81"/>
      <c r="DG11" s="81"/>
      <c r="DH11" s="81"/>
      <c r="DI11" s="81"/>
      <c r="DJ11" s="81"/>
      <c r="DK11" s="81"/>
      <c r="DL11" s="81"/>
      <c r="DM11" s="81"/>
      <c r="DN11" s="81"/>
      <c r="DO11" s="81"/>
      <c r="DP11" s="81"/>
      <c r="DQ11" s="81"/>
      <c r="DR11" s="81"/>
      <c r="DS11" s="81"/>
      <c r="DT11" s="81"/>
      <c r="DU11" s="81"/>
      <c r="DV11" s="81"/>
      <c r="DW11" s="121"/>
    </row>
    <row r="12" spans="1:127" x14ac:dyDescent="0.25">
      <c r="A12" s="2">
        <f>COUNTIF($D$2:D12,'Reporte de Nomina'!$E$2)</f>
        <v>0</v>
      </c>
      <c r="B12" s="125">
        <f>Lista!A11</f>
        <v>0</v>
      </c>
      <c r="C12" s="125">
        <f>Lista!B11</f>
        <v>0</v>
      </c>
      <c r="D12" s="125">
        <f>Lista!C11</f>
        <v>0</v>
      </c>
      <c r="E12" s="125">
        <f>Lista!D11</f>
        <v>0</v>
      </c>
      <c r="F12" s="125">
        <f>Lista!E11</f>
        <v>0</v>
      </c>
      <c r="G12" s="125">
        <f>Lista!F11</f>
        <v>0</v>
      </c>
      <c r="H12" s="125">
        <f>Lista!G11</f>
        <v>0</v>
      </c>
      <c r="I12" s="125">
        <f>Lista!H11</f>
        <v>0</v>
      </c>
      <c r="J12" s="125">
        <f>Lista!I11</f>
        <v>0</v>
      </c>
      <c r="K12" s="125">
        <f>Lista!J11</f>
        <v>0</v>
      </c>
      <c r="L12" s="125">
        <f>Lista!K11</f>
        <v>0</v>
      </c>
      <c r="M12" s="125">
        <f>Lista!L11</f>
        <v>0</v>
      </c>
      <c r="N12" s="125">
        <f>Lista!M11</f>
        <v>0</v>
      </c>
      <c r="O12" s="125">
        <f>Lista!N11</f>
        <v>0</v>
      </c>
      <c r="P12" s="125">
        <f>Lista!O11</f>
        <v>0</v>
      </c>
      <c r="Q12" s="125">
        <f>Lista!P11</f>
        <v>0</v>
      </c>
      <c r="R12" s="125">
        <f>Lista!Q11</f>
        <v>0</v>
      </c>
      <c r="S12" s="125">
        <f>Lista!R11</f>
        <v>0</v>
      </c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  <c r="BA12" s="81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1"/>
      <c r="CF12" s="81"/>
      <c r="CG12" s="81"/>
      <c r="CH12" s="81"/>
      <c r="CI12" s="81"/>
      <c r="CJ12" s="81"/>
      <c r="CK12" s="81"/>
      <c r="CL12" s="81"/>
      <c r="CM12" s="81"/>
      <c r="CN12" s="81"/>
      <c r="CO12" s="81"/>
      <c r="CP12" s="81"/>
      <c r="CQ12" s="81"/>
      <c r="CR12" s="81"/>
      <c r="CS12" s="81"/>
      <c r="CT12" s="81"/>
      <c r="CU12" s="81"/>
      <c r="CV12" s="81"/>
      <c r="CW12" s="81"/>
      <c r="CX12" s="81"/>
      <c r="CY12" s="81"/>
      <c r="CZ12" s="81"/>
      <c r="DA12" s="81"/>
      <c r="DB12" s="81"/>
      <c r="DC12" s="81"/>
      <c r="DD12" s="81"/>
      <c r="DE12" s="81"/>
      <c r="DF12" s="81"/>
      <c r="DG12" s="81"/>
      <c r="DH12" s="81"/>
      <c r="DI12" s="81"/>
      <c r="DJ12" s="81"/>
      <c r="DK12" s="81"/>
      <c r="DL12" s="81"/>
      <c r="DM12" s="81"/>
      <c r="DN12" s="81"/>
      <c r="DO12" s="81"/>
      <c r="DP12" s="81"/>
      <c r="DQ12" s="81"/>
      <c r="DR12" s="81"/>
      <c r="DS12" s="81"/>
      <c r="DT12" s="81"/>
      <c r="DU12" s="81"/>
      <c r="DV12" s="81"/>
      <c r="DW12" s="121"/>
    </row>
    <row r="13" spans="1:127" x14ac:dyDescent="0.25">
      <c r="A13" s="2">
        <f>COUNTIF($D$2:D13,'Reporte de Nomina'!$E$2)</f>
        <v>0</v>
      </c>
      <c r="B13" s="125">
        <f>Lista!A12</f>
        <v>0</v>
      </c>
      <c r="C13" s="125">
        <f>Lista!B12</f>
        <v>0</v>
      </c>
      <c r="D13" s="125">
        <f>Lista!C12</f>
        <v>0</v>
      </c>
      <c r="E13" s="125">
        <f>Lista!D12</f>
        <v>0</v>
      </c>
      <c r="F13" s="125">
        <f>Lista!E12</f>
        <v>0</v>
      </c>
      <c r="G13" s="125">
        <f>Lista!F12</f>
        <v>0</v>
      </c>
      <c r="H13" s="125">
        <f>Lista!G12</f>
        <v>0</v>
      </c>
      <c r="I13" s="125">
        <f>Lista!H12</f>
        <v>0</v>
      </c>
      <c r="J13" s="125">
        <f>Lista!I12</f>
        <v>0</v>
      </c>
      <c r="K13" s="125">
        <f>Lista!J12</f>
        <v>0</v>
      </c>
      <c r="L13" s="125">
        <f>Lista!K12</f>
        <v>0</v>
      </c>
      <c r="M13" s="125">
        <f>Lista!L12</f>
        <v>0</v>
      </c>
      <c r="N13" s="125">
        <f>Lista!M12</f>
        <v>0</v>
      </c>
      <c r="O13" s="125">
        <f>Lista!N12</f>
        <v>0</v>
      </c>
      <c r="P13" s="125">
        <f>Lista!O12</f>
        <v>0</v>
      </c>
      <c r="Q13" s="125">
        <f>Lista!P12</f>
        <v>0</v>
      </c>
      <c r="R13" s="125">
        <f>Lista!Q12</f>
        <v>0</v>
      </c>
      <c r="S13" s="125">
        <f>Lista!R12</f>
        <v>0</v>
      </c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1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1"/>
      <c r="CT13" s="81"/>
      <c r="CU13" s="81"/>
      <c r="CV13" s="81"/>
      <c r="CW13" s="81"/>
      <c r="CX13" s="81"/>
      <c r="CY13" s="81"/>
      <c r="CZ13" s="81"/>
      <c r="DA13" s="81"/>
      <c r="DB13" s="81"/>
      <c r="DC13" s="81"/>
      <c r="DD13" s="81"/>
      <c r="DE13" s="81"/>
      <c r="DF13" s="81"/>
      <c r="DG13" s="81"/>
      <c r="DH13" s="81"/>
      <c r="DI13" s="81"/>
      <c r="DJ13" s="81"/>
      <c r="DK13" s="81"/>
      <c r="DL13" s="81"/>
      <c r="DM13" s="81"/>
      <c r="DN13" s="81"/>
      <c r="DO13" s="81"/>
      <c r="DP13" s="81"/>
      <c r="DQ13" s="81"/>
      <c r="DR13" s="81"/>
      <c r="DS13" s="81"/>
      <c r="DT13" s="81"/>
      <c r="DU13" s="81"/>
      <c r="DV13" s="81"/>
      <c r="DW13" s="121"/>
    </row>
    <row r="14" spans="1:127" x14ac:dyDescent="0.25">
      <c r="A14" s="2">
        <f>COUNTIF($D$2:D14,'Reporte de Nomina'!$E$2)</f>
        <v>0</v>
      </c>
      <c r="B14" s="125">
        <f>Lista!A13</f>
        <v>0</v>
      </c>
      <c r="C14" s="125">
        <f>Lista!B13</f>
        <v>0</v>
      </c>
      <c r="D14" s="125">
        <f>Lista!C13</f>
        <v>0</v>
      </c>
      <c r="E14" s="125">
        <f>Lista!D13</f>
        <v>0</v>
      </c>
      <c r="F14" s="125">
        <f>Lista!E13</f>
        <v>0</v>
      </c>
      <c r="G14" s="125">
        <f>Lista!F13</f>
        <v>0</v>
      </c>
      <c r="H14" s="125">
        <f>Lista!G13</f>
        <v>0</v>
      </c>
      <c r="I14" s="125">
        <f>Lista!H13</f>
        <v>0</v>
      </c>
      <c r="J14" s="125">
        <f>Lista!I13</f>
        <v>0</v>
      </c>
      <c r="K14" s="125">
        <f>Lista!J13</f>
        <v>0</v>
      </c>
      <c r="L14" s="125">
        <f>Lista!K13</f>
        <v>0</v>
      </c>
      <c r="M14" s="125">
        <f>Lista!L13</f>
        <v>0</v>
      </c>
      <c r="N14" s="125">
        <f>Lista!M13</f>
        <v>0</v>
      </c>
      <c r="O14" s="125">
        <f>Lista!N13</f>
        <v>0</v>
      </c>
      <c r="P14" s="125">
        <f>Lista!O13</f>
        <v>0</v>
      </c>
      <c r="Q14" s="125">
        <f>Lista!P13</f>
        <v>0</v>
      </c>
      <c r="R14" s="125">
        <f>Lista!Q13</f>
        <v>0</v>
      </c>
      <c r="S14" s="125">
        <f>Lista!R13</f>
        <v>0</v>
      </c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81"/>
      <c r="CF14" s="81"/>
      <c r="CG14" s="81"/>
      <c r="CH14" s="81"/>
      <c r="CI14" s="81"/>
      <c r="CJ14" s="81"/>
      <c r="CK14" s="81"/>
      <c r="CL14" s="81"/>
      <c r="CM14" s="81"/>
      <c r="CN14" s="81"/>
      <c r="CO14" s="81"/>
      <c r="CP14" s="81"/>
      <c r="CQ14" s="81"/>
      <c r="CR14" s="81"/>
      <c r="CS14" s="81"/>
      <c r="CT14" s="81"/>
      <c r="CU14" s="81"/>
      <c r="CV14" s="81"/>
      <c r="CW14" s="81"/>
      <c r="CX14" s="81"/>
      <c r="CY14" s="81"/>
      <c r="CZ14" s="81"/>
      <c r="DA14" s="81"/>
      <c r="DB14" s="81"/>
      <c r="DC14" s="81"/>
      <c r="DD14" s="81"/>
      <c r="DE14" s="81"/>
      <c r="DF14" s="81"/>
      <c r="DG14" s="81"/>
      <c r="DH14" s="81"/>
      <c r="DI14" s="81"/>
      <c r="DJ14" s="81"/>
      <c r="DK14" s="81"/>
      <c r="DL14" s="81"/>
      <c r="DM14" s="81"/>
      <c r="DN14" s="81"/>
      <c r="DO14" s="81"/>
      <c r="DP14" s="81"/>
      <c r="DQ14" s="81"/>
      <c r="DR14" s="81"/>
      <c r="DS14" s="81"/>
      <c r="DT14" s="81"/>
      <c r="DU14" s="81"/>
      <c r="DV14" s="81"/>
      <c r="DW14" s="121"/>
    </row>
    <row r="15" spans="1:127" x14ac:dyDescent="0.25">
      <c r="A15" s="2">
        <f>COUNTIF($D$2:D15,'Reporte de Nomina'!$E$2)</f>
        <v>0</v>
      </c>
      <c r="B15" s="125">
        <f>Lista!A14</f>
        <v>0</v>
      </c>
      <c r="C15" s="125">
        <f>Lista!B14</f>
        <v>0</v>
      </c>
      <c r="D15" s="125">
        <f>Lista!C14</f>
        <v>0</v>
      </c>
      <c r="E15" s="125">
        <f>Lista!D14</f>
        <v>0</v>
      </c>
      <c r="F15" s="125">
        <f>Lista!E14</f>
        <v>0</v>
      </c>
      <c r="G15" s="125">
        <f>Lista!F14</f>
        <v>0</v>
      </c>
      <c r="H15" s="125">
        <f>Lista!G14</f>
        <v>0</v>
      </c>
      <c r="I15" s="125">
        <f>Lista!H14</f>
        <v>0</v>
      </c>
      <c r="J15" s="125">
        <f>Lista!I14</f>
        <v>0</v>
      </c>
      <c r="K15" s="125">
        <f>Lista!J14</f>
        <v>0</v>
      </c>
      <c r="L15" s="125">
        <f>Lista!K14</f>
        <v>0</v>
      </c>
      <c r="M15" s="125">
        <f>Lista!L14</f>
        <v>0</v>
      </c>
      <c r="N15" s="125">
        <f>Lista!M14</f>
        <v>0</v>
      </c>
      <c r="O15" s="125">
        <f>Lista!N14</f>
        <v>0</v>
      </c>
      <c r="P15" s="125">
        <f>Lista!O14</f>
        <v>0</v>
      </c>
      <c r="Q15" s="125">
        <f>Lista!P14</f>
        <v>0</v>
      </c>
      <c r="R15" s="125">
        <f>Lista!Q14</f>
        <v>0</v>
      </c>
      <c r="S15" s="125">
        <f>Lista!R14</f>
        <v>0</v>
      </c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G15" s="81"/>
      <c r="CH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J15" s="81"/>
      <c r="DK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W15" s="121"/>
    </row>
    <row r="16" spans="1:127" x14ac:dyDescent="0.25">
      <c r="A16" s="2">
        <f>COUNTIF($D$2:D16,'Reporte de Nomina'!$E$2)</f>
        <v>0</v>
      </c>
      <c r="B16" s="125">
        <f>Lista!A15</f>
        <v>0</v>
      </c>
      <c r="C16" s="125">
        <f>Lista!B15</f>
        <v>0</v>
      </c>
      <c r="D16" s="125">
        <f>Lista!C15</f>
        <v>0</v>
      </c>
      <c r="E16" s="125">
        <f>Lista!D15</f>
        <v>0</v>
      </c>
      <c r="F16" s="125">
        <f>Lista!E15</f>
        <v>0</v>
      </c>
      <c r="G16" s="125">
        <f>Lista!F15</f>
        <v>0</v>
      </c>
      <c r="H16" s="125">
        <f>Lista!G15</f>
        <v>0</v>
      </c>
      <c r="I16" s="125">
        <f>Lista!H15</f>
        <v>0</v>
      </c>
      <c r="J16" s="125">
        <f>Lista!I15</f>
        <v>0</v>
      </c>
      <c r="K16" s="125">
        <f>Lista!J15</f>
        <v>0</v>
      </c>
      <c r="L16" s="125">
        <f>Lista!K15</f>
        <v>0</v>
      </c>
      <c r="M16" s="125">
        <f>Lista!L15</f>
        <v>0</v>
      </c>
      <c r="N16" s="125">
        <f>Lista!M15</f>
        <v>0</v>
      </c>
      <c r="O16" s="125">
        <f>Lista!N15</f>
        <v>0</v>
      </c>
      <c r="P16" s="125">
        <f>Lista!O15</f>
        <v>0</v>
      </c>
      <c r="Q16" s="125">
        <f>Lista!P15</f>
        <v>0</v>
      </c>
      <c r="R16" s="125">
        <f>Lista!Q15</f>
        <v>0</v>
      </c>
      <c r="S16" s="125">
        <f>Lista!R15</f>
        <v>0</v>
      </c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81"/>
      <c r="CF16" s="81"/>
      <c r="CG16" s="81"/>
      <c r="CH16" s="81"/>
      <c r="CI16" s="81"/>
      <c r="CJ16" s="81"/>
      <c r="CK16" s="81"/>
      <c r="CL16" s="81"/>
      <c r="CM16" s="81"/>
      <c r="CN16" s="81"/>
      <c r="CO16" s="81"/>
      <c r="CP16" s="81"/>
      <c r="CQ16" s="81"/>
      <c r="CR16" s="81"/>
      <c r="CS16" s="81"/>
      <c r="CT16" s="81"/>
      <c r="CU16" s="81"/>
      <c r="CV16" s="81"/>
      <c r="CW16" s="81"/>
      <c r="CX16" s="81"/>
      <c r="CY16" s="81"/>
      <c r="CZ16" s="81"/>
      <c r="DA16" s="81"/>
      <c r="DB16" s="81"/>
      <c r="DC16" s="81"/>
      <c r="DD16" s="81"/>
      <c r="DE16" s="81"/>
      <c r="DF16" s="81"/>
      <c r="DG16" s="81"/>
      <c r="DH16" s="81"/>
      <c r="DI16" s="81"/>
      <c r="DJ16" s="81"/>
      <c r="DK16" s="81"/>
      <c r="DL16" s="81"/>
      <c r="DM16" s="81"/>
      <c r="DN16" s="81"/>
      <c r="DO16" s="81"/>
      <c r="DP16" s="81"/>
      <c r="DQ16" s="81"/>
      <c r="DR16" s="81"/>
      <c r="DS16" s="81"/>
      <c r="DT16" s="81"/>
      <c r="DU16" s="81"/>
      <c r="DV16" s="81"/>
      <c r="DW16" s="121"/>
    </row>
    <row r="17" spans="1:127" x14ac:dyDescent="0.25">
      <c r="A17" s="2">
        <f>COUNTIF($D$2:D17,'Reporte de Nomina'!$E$2)</f>
        <v>0</v>
      </c>
      <c r="B17" s="125">
        <f>Lista!A16</f>
        <v>0</v>
      </c>
      <c r="C17" s="125">
        <f>Lista!B16</f>
        <v>0</v>
      </c>
      <c r="D17" s="125">
        <f>Lista!C16</f>
        <v>0</v>
      </c>
      <c r="E17" s="125">
        <f>Lista!D16</f>
        <v>0</v>
      </c>
      <c r="F17" s="125">
        <f>Lista!E16</f>
        <v>0</v>
      </c>
      <c r="G17" s="125">
        <f>Lista!F16</f>
        <v>0</v>
      </c>
      <c r="H17" s="125">
        <f>Lista!G16</f>
        <v>0</v>
      </c>
      <c r="I17" s="125">
        <f>Lista!H16</f>
        <v>0</v>
      </c>
      <c r="J17" s="125">
        <f>Lista!I16</f>
        <v>0</v>
      </c>
      <c r="K17" s="125">
        <f>Lista!J16</f>
        <v>0</v>
      </c>
      <c r="L17" s="125">
        <f>Lista!K16</f>
        <v>0</v>
      </c>
      <c r="M17" s="125">
        <f>Lista!L16</f>
        <v>0</v>
      </c>
      <c r="N17" s="125">
        <f>Lista!M16</f>
        <v>0</v>
      </c>
      <c r="O17" s="125">
        <f>Lista!N16</f>
        <v>0</v>
      </c>
      <c r="P17" s="125">
        <f>Lista!O16</f>
        <v>0</v>
      </c>
      <c r="Q17" s="125">
        <f>Lista!P16</f>
        <v>0</v>
      </c>
      <c r="R17" s="125">
        <f>Lista!Q16</f>
        <v>0</v>
      </c>
      <c r="S17" s="125">
        <f>Lista!R16</f>
        <v>0</v>
      </c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81"/>
      <c r="CF17" s="81"/>
      <c r="CG17" s="81"/>
      <c r="CH17" s="81"/>
      <c r="CI17" s="81"/>
      <c r="CJ17" s="81"/>
      <c r="CK17" s="81"/>
      <c r="CL17" s="81"/>
      <c r="CM17" s="81"/>
      <c r="CN17" s="81"/>
      <c r="CO17" s="81"/>
      <c r="CP17" s="81"/>
      <c r="CQ17" s="81"/>
      <c r="CR17" s="81"/>
      <c r="CS17" s="81"/>
      <c r="CT17" s="81"/>
      <c r="CU17" s="81"/>
      <c r="CV17" s="81"/>
      <c r="CW17" s="81"/>
      <c r="CX17" s="81"/>
      <c r="CY17" s="81"/>
      <c r="CZ17" s="81"/>
      <c r="DA17" s="81"/>
      <c r="DB17" s="81"/>
      <c r="DC17" s="81"/>
      <c r="DD17" s="81"/>
      <c r="DE17" s="81"/>
      <c r="DF17" s="81"/>
      <c r="DG17" s="81"/>
      <c r="DH17" s="81"/>
      <c r="DI17" s="81"/>
      <c r="DJ17" s="81"/>
      <c r="DK17" s="81"/>
      <c r="DL17" s="81"/>
      <c r="DM17" s="81"/>
      <c r="DN17" s="81"/>
      <c r="DO17" s="81"/>
      <c r="DP17" s="81"/>
      <c r="DQ17" s="81"/>
      <c r="DR17" s="81"/>
      <c r="DS17" s="81"/>
      <c r="DT17" s="81"/>
      <c r="DU17" s="81"/>
      <c r="DV17" s="81"/>
      <c r="DW17" s="121"/>
    </row>
    <row r="18" spans="1:127" x14ac:dyDescent="0.25">
      <c r="A18" s="2">
        <f>COUNTIF($D$2:D18,'Reporte de Nomina'!$E$2)</f>
        <v>0</v>
      </c>
      <c r="B18" s="125">
        <f>Lista!A17</f>
        <v>0</v>
      </c>
      <c r="C18" s="125">
        <f>Lista!B17</f>
        <v>0</v>
      </c>
      <c r="D18" s="125">
        <f>Lista!C17</f>
        <v>0</v>
      </c>
      <c r="E18" s="125">
        <f>Lista!D17</f>
        <v>0</v>
      </c>
      <c r="F18" s="125">
        <f>Lista!E17</f>
        <v>0</v>
      </c>
      <c r="G18" s="125">
        <f>Lista!F17</f>
        <v>0</v>
      </c>
      <c r="H18" s="125">
        <f>Lista!G17</f>
        <v>0</v>
      </c>
      <c r="I18" s="125">
        <f>Lista!H17</f>
        <v>0</v>
      </c>
      <c r="J18" s="125">
        <f>Lista!I17</f>
        <v>0</v>
      </c>
      <c r="K18" s="125">
        <f>Lista!J17</f>
        <v>0</v>
      </c>
      <c r="L18" s="125">
        <f>Lista!K17</f>
        <v>0</v>
      </c>
      <c r="M18" s="125">
        <f>Lista!L17</f>
        <v>0</v>
      </c>
      <c r="N18" s="125">
        <f>Lista!M17</f>
        <v>0</v>
      </c>
      <c r="O18" s="125">
        <f>Lista!N17</f>
        <v>0</v>
      </c>
      <c r="P18" s="125">
        <f>Lista!O17</f>
        <v>0</v>
      </c>
      <c r="Q18" s="125">
        <f>Lista!P17</f>
        <v>0</v>
      </c>
      <c r="R18" s="125">
        <f>Lista!Q17</f>
        <v>0</v>
      </c>
      <c r="S18" s="125">
        <f>Lista!R17</f>
        <v>0</v>
      </c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81"/>
      <c r="CF18" s="81"/>
      <c r="CG18" s="81"/>
      <c r="CH18" s="81"/>
      <c r="CI18" s="81"/>
      <c r="CJ18" s="81"/>
      <c r="CK18" s="81"/>
      <c r="CL18" s="81"/>
      <c r="CM18" s="81"/>
      <c r="CN18" s="81"/>
      <c r="CO18" s="81"/>
      <c r="CP18" s="81"/>
      <c r="CQ18" s="81"/>
      <c r="CR18" s="81"/>
      <c r="CS18" s="81"/>
      <c r="CT18" s="81"/>
      <c r="CU18" s="81"/>
      <c r="CV18" s="81"/>
      <c r="CW18" s="81"/>
      <c r="CX18" s="81"/>
      <c r="CY18" s="81"/>
      <c r="CZ18" s="81"/>
      <c r="DA18" s="81"/>
      <c r="DB18" s="81"/>
      <c r="DC18" s="81"/>
      <c r="DD18" s="81"/>
      <c r="DE18" s="81"/>
      <c r="DF18" s="81"/>
      <c r="DG18" s="81"/>
      <c r="DH18" s="81"/>
      <c r="DI18" s="81"/>
      <c r="DJ18" s="81"/>
      <c r="DK18" s="81"/>
      <c r="DL18" s="81"/>
      <c r="DM18" s="81"/>
      <c r="DN18" s="81"/>
      <c r="DO18" s="81"/>
      <c r="DP18" s="81"/>
      <c r="DQ18" s="81"/>
      <c r="DR18" s="81"/>
      <c r="DS18" s="81"/>
      <c r="DT18" s="81"/>
      <c r="DU18" s="81"/>
      <c r="DV18" s="81"/>
      <c r="DW18" s="121"/>
    </row>
    <row r="19" spans="1:127" x14ac:dyDescent="0.25">
      <c r="A19" s="2">
        <f>COUNTIF($D$2:D19,'Reporte de Nomina'!$E$2)</f>
        <v>0</v>
      </c>
      <c r="B19" s="125">
        <f>Lista!A18</f>
        <v>0</v>
      </c>
      <c r="C19" s="125">
        <f>Lista!B18</f>
        <v>0</v>
      </c>
      <c r="D19" s="125">
        <f>Lista!C18</f>
        <v>0</v>
      </c>
      <c r="E19" s="125">
        <f>Lista!D18</f>
        <v>0</v>
      </c>
      <c r="F19" s="125">
        <f>Lista!E18</f>
        <v>0</v>
      </c>
      <c r="G19" s="125">
        <f>Lista!F18</f>
        <v>0</v>
      </c>
      <c r="H19" s="125">
        <f>Lista!G18</f>
        <v>0</v>
      </c>
      <c r="I19" s="125">
        <f>Lista!H18</f>
        <v>0</v>
      </c>
      <c r="J19" s="125">
        <f>Lista!I18</f>
        <v>0</v>
      </c>
      <c r="K19" s="125">
        <f>Lista!J18</f>
        <v>0</v>
      </c>
      <c r="L19" s="125">
        <f>Lista!K18</f>
        <v>0</v>
      </c>
      <c r="M19" s="125">
        <f>Lista!L18</f>
        <v>0</v>
      </c>
      <c r="N19" s="125">
        <f>Lista!M18</f>
        <v>0</v>
      </c>
      <c r="O19" s="125">
        <f>Lista!N18</f>
        <v>0</v>
      </c>
      <c r="P19" s="125">
        <f>Lista!O18</f>
        <v>0</v>
      </c>
      <c r="Q19" s="125">
        <f>Lista!P18</f>
        <v>0</v>
      </c>
      <c r="R19" s="125">
        <f>Lista!Q18</f>
        <v>0</v>
      </c>
      <c r="S19" s="125">
        <f>Lista!R18</f>
        <v>0</v>
      </c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/>
      <c r="CG19" s="81"/>
      <c r="CH19" s="81"/>
      <c r="CI19" s="81"/>
      <c r="CJ19" s="81"/>
      <c r="CK19" s="81"/>
      <c r="CL19" s="81"/>
      <c r="CM19" s="81"/>
      <c r="CN19" s="81"/>
      <c r="CO19" s="81"/>
      <c r="CP19" s="81"/>
      <c r="CQ19" s="81"/>
      <c r="CR19" s="81"/>
      <c r="CS19" s="81"/>
      <c r="CT19" s="81"/>
      <c r="CU19" s="81"/>
      <c r="CV19" s="81"/>
      <c r="CW19" s="81"/>
      <c r="CX19" s="81"/>
      <c r="CY19" s="81"/>
      <c r="CZ19" s="81"/>
      <c r="DA19" s="81"/>
      <c r="DB19" s="81"/>
      <c r="DC19" s="81"/>
      <c r="DD19" s="81"/>
      <c r="DE19" s="81"/>
      <c r="DF19" s="81"/>
      <c r="DG19" s="81"/>
      <c r="DH19" s="81"/>
      <c r="DI19" s="81"/>
      <c r="DJ19" s="81"/>
      <c r="DK19" s="81"/>
      <c r="DL19" s="81"/>
      <c r="DM19" s="81"/>
      <c r="DN19" s="81"/>
      <c r="DO19" s="81"/>
      <c r="DP19" s="81"/>
      <c r="DQ19" s="81"/>
      <c r="DR19" s="81"/>
      <c r="DS19" s="81"/>
      <c r="DT19" s="81"/>
      <c r="DU19" s="81"/>
      <c r="DV19" s="81"/>
      <c r="DW19" s="121"/>
    </row>
    <row r="20" spans="1:127" x14ac:dyDescent="0.25">
      <c r="A20" s="2">
        <f>COUNTIF($D$2:D20,'Reporte de Nomina'!$E$2)</f>
        <v>0</v>
      </c>
      <c r="B20" s="125">
        <f>Lista!A19</f>
        <v>0</v>
      </c>
      <c r="C20" s="125">
        <f>Lista!B19</f>
        <v>0</v>
      </c>
      <c r="D20" s="125">
        <f>Lista!C19</f>
        <v>0</v>
      </c>
      <c r="E20" s="125">
        <f>Lista!D19</f>
        <v>0</v>
      </c>
      <c r="F20" s="125">
        <f>Lista!E19</f>
        <v>0</v>
      </c>
      <c r="G20" s="125">
        <f>Lista!F19</f>
        <v>0</v>
      </c>
      <c r="H20" s="125">
        <f>Lista!G19</f>
        <v>0</v>
      </c>
      <c r="I20" s="125">
        <f>Lista!H19</f>
        <v>0</v>
      </c>
      <c r="J20" s="125">
        <f>Lista!I19</f>
        <v>0</v>
      </c>
      <c r="K20" s="125">
        <f>Lista!J19</f>
        <v>0</v>
      </c>
      <c r="L20" s="125">
        <f>Lista!K19</f>
        <v>0</v>
      </c>
      <c r="M20" s="125">
        <f>Lista!L19</f>
        <v>0</v>
      </c>
      <c r="N20" s="125">
        <f>Lista!M19</f>
        <v>0</v>
      </c>
      <c r="O20" s="125">
        <f>Lista!N19</f>
        <v>0</v>
      </c>
      <c r="P20" s="125">
        <f>Lista!O19</f>
        <v>0</v>
      </c>
      <c r="Q20" s="125">
        <f>Lista!P19</f>
        <v>0</v>
      </c>
      <c r="R20" s="125">
        <f>Lista!Q19</f>
        <v>0</v>
      </c>
      <c r="S20" s="125">
        <f>Lista!R19</f>
        <v>0</v>
      </c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81"/>
      <c r="CF20" s="81"/>
      <c r="CG20" s="81"/>
      <c r="CH20" s="81"/>
      <c r="CI20" s="81"/>
      <c r="CJ20" s="81"/>
      <c r="CK20" s="81"/>
      <c r="CL20" s="81"/>
      <c r="CM20" s="81"/>
      <c r="CN20" s="81"/>
      <c r="CO20" s="81"/>
      <c r="CP20" s="81"/>
      <c r="CQ20" s="81"/>
      <c r="CR20" s="81"/>
      <c r="CS20" s="81"/>
      <c r="CT20" s="81"/>
      <c r="CU20" s="81"/>
      <c r="CV20" s="81"/>
      <c r="CW20" s="81"/>
      <c r="CX20" s="81"/>
      <c r="CY20" s="81"/>
      <c r="CZ20" s="81"/>
      <c r="DA20" s="81"/>
      <c r="DB20" s="81"/>
      <c r="DC20" s="81"/>
      <c r="DD20" s="81"/>
      <c r="DE20" s="81"/>
      <c r="DF20" s="81"/>
      <c r="DG20" s="81"/>
      <c r="DH20" s="81"/>
      <c r="DI20" s="81"/>
      <c r="DJ20" s="81"/>
      <c r="DK20" s="81"/>
      <c r="DL20" s="81"/>
      <c r="DM20" s="81"/>
      <c r="DN20" s="81"/>
      <c r="DO20" s="81"/>
      <c r="DP20" s="81"/>
      <c r="DQ20" s="81"/>
      <c r="DR20" s="81"/>
      <c r="DS20" s="81"/>
      <c r="DT20" s="81"/>
      <c r="DU20" s="81"/>
      <c r="DV20" s="81"/>
      <c r="DW20" s="121"/>
    </row>
    <row r="21" spans="1:127" x14ac:dyDescent="0.25">
      <c r="A21" s="2">
        <f>COUNTIF($D$2:D21,'Reporte de Nomina'!$E$2)</f>
        <v>0</v>
      </c>
      <c r="B21" s="125">
        <f>Lista!A20</f>
        <v>0</v>
      </c>
      <c r="C21" s="125">
        <f>Lista!B20</f>
        <v>0</v>
      </c>
      <c r="D21" s="125">
        <f>Lista!C20</f>
        <v>0</v>
      </c>
      <c r="E21" s="125">
        <f>Lista!D20</f>
        <v>0</v>
      </c>
      <c r="F21" s="125">
        <f>Lista!E20</f>
        <v>0</v>
      </c>
      <c r="G21" s="125">
        <f>Lista!F20</f>
        <v>0</v>
      </c>
      <c r="H21" s="125">
        <f>Lista!G20</f>
        <v>0</v>
      </c>
      <c r="I21" s="125">
        <f>Lista!H20</f>
        <v>0</v>
      </c>
      <c r="J21" s="125">
        <f>Lista!I20</f>
        <v>0</v>
      </c>
      <c r="K21" s="125">
        <f>Lista!J20</f>
        <v>0</v>
      </c>
      <c r="L21" s="125">
        <f>Lista!K20</f>
        <v>0</v>
      </c>
      <c r="M21" s="125">
        <f>Lista!L20</f>
        <v>0</v>
      </c>
      <c r="N21" s="125">
        <f>Lista!M20</f>
        <v>0</v>
      </c>
      <c r="O21" s="125">
        <f>Lista!N20</f>
        <v>0</v>
      </c>
      <c r="P21" s="125">
        <f>Lista!O20</f>
        <v>0</v>
      </c>
      <c r="Q21" s="125">
        <f>Lista!P20</f>
        <v>0</v>
      </c>
      <c r="R21" s="125">
        <f>Lista!Q20</f>
        <v>0</v>
      </c>
      <c r="S21" s="125">
        <f>Lista!R20</f>
        <v>0</v>
      </c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81"/>
      <c r="CF21" s="81"/>
      <c r="CG21" s="81"/>
      <c r="CH21" s="81"/>
      <c r="CI21" s="81"/>
      <c r="CJ21" s="81"/>
      <c r="CK21" s="81"/>
      <c r="CL21" s="81"/>
      <c r="CM21" s="81"/>
      <c r="CN21" s="81"/>
      <c r="CO21" s="81"/>
      <c r="CP21" s="81"/>
      <c r="CQ21" s="81"/>
      <c r="CR21" s="81"/>
      <c r="CS21" s="81"/>
      <c r="CT21" s="81"/>
      <c r="CU21" s="81"/>
      <c r="CV21" s="81"/>
      <c r="CW21" s="81"/>
      <c r="CX21" s="81"/>
      <c r="CY21" s="81"/>
      <c r="CZ21" s="81"/>
      <c r="DA21" s="81"/>
      <c r="DB21" s="81"/>
      <c r="DC21" s="81"/>
      <c r="DD21" s="81"/>
      <c r="DE21" s="81"/>
      <c r="DF21" s="81"/>
      <c r="DG21" s="81"/>
      <c r="DH21" s="81"/>
      <c r="DI21" s="81"/>
      <c r="DJ21" s="81"/>
      <c r="DK21" s="81"/>
      <c r="DL21" s="81"/>
      <c r="DM21" s="81"/>
      <c r="DN21" s="81"/>
      <c r="DO21" s="81"/>
      <c r="DP21" s="81"/>
      <c r="DQ21" s="81"/>
      <c r="DR21" s="81"/>
      <c r="DS21" s="81"/>
      <c r="DT21" s="81"/>
      <c r="DU21" s="81"/>
      <c r="DV21" s="81"/>
      <c r="DW21" s="121"/>
    </row>
    <row r="22" spans="1:127" x14ac:dyDescent="0.25">
      <c r="A22" s="2">
        <f>COUNTIF($D$2:D22,'Reporte de Nomina'!$E$2)</f>
        <v>0</v>
      </c>
      <c r="B22" s="125">
        <f>Lista!A21</f>
        <v>0</v>
      </c>
      <c r="C22" s="125">
        <f>Lista!B21</f>
        <v>0</v>
      </c>
      <c r="D22" s="125">
        <f>Lista!C21</f>
        <v>0</v>
      </c>
      <c r="E22" s="125">
        <f>Lista!D21</f>
        <v>0</v>
      </c>
      <c r="F22" s="125">
        <f>Lista!E21</f>
        <v>0</v>
      </c>
      <c r="G22" s="125">
        <f>Lista!F21</f>
        <v>0</v>
      </c>
      <c r="H22" s="125">
        <f>Lista!G21</f>
        <v>0</v>
      </c>
      <c r="I22" s="125">
        <f>Lista!H21</f>
        <v>0</v>
      </c>
      <c r="J22" s="125">
        <f>Lista!I21</f>
        <v>0</v>
      </c>
      <c r="K22" s="125">
        <f>Lista!J21</f>
        <v>0</v>
      </c>
      <c r="L22" s="125">
        <f>Lista!K21</f>
        <v>0</v>
      </c>
      <c r="M22" s="125">
        <f>Lista!L21</f>
        <v>0</v>
      </c>
      <c r="N22" s="125">
        <f>Lista!M21</f>
        <v>0</v>
      </c>
      <c r="O22" s="125">
        <f>Lista!N21</f>
        <v>0</v>
      </c>
      <c r="P22" s="125">
        <f>Lista!O21</f>
        <v>0</v>
      </c>
      <c r="Q22" s="125">
        <f>Lista!P21</f>
        <v>0</v>
      </c>
      <c r="R22" s="125">
        <f>Lista!Q21</f>
        <v>0</v>
      </c>
      <c r="S22" s="125">
        <f>Lista!R21</f>
        <v>0</v>
      </c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81"/>
      <c r="CF22" s="81"/>
      <c r="CG22" s="81"/>
      <c r="CH22" s="81"/>
      <c r="CI22" s="81"/>
      <c r="CJ22" s="81"/>
      <c r="CK22" s="81"/>
      <c r="CL22" s="81"/>
      <c r="CM22" s="81"/>
      <c r="CN22" s="81"/>
      <c r="CO22" s="81"/>
      <c r="CP22" s="81"/>
      <c r="CQ22" s="81"/>
      <c r="CR22" s="81"/>
      <c r="CS22" s="81"/>
      <c r="CT22" s="81"/>
      <c r="CU22" s="81"/>
      <c r="CV22" s="81"/>
      <c r="CW22" s="81"/>
      <c r="CX22" s="81"/>
      <c r="CY22" s="81"/>
      <c r="CZ22" s="81"/>
      <c r="DA22" s="81"/>
      <c r="DB22" s="81"/>
      <c r="DC22" s="81"/>
      <c r="DD22" s="81"/>
      <c r="DE22" s="81"/>
      <c r="DF22" s="81"/>
      <c r="DG22" s="81"/>
      <c r="DH22" s="81"/>
      <c r="DI22" s="81"/>
      <c r="DJ22" s="81"/>
      <c r="DK22" s="81"/>
      <c r="DL22" s="81"/>
      <c r="DM22" s="81"/>
      <c r="DN22" s="81"/>
      <c r="DO22" s="81"/>
      <c r="DP22" s="81"/>
      <c r="DQ22" s="81"/>
      <c r="DR22" s="81"/>
      <c r="DS22" s="81"/>
      <c r="DT22" s="81"/>
      <c r="DU22" s="81"/>
      <c r="DV22" s="81"/>
      <c r="DW22" s="121"/>
    </row>
    <row r="23" spans="1:127" x14ac:dyDescent="0.25">
      <c r="A23" s="2">
        <f>COUNTIF($D$2:D23,'Reporte de Nomina'!$E$2)</f>
        <v>0</v>
      </c>
      <c r="B23" s="125">
        <f>Lista!A22</f>
        <v>0</v>
      </c>
      <c r="C23" s="125">
        <f>Lista!B22</f>
        <v>0</v>
      </c>
      <c r="D23" s="125">
        <f>Lista!C22</f>
        <v>0</v>
      </c>
      <c r="E23" s="125">
        <f>Lista!D22</f>
        <v>0</v>
      </c>
      <c r="F23" s="125">
        <f>Lista!E22</f>
        <v>0</v>
      </c>
      <c r="G23" s="125">
        <f>Lista!F22</f>
        <v>0</v>
      </c>
      <c r="H23" s="125">
        <f>Lista!G22</f>
        <v>0</v>
      </c>
      <c r="I23" s="125">
        <f>Lista!H22</f>
        <v>0</v>
      </c>
      <c r="J23" s="125">
        <f>Lista!I22</f>
        <v>0</v>
      </c>
      <c r="K23" s="125">
        <f>Lista!J22</f>
        <v>0</v>
      </c>
      <c r="L23" s="125">
        <f>Lista!K22</f>
        <v>0</v>
      </c>
      <c r="M23" s="125">
        <f>Lista!L22</f>
        <v>0</v>
      </c>
      <c r="N23" s="125">
        <f>Lista!M22</f>
        <v>0</v>
      </c>
      <c r="O23" s="125">
        <f>Lista!N22</f>
        <v>0</v>
      </c>
      <c r="P23" s="125">
        <f>Lista!O22</f>
        <v>0</v>
      </c>
      <c r="Q23" s="125">
        <f>Lista!P22</f>
        <v>0</v>
      </c>
      <c r="R23" s="125">
        <f>Lista!Q22</f>
        <v>0</v>
      </c>
      <c r="S23" s="125">
        <f>Lista!R22</f>
        <v>0</v>
      </c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81"/>
      <c r="CF23" s="81"/>
      <c r="CG23" s="81"/>
      <c r="CH23" s="81"/>
      <c r="CI23" s="81"/>
      <c r="CJ23" s="81"/>
      <c r="CK23" s="81"/>
      <c r="CL23" s="81"/>
      <c r="CM23" s="81"/>
      <c r="CN23" s="81"/>
      <c r="CO23" s="81"/>
      <c r="CP23" s="81"/>
      <c r="CQ23" s="81"/>
      <c r="CR23" s="81"/>
      <c r="CS23" s="81"/>
      <c r="CT23" s="81"/>
      <c r="CU23" s="81"/>
      <c r="CV23" s="81"/>
      <c r="CW23" s="81"/>
      <c r="CX23" s="81"/>
      <c r="CY23" s="81"/>
      <c r="CZ23" s="81"/>
      <c r="DA23" s="81"/>
      <c r="DB23" s="81"/>
      <c r="DC23" s="81"/>
      <c r="DD23" s="81"/>
      <c r="DE23" s="81"/>
      <c r="DF23" s="81"/>
      <c r="DG23" s="81"/>
      <c r="DH23" s="81"/>
      <c r="DI23" s="81"/>
      <c r="DJ23" s="81"/>
      <c r="DK23" s="81"/>
      <c r="DL23" s="81"/>
      <c r="DM23" s="81"/>
      <c r="DN23" s="81"/>
      <c r="DO23" s="81"/>
      <c r="DP23" s="81"/>
      <c r="DQ23" s="81"/>
      <c r="DR23" s="81"/>
      <c r="DS23" s="81"/>
      <c r="DT23" s="81"/>
      <c r="DU23" s="81"/>
      <c r="DV23" s="81"/>
      <c r="DW23" s="121"/>
    </row>
    <row r="24" spans="1:127" x14ac:dyDescent="0.25">
      <c r="A24" s="2">
        <f>COUNTIF($D$2:D24,'Reporte de Nomina'!$E$2)</f>
        <v>0</v>
      </c>
      <c r="B24" s="125">
        <f>Lista!A23</f>
        <v>0</v>
      </c>
      <c r="C24" s="125">
        <f>Lista!B23</f>
        <v>0</v>
      </c>
      <c r="D24" s="125">
        <f>Lista!C23</f>
        <v>0</v>
      </c>
      <c r="E24" s="125">
        <f>Lista!D23</f>
        <v>0</v>
      </c>
      <c r="F24" s="125">
        <f>Lista!E23</f>
        <v>0</v>
      </c>
      <c r="G24" s="125">
        <f>Lista!F23</f>
        <v>0</v>
      </c>
      <c r="H24" s="125">
        <f>Lista!G23</f>
        <v>0</v>
      </c>
      <c r="I24" s="125">
        <f>Lista!H23</f>
        <v>0</v>
      </c>
      <c r="J24" s="125">
        <f>Lista!I23</f>
        <v>0</v>
      </c>
      <c r="K24" s="125">
        <f>Lista!J23</f>
        <v>0</v>
      </c>
      <c r="L24" s="125">
        <f>Lista!K23</f>
        <v>0</v>
      </c>
      <c r="M24" s="125">
        <f>Lista!L23</f>
        <v>0</v>
      </c>
      <c r="N24" s="125">
        <f>Lista!M23</f>
        <v>0</v>
      </c>
      <c r="O24" s="125">
        <f>Lista!N23</f>
        <v>0</v>
      </c>
      <c r="P24" s="125">
        <f>Lista!O23</f>
        <v>0</v>
      </c>
      <c r="Q24" s="125">
        <f>Lista!P23</f>
        <v>0</v>
      </c>
      <c r="R24" s="125">
        <f>Lista!Q23</f>
        <v>0</v>
      </c>
      <c r="S24" s="125">
        <f>Lista!R23</f>
        <v>0</v>
      </c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81"/>
      <c r="CF24" s="81"/>
      <c r="CG24" s="81"/>
      <c r="CH24" s="81"/>
      <c r="CI24" s="81"/>
      <c r="CJ24" s="81"/>
      <c r="CK24" s="81"/>
      <c r="CL24" s="81"/>
      <c r="CM24" s="81"/>
      <c r="CN24" s="81"/>
      <c r="CO24" s="81"/>
      <c r="CP24" s="81"/>
      <c r="CQ24" s="81"/>
      <c r="CR24" s="81"/>
      <c r="CS24" s="81"/>
      <c r="CT24" s="81"/>
      <c r="CU24" s="81"/>
      <c r="CV24" s="81"/>
      <c r="CW24" s="81"/>
      <c r="CX24" s="81"/>
      <c r="CY24" s="81"/>
      <c r="CZ24" s="81"/>
      <c r="DA24" s="81"/>
      <c r="DB24" s="81"/>
      <c r="DC24" s="81"/>
      <c r="DD24" s="81"/>
      <c r="DE24" s="81"/>
      <c r="DF24" s="81"/>
      <c r="DG24" s="81"/>
      <c r="DH24" s="81"/>
      <c r="DI24" s="81"/>
      <c r="DJ24" s="81"/>
      <c r="DK24" s="81"/>
      <c r="DL24" s="81"/>
      <c r="DM24" s="81"/>
      <c r="DN24" s="81"/>
      <c r="DO24" s="81"/>
      <c r="DP24" s="81"/>
      <c r="DQ24" s="81"/>
      <c r="DR24" s="81"/>
      <c r="DS24" s="81"/>
      <c r="DT24" s="81"/>
      <c r="DU24" s="81"/>
      <c r="DV24" s="81"/>
      <c r="DW24" s="121"/>
    </row>
    <row r="25" spans="1:127" x14ac:dyDescent="0.25">
      <c r="A25" s="2">
        <f>COUNTIF($D$2:D25,'Reporte de Nomina'!$E$2)</f>
        <v>0</v>
      </c>
      <c r="B25" s="125">
        <f>Lista!A24</f>
        <v>0</v>
      </c>
      <c r="C25" s="125">
        <f>Lista!B24</f>
        <v>0</v>
      </c>
      <c r="D25" s="125">
        <f>Lista!C24</f>
        <v>0</v>
      </c>
      <c r="E25" s="125">
        <f>Lista!D24</f>
        <v>0</v>
      </c>
      <c r="F25" s="125">
        <f>Lista!E24</f>
        <v>0</v>
      </c>
      <c r="G25" s="125">
        <f>Lista!F24</f>
        <v>0</v>
      </c>
      <c r="H25" s="125">
        <f>Lista!G24</f>
        <v>0</v>
      </c>
      <c r="I25" s="125">
        <f>Lista!H24</f>
        <v>0</v>
      </c>
      <c r="J25" s="125">
        <f>Lista!I24</f>
        <v>0</v>
      </c>
      <c r="K25" s="125">
        <f>Lista!J24</f>
        <v>0</v>
      </c>
      <c r="L25" s="125">
        <f>Lista!K24</f>
        <v>0</v>
      </c>
      <c r="M25" s="125">
        <f>Lista!L24</f>
        <v>0</v>
      </c>
      <c r="N25" s="125">
        <f>Lista!M24</f>
        <v>0</v>
      </c>
      <c r="O25" s="125">
        <f>Lista!N24</f>
        <v>0</v>
      </c>
      <c r="P25" s="125">
        <f>Lista!O24</f>
        <v>0</v>
      </c>
      <c r="Q25" s="125">
        <f>Lista!P24</f>
        <v>0</v>
      </c>
      <c r="R25" s="125">
        <f>Lista!Q24</f>
        <v>0</v>
      </c>
      <c r="S25" s="125">
        <f>Lista!R24</f>
        <v>0</v>
      </c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1"/>
      <c r="CF25" s="81"/>
      <c r="CG25" s="81"/>
      <c r="CH25" s="81"/>
      <c r="CI25" s="81"/>
      <c r="CJ25" s="81"/>
      <c r="CK25" s="81"/>
      <c r="CL25" s="81"/>
      <c r="CM25" s="81"/>
      <c r="CN25" s="81"/>
      <c r="CO25" s="81"/>
      <c r="CP25" s="81"/>
      <c r="CQ25" s="81"/>
      <c r="CR25" s="81"/>
      <c r="CS25" s="81"/>
      <c r="CT25" s="81"/>
      <c r="CU25" s="81"/>
      <c r="CV25" s="81"/>
      <c r="CW25" s="81"/>
      <c r="CX25" s="81"/>
      <c r="CY25" s="81"/>
      <c r="CZ25" s="81"/>
      <c r="DA25" s="81"/>
      <c r="DB25" s="81"/>
      <c r="DC25" s="81"/>
      <c r="DD25" s="81"/>
      <c r="DE25" s="81"/>
      <c r="DF25" s="81"/>
      <c r="DG25" s="81"/>
      <c r="DH25" s="81"/>
      <c r="DI25" s="81"/>
      <c r="DJ25" s="81"/>
      <c r="DK25" s="81"/>
      <c r="DL25" s="81"/>
      <c r="DM25" s="81"/>
      <c r="DN25" s="81"/>
      <c r="DO25" s="81"/>
      <c r="DP25" s="81"/>
      <c r="DQ25" s="81"/>
      <c r="DR25" s="81"/>
      <c r="DS25" s="81"/>
      <c r="DT25" s="81"/>
      <c r="DU25" s="81"/>
      <c r="DV25" s="81"/>
      <c r="DW25" s="121"/>
    </row>
    <row r="26" spans="1:127" x14ac:dyDescent="0.25">
      <c r="A26" s="2">
        <f>COUNTIF($D$2:D26,'Reporte de Nomina'!$E$2)</f>
        <v>0</v>
      </c>
      <c r="B26" s="125">
        <f>Lista!A25</f>
        <v>0</v>
      </c>
      <c r="C26" s="125">
        <f>Lista!B25</f>
        <v>0</v>
      </c>
      <c r="D26" s="125">
        <f>Lista!C25</f>
        <v>0</v>
      </c>
      <c r="E26" s="125">
        <f>Lista!D25</f>
        <v>0</v>
      </c>
      <c r="F26" s="125">
        <f>Lista!E25</f>
        <v>0</v>
      </c>
      <c r="G26" s="125">
        <f>Lista!F25</f>
        <v>0</v>
      </c>
      <c r="H26" s="125">
        <f>Lista!G25</f>
        <v>0</v>
      </c>
      <c r="I26" s="125">
        <f>Lista!H25</f>
        <v>0</v>
      </c>
      <c r="J26" s="125">
        <f>Lista!I25</f>
        <v>0</v>
      </c>
      <c r="K26" s="125">
        <f>Lista!J25</f>
        <v>0</v>
      </c>
      <c r="L26" s="125">
        <f>Lista!K25</f>
        <v>0</v>
      </c>
      <c r="M26" s="125">
        <f>Lista!L25</f>
        <v>0</v>
      </c>
      <c r="N26" s="125">
        <f>Lista!M25</f>
        <v>0</v>
      </c>
      <c r="O26" s="125">
        <f>Lista!N25</f>
        <v>0</v>
      </c>
      <c r="P26" s="125">
        <f>Lista!O25</f>
        <v>0</v>
      </c>
      <c r="Q26" s="125">
        <f>Lista!P25</f>
        <v>0</v>
      </c>
      <c r="R26" s="125">
        <f>Lista!Q25</f>
        <v>0</v>
      </c>
      <c r="S26" s="125">
        <f>Lista!R25</f>
        <v>0</v>
      </c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1"/>
      <c r="CF26" s="81"/>
      <c r="CG26" s="81"/>
      <c r="CH26" s="81"/>
      <c r="CI26" s="81"/>
      <c r="CJ26" s="81"/>
      <c r="CK26" s="81"/>
      <c r="CL26" s="81"/>
      <c r="CM26" s="81"/>
      <c r="CN26" s="81"/>
      <c r="CO26" s="81"/>
      <c r="CP26" s="81"/>
      <c r="CQ26" s="81"/>
      <c r="CR26" s="81"/>
      <c r="CS26" s="81"/>
      <c r="CT26" s="81"/>
      <c r="CU26" s="81"/>
      <c r="CV26" s="81"/>
      <c r="CW26" s="81"/>
      <c r="CX26" s="81"/>
      <c r="CY26" s="81"/>
      <c r="CZ26" s="81"/>
      <c r="DA26" s="81"/>
      <c r="DB26" s="81"/>
      <c r="DC26" s="81"/>
      <c r="DD26" s="81"/>
      <c r="DE26" s="81"/>
      <c r="DF26" s="81"/>
      <c r="DG26" s="81"/>
      <c r="DH26" s="81"/>
      <c r="DI26" s="81"/>
      <c r="DJ26" s="81"/>
      <c r="DK26" s="81"/>
      <c r="DL26" s="81"/>
      <c r="DM26" s="81"/>
      <c r="DN26" s="81"/>
      <c r="DO26" s="81"/>
      <c r="DP26" s="81"/>
      <c r="DQ26" s="81"/>
      <c r="DR26" s="81"/>
      <c r="DS26" s="81"/>
      <c r="DT26" s="81"/>
      <c r="DU26" s="81"/>
      <c r="DV26" s="81"/>
      <c r="DW26" s="121"/>
    </row>
    <row r="27" spans="1:127" x14ac:dyDescent="0.25">
      <c r="A27" s="2">
        <f>COUNTIF($D$2:D27,'Reporte de Nomina'!$E$2)</f>
        <v>0</v>
      </c>
      <c r="B27" s="125">
        <f>Lista!A26</f>
        <v>0</v>
      </c>
      <c r="C27" s="125">
        <f>Lista!B26</f>
        <v>0</v>
      </c>
      <c r="D27" s="125">
        <f>Lista!C26</f>
        <v>0</v>
      </c>
      <c r="E27" s="125">
        <f>Lista!D26</f>
        <v>0</v>
      </c>
      <c r="F27" s="125">
        <f>Lista!E26</f>
        <v>0</v>
      </c>
      <c r="G27" s="125">
        <f>Lista!F26</f>
        <v>0</v>
      </c>
      <c r="H27" s="125">
        <f>Lista!G26</f>
        <v>0</v>
      </c>
      <c r="I27" s="125">
        <f>Lista!H26</f>
        <v>0</v>
      </c>
      <c r="J27" s="125">
        <f>Lista!I26</f>
        <v>0</v>
      </c>
      <c r="K27" s="125">
        <f>Lista!J26</f>
        <v>0</v>
      </c>
      <c r="L27" s="125">
        <f>Lista!K26</f>
        <v>0</v>
      </c>
      <c r="M27" s="125">
        <f>Lista!L26</f>
        <v>0</v>
      </c>
      <c r="N27" s="125">
        <f>Lista!M26</f>
        <v>0</v>
      </c>
      <c r="O27" s="125">
        <f>Lista!N26</f>
        <v>0</v>
      </c>
      <c r="P27" s="125">
        <f>Lista!O26</f>
        <v>0</v>
      </c>
      <c r="Q27" s="125">
        <f>Lista!P26</f>
        <v>0</v>
      </c>
      <c r="R27" s="125">
        <f>Lista!Q26</f>
        <v>0</v>
      </c>
      <c r="S27" s="125">
        <f>Lista!R26</f>
        <v>0</v>
      </c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1"/>
      <c r="CF27" s="81"/>
      <c r="CG27" s="81"/>
      <c r="CH27" s="81"/>
      <c r="CI27" s="81"/>
      <c r="CJ27" s="81"/>
      <c r="CK27" s="81"/>
      <c r="CL27" s="81"/>
      <c r="CM27" s="81"/>
      <c r="CN27" s="81"/>
      <c r="CO27" s="81"/>
      <c r="CP27" s="81"/>
      <c r="CQ27" s="81"/>
      <c r="CR27" s="81"/>
      <c r="CS27" s="81"/>
      <c r="CT27" s="81"/>
      <c r="CU27" s="81"/>
      <c r="CV27" s="81"/>
      <c r="CW27" s="81"/>
      <c r="CX27" s="81"/>
      <c r="CY27" s="81"/>
      <c r="CZ27" s="81"/>
      <c r="DA27" s="81"/>
      <c r="DB27" s="81"/>
      <c r="DC27" s="81"/>
      <c r="DD27" s="81"/>
      <c r="DE27" s="81"/>
      <c r="DF27" s="81"/>
      <c r="DG27" s="81"/>
      <c r="DH27" s="81"/>
      <c r="DI27" s="81"/>
      <c r="DJ27" s="81"/>
      <c r="DK27" s="81"/>
      <c r="DL27" s="81"/>
      <c r="DM27" s="81"/>
      <c r="DN27" s="81"/>
      <c r="DO27" s="81"/>
      <c r="DP27" s="81"/>
      <c r="DQ27" s="81"/>
      <c r="DR27" s="81"/>
      <c r="DS27" s="81"/>
      <c r="DT27" s="81"/>
      <c r="DU27" s="81"/>
      <c r="DV27" s="81"/>
      <c r="DW27" s="121"/>
    </row>
    <row r="28" spans="1:127" x14ac:dyDescent="0.25">
      <c r="A28" s="2">
        <f>COUNTIF($D$2:D28,'Reporte de Nomina'!$E$2)</f>
        <v>0</v>
      </c>
      <c r="B28" s="125">
        <f>Lista!A27</f>
        <v>0</v>
      </c>
      <c r="C28" s="125">
        <f>Lista!B27</f>
        <v>0</v>
      </c>
      <c r="D28" s="125">
        <f>Lista!C27</f>
        <v>0</v>
      </c>
      <c r="E28" s="125">
        <f>Lista!D27</f>
        <v>0</v>
      </c>
      <c r="F28" s="125">
        <f>Lista!E27</f>
        <v>0</v>
      </c>
      <c r="G28" s="125">
        <f>Lista!F27</f>
        <v>0</v>
      </c>
      <c r="H28" s="125">
        <f>Lista!G27</f>
        <v>0</v>
      </c>
      <c r="I28" s="125">
        <f>Lista!H27</f>
        <v>0</v>
      </c>
      <c r="J28" s="125">
        <f>Lista!I27</f>
        <v>0</v>
      </c>
      <c r="K28" s="125">
        <f>Lista!J27</f>
        <v>0</v>
      </c>
      <c r="L28" s="125">
        <f>Lista!K27</f>
        <v>0</v>
      </c>
      <c r="M28" s="125">
        <f>Lista!L27</f>
        <v>0</v>
      </c>
      <c r="N28" s="125">
        <f>Lista!M27</f>
        <v>0</v>
      </c>
      <c r="O28" s="125">
        <f>Lista!N27</f>
        <v>0</v>
      </c>
      <c r="P28" s="125">
        <f>Lista!O27</f>
        <v>0</v>
      </c>
      <c r="Q28" s="125">
        <f>Lista!P27</f>
        <v>0</v>
      </c>
      <c r="R28" s="125">
        <f>Lista!Q27</f>
        <v>0</v>
      </c>
      <c r="S28" s="125">
        <f>Lista!R27</f>
        <v>0</v>
      </c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81"/>
      <c r="CG28" s="81"/>
      <c r="CH28" s="81"/>
      <c r="CI28" s="81"/>
      <c r="CJ28" s="81"/>
      <c r="CK28" s="81"/>
      <c r="CL28" s="81"/>
      <c r="CM28" s="81"/>
      <c r="CN28" s="81"/>
      <c r="CO28" s="81"/>
      <c r="CP28" s="81"/>
      <c r="CQ28" s="81"/>
      <c r="CR28" s="81"/>
      <c r="CS28" s="81"/>
      <c r="CT28" s="81"/>
      <c r="CU28" s="81"/>
      <c r="CV28" s="81"/>
      <c r="CW28" s="81"/>
      <c r="CX28" s="81"/>
      <c r="CY28" s="81"/>
      <c r="CZ28" s="81"/>
      <c r="DA28" s="81"/>
      <c r="DB28" s="81"/>
      <c r="DC28" s="81"/>
      <c r="DD28" s="81"/>
      <c r="DE28" s="81"/>
      <c r="DF28" s="81"/>
      <c r="DG28" s="81"/>
      <c r="DH28" s="81"/>
      <c r="DI28" s="81"/>
      <c r="DJ28" s="81"/>
      <c r="DK28" s="81"/>
      <c r="DL28" s="81"/>
      <c r="DM28" s="81"/>
      <c r="DN28" s="81"/>
      <c r="DO28" s="81"/>
      <c r="DP28" s="81"/>
      <c r="DQ28" s="81"/>
      <c r="DR28" s="81"/>
      <c r="DS28" s="81"/>
      <c r="DT28" s="81"/>
      <c r="DU28" s="81"/>
      <c r="DV28" s="81"/>
      <c r="DW28" s="121"/>
    </row>
    <row r="29" spans="1:127" x14ac:dyDescent="0.25">
      <c r="A29" s="2">
        <f>COUNTIF($D$2:D29,'Reporte de Nomina'!$E$2)</f>
        <v>0</v>
      </c>
      <c r="B29" s="125">
        <f>Lista!A28</f>
        <v>0</v>
      </c>
      <c r="C29" s="125">
        <f>Lista!B28</f>
        <v>0</v>
      </c>
      <c r="D29" s="125">
        <f>Lista!C28</f>
        <v>0</v>
      </c>
      <c r="E29" s="125">
        <f>Lista!D28</f>
        <v>0</v>
      </c>
      <c r="F29" s="125">
        <f>Lista!E28</f>
        <v>0</v>
      </c>
      <c r="G29" s="125">
        <f>Lista!F28</f>
        <v>0</v>
      </c>
      <c r="H29" s="125">
        <f>Lista!G28</f>
        <v>0</v>
      </c>
      <c r="I29" s="125">
        <f>Lista!H28</f>
        <v>0</v>
      </c>
      <c r="J29" s="125">
        <f>Lista!I28</f>
        <v>0</v>
      </c>
      <c r="K29" s="125">
        <f>Lista!J28</f>
        <v>0</v>
      </c>
      <c r="L29" s="125">
        <f>Lista!K28</f>
        <v>0</v>
      </c>
      <c r="M29" s="125">
        <f>Lista!L28</f>
        <v>0</v>
      </c>
      <c r="N29" s="125">
        <f>Lista!M28</f>
        <v>0</v>
      </c>
      <c r="O29" s="125">
        <f>Lista!N28</f>
        <v>0</v>
      </c>
      <c r="P29" s="125">
        <f>Lista!O28</f>
        <v>0</v>
      </c>
      <c r="Q29" s="125">
        <f>Lista!P28</f>
        <v>0</v>
      </c>
      <c r="R29" s="125">
        <f>Lista!Q28</f>
        <v>0</v>
      </c>
      <c r="S29" s="125">
        <f>Lista!R28</f>
        <v>0</v>
      </c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1"/>
      <c r="CF29" s="81"/>
      <c r="CG29" s="81"/>
      <c r="CH29" s="81"/>
      <c r="CI29" s="81"/>
      <c r="CJ29" s="81"/>
      <c r="CK29" s="81"/>
      <c r="CL29" s="81"/>
      <c r="CM29" s="81"/>
      <c r="CN29" s="81"/>
      <c r="CO29" s="81"/>
      <c r="CP29" s="81"/>
      <c r="CQ29" s="81"/>
      <c r="CR29" s="81"/>
      <c r="CS29" s="81"/>
      <c r="CT29" s="81"/>
      <c r="CU29" s="81"/>
      <c r="CV29" s="81"/>
      <c r="CW29" s="81"/>
      <c r="CX29" s="81"/>
      <c r="CY29" s="81"/>
      <c r="CZ29" s="81"/>
      <c r="DA29" s="81"/>
      <c r="DB29" s="81"/>
      <c r="DC29" s="81"/>
      <c r="DD29" s="81"/>
      <c r="DE29" s="81"/>
      <c r="DF29" s="81"/>
      <c r="DG29" s="81"/>
      <c r="DH29" s="81"/>
      <c r="DI29" s="81"/>
      <c r="DJ29" s="81"/>
      <c r="DK29" s="81"/>
      <c r="DL29" s="81"/>
      <c r="DM29" s="81"/>
      <c r="DN29" s="81"/>
      <c r="DO29" s="81"/>
      <c r="DP29" s="81"/>
      <c r="DQ29" s="81"/>
      <c r="DR29" s="81"/>
      <c r="DS29" s="81"/>
      <c r="DT29" s="81"/>
      <c r="DU29" s="81"/>
      <c r="DV29" s="81"/>
      <c r="DW29" s="121"/>
    </row>
    <row r="30" spans="1:127" x14ac:dyDescent="0.25">
      <c r="A30" s="2">
        <f>COUNTIF($D$2:D30,'Reporte de Nomina'!$E$2)</f>
        <v>0</v>
      </c>
      <c r="B30" s="125">
        <f>Lista!A29</f>
        <v>0</v>
      </c>
      <c r="C30" s="125">
        <f>Lista!B29</f>
        <v>0</v>
      </c>
      <c r="D30" s="125">
        <f>Lista!C29</f>
        <v>0</v>
      </c>
      <c r="E30" s="125">
        <f>Lista!D29</f>
        <v>0</v>
      </c>
      <c r="F30" s="125">
        <f>Lista!E29</f>
        <v>0</v>
      </c>
      <c r="G30" s="125">
        <f>Lista!F29</f>
        <v>0</v>
      </c>
      <c r="H30" s="125">
        <f>Lista!G29</f>
        <v>0</v>
      </c>
      <c r="I30" s="125">
        <f>Lista!H29</f>
        <v>0</v>
      </c>
      <c r="J30" s="125">
        <f>Lista!I29</f>
        <v>0</v>
      </c>
      <c r="K30" s="125">
        <f>Lista!J29</f>
        <v>0</v>
      </c>
      <c r="L30" s="125">
        <f>Lista!K29</f>
        <v>0</v>
      </c>
      <c r="M30" s="125">
        <f>Lista!L29</f>
        <v>0</v>
      </c>
      <c r="N30" s="125">
        <f>Lista!M29</f>
        <v>0</v>
      </c>
      <c r="O30" s="125">
        <f>Lista!N29</f>
        <v>0</v>
      </c>
      <c r="P30" s="125">
        <f>Lista!O29</f>
        <v>0</v>
      </c>
      <c r="Q30" s="125">
        <f>Lista!P29</f>
        <v>0</v>
      </c>
      <c r="R30" s="125">
        <f>Lista!Q29</f>
        <v>0</v>
      </c>
      <c r="S30" s="125">
        <f>Lista!R29</f>
        <v>0</v>
      </c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81"/>
      <c r="CF30" s="81"/>
      <c r="CG30" s="81"/>
      <c r="CH30" s="81"/>
      <c r="CI30" s="81"/>
      <c r="CJ30" s="81"/>
      <c r="CK30" s="81"/>
      <c r="CL30" s="81"/>
      <c r="CM30" s="81"/>
      <c r="CN30" s="81"/>
      <c r="CO30" s="81"/>
      <c r="CP30" s="81"/>
      <c r="CQ30" s="81"/>
      <c r="CR30" s="81"/>
      <c r="CS30" s="81"/>
      <c r="CT30" s="81"/>
      <c r="CU30" s="81"/>
      <c r="CV30" s="81"/>
      <c r="CW30" s="81"/>
      <c r="CX30" s="81"/>
      <c r="CY30" s="81"/>
      <c r="CZ30" s="81"/>
      <c r="DA30" s="81"/>
      <c r="DB30" s="81"/>
      <c r="DC30" s="81"/>
      <c r="DD30" s="81"/>
      <c r="DE30" s="81"/>
      <c r="DF30" s="81"/>
      <c r="DG30" s="81"/>
      <c r="DH30" s="81"/>
      <c r="DI30" s="81"/>
      <c r="DJ30" s="81"/>
      <c r="DK30" s="81"/>
      <c r="DL30" s="81"/>
      <c r="DM30" s="81"/>
      <c r="DN30" s="81"/>
      <c r="DO30" s="81"/>
      <c r="DP30" s="81"/>
      <c r="DQ30" s="81"/>
      <c r="DR30" s="81"/>
      <c r="DS30" s="81"/>
      <c r="DT30" s="81"/>
      <c r="DU30" s="81"/>
      <c r="DV30" s="81"/>
      <c r="DW30" s="121"/>
    </row>
    <row r="31" spans="1:127" x14ac:dyDescent="0.25">
      <c r="A31" s="2">
        <f>COUNTIF($D$2:D31,'Reporte de Nomina'!$E$2)</f>
        <v>0</v>
      </c>
      <c r="B31" s="125">
        <f>Lista!A30</f>
        <v>0</v>
      </c>
      <c r="C31" s="125">
        <f>Lista!B30</f>
        <v>0</v>
      </c>
      <c r="D31" s="125">
        <f>Lista!C30</f>
        <v>0</v>
      </c>
      <c r="E31" s="125">
        <f>Lista!D30</f>
        <v>0</v>
      </c>
      <c r="F31" s="125">
        <f>Lista!E30</f>
        <v>0</v>
      </c>
      <c r="G31" s="125">
        <f>Lista!F30</f>
        <v>0</v>
      </c>
      <c r="H31" s="125">
        <f>Lista!G30</f>
        <v>0</v>
      </c>
      <c r="I31" s="125">
        <f>Lista!H30</f>
        <v>0</v>
      </c>
      <c r="J31" s="125">
        <f>Lista!I30</f>
        <v>0</v>
      </c>
      <c r="K31" s="125">
        <f>Lista!J30</f>
        <v>0</v>
      </c>
      <c r="L31" s="125">
        <f>Lista!K30</f>
        <v>0</v>
      </c>
      <c r="M31" s="125">
        <f>Lista!L30</f>
        <v>0</v>
      </c>
      <c r="N31" s="125">
        <f>Lista!M30</f>
        <v>0</v>
      </c>
      <c r="O31" s="125">
        <f>Lista!N30</f>
        <v>0</v>
      </c>
      <c r="P31" s="125">
        <f>Lista!O30</f>
        <v>0</v>
      </c>
      <c r="Q31" s="125">
        <f>Lista!P30</f>
        <v>0</v>
      </c>
      <c r="R31" s="125">
        <f>Lista!Q30</f>
        <v>0</v>
      </c>
      <c r="S31" s="125">
        <f>Lista!R30</f>
        <v>0</v>
      </c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81"/>
      <c r="CF31" s="81"/>
      <c r="CG31" s="81"/>
      <c r="CH31" s="81"/>
      <c r="CI31" s="81"/>
      <c r="CJ31" s="81"/>
      <c r="CK31" s="81"/>
      <c r="CL31" s="81"/>
      <c r="CM31" s="81"/>
      <c r="CN31" s="81"/>
      <c r="CO31" s="81"/>
      <c r="CP31" s="81"/>
      <c r="CQ31" s="81"/>
      <c r="CR31" s="81"/>
      <c r="CS31" s="81"/>
      <c r="CT31" s="81"/>
      <c r="CU31" s="81"/>
      <c r="CV31" s="81"/>
      <c r="CW31" s="81"/>
      <c r="CX31" s="81"/>
      <c r="CY31" s="81"/>
      <c r="CZ31" s="81"/>
      <c r="DA31" s="81"/>
      <c r="DB31" s="81"/>
      <c r="DC31" s="81"/>
      <c r="DD31" s="81"/>
      <c r="DE31" s="81"/>
      <c r="DF31" s="81"/>
      <c r="DG31" s="81"/>
      <c r="DH31" s="81"/>
      <c r="DI31" s="81"/>
      <c r="DJ31" s="81"/>
      <c r="DK31" s="81"/>
      <c r="DL31" s="81"/>
      <c r="DM31" s="81"/>
      <c r="DN31" s="81"/>
      <c r="DO31" s="81"/>
      <c r="DP31" s="81"/>
      <c r="DQ31" s="81"/>
      <c r="DR31" s="81"/>
      <c r="DS31" s="81"/>
      <c r="DT31" s="81"/>
      <c r="DU31" s="81"/>
      <c r="DV31" s="81"/>
      <c r="DW31" s="121"/>
    </row>
    <row r="32" spans="1:127" x14ac:dyDescent="0.25">
      <c r="A32" s="2">
        <f>COUNTIF($D$2:D32,'Reporte de Nomina'!$E$2)</f>
        <v>0</v>
      </c>
      <c r="B32" s="125">
        <f>Lista!A31</f>
        <v>0</v>
      </c>
      <c r="C32" s="125">
        <f>Lista!B31</f>
        <v>0</v>
      </c>
      <c r="D32" s="125">
        <f>Lista!C31</f>
        <v>0</v>
      </c>
      <c r="E32" s="125">
        <f>Lista!D31</f>
        <v>0</v>
      </c>
      <c r="F32" s="125">
        <f>Lista!E31</f>
        <v>0</v>
      </c>
      <c r="G32" s="125">
        <f>Lista!F31</f>
        <v>0</v>
      </c>
      <c r="H32" s="125">
        <f>Lista!G31</f>
        <v>0</v>
      </c>
      <c r="I32" s="125">
        <f>Lista!H31</f>
        <v>0</v>
      </c>
      <c r="J32" s="125">
        <f>Lista!I31</f>
        <v>0</v>
      </c>
      <c r="K32" s="125">
        <f>Lista!J31</f>
        <v>0</v>
      </c>
      <c r="L32" s="125">
        <f>Lista!K31</f>
        <v>0</v>
      </c>
      <c r="M32" s="125">
        <f>Lista!L31</f>
        <v>0</v>
      </c>
      <c r="N32" s="125">
        <f>Lista!M31</f>
        <v>0</v>
      </c>
      <c r="O32" s="125">
        <f>Lista!N31</f>
        <v>0</v>
      </c>
      <c r="P32" s="125">
        <f>Lista!O31</f>
        <v>0</v>
      </c>
      <c r="Q32" s="125">
        <f>Lista!P31</f>
        <v>0</v>
      </c>
      <c r="R32" s="125">
        <f>Lista!Q31</f>
        <v>0</v>
      </c>
      <c r="S32" s="125">
        <f>Lista!R31</f>
        <v>0</v>
      </c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81"/>
      <c r="CF32" s="81"/>
      <c r="CG32" s="81"/>
      <c r="CH32" s="81"/>
      <c r="CI32" s="81"/>
      <c r="CJ32" s="81"/>
      <c r="CK32" s="81"/>
      <c r="CL32" s="81"/>
      <c r="CM32" s="81"/>
      <c r="CN32" s="81"/>
      <c r="CO32" s="81"/>
      <c r="CP32" s="81"/>
      <c r="CQ32" s="81"/>
      <c r="CR32" s="81"/>
      <c r="CS32" s="81"/>
      <c r="CT32" s="81"/>
      <c r="CU32" s="81"/>
      <c r="CV32" s="81"/>
      <c r="CW32" s="81"/>
      <c r="CX32" s="81"/>
      <c r="CY32" s="81"/>
      <c r="CZ32" s="81"/>
      <c r="DA32" s="81"/>
      <c r="DB32" s="81"/>
      <c r="DC32" s="81"/>
      <c r="DD32" s="81"/>
      <c r="DE32" s="81"/>
      <c r="DF32" s="81"/>
      <c r="DG32" s="81"/>
      <c r="DH32" s="81"/>
      <c r="DI32" s="81"/>
      <c r="DJ32" s="81"/>
      <c r="DK32" s="81"/>
      <c r="DL32" s="81"/>
      <c r="DM32" s="81"/>
      <c r="DN32" s="81"/>
      <c r="DO32" s="81"/>
      <c r="DP32" s="81"/>
      <c r="DQ32" s="81"/>
      <c r="DR32" s="81"/>
      <c r="DS32" s="81"/>
      <c r="DT32" s="81"/>
      <c r="DU32" s="81"/>
      <c r="DV32" s="81"/>
      <c r="DW32" s="121"/>
    </row>
    <row r="33" spans="1:127" x14ac:dyDescent="0.25">
      <c r="A33" s="2">
        <f>COUNTIF($D$2:D33,'Reporte de Nomina'!$E$2)</f>
        <v>0</v>
      </c>
      <c r="B33" s="125">
        <f>Lista!A32</f>
        <v>0</v>
      </c>
      <c r="C33" s="125">
        <f>Lista!B32</f>
        <v>0</v>
      </c>
      <c r="D33" s="125">
        <f>Lista!C32</f>
        <v>0</v>
      </c>
      <c r="E33" s="125">
        <f>Lista!D32</f>
        <v>0</v>
      </c>
      <c r="F33" s="125">
        <f>Lista!E32</f>
        <v>0</v>
      </c>
      <c r="G33" s="125">
        <f>Lista!F32</f>
        <v>0</v>
      </c>
      <c r="H33" s="125">
        <f>Lista!G32</f>
        <v>0</v>
      </c>
      <c r="I33" s="125">
        <f>Lista!H32</f>
        <v>0</v>
      </c>
      <c r="J33" s="125">
        <f>Lista!I32</f>
        <v>0</v>
      </c>
      <c r="K33" s="125">
        <f>Lista!J32</f>
        <v>0</v>
      </c>
      <c r="L33" s="125">
        <f>Lista!K32</f>
        <v>0</v>
      </c>
      <c r="M33" s="125">
        <f>Lista!L32</f>
        <v>0</v>
      </c>
      <c r="N33" s="125">
        <f>Lista!M32</f>
        <v>0</v>
      </c>
      <c r="O33" s="125">
        <f>Lista!N32</f>
        <v>0</v>
      </c>
      <c r="P33" s="125">
        <f>Lista!O32</f>
        <v>0</v>
      </c>
      <c r="Q33" s="125">
        <f>Lista!P32</f>
        <v>0</v>
      </c>
      <c r="R33" s="125">
        <f>Lista!Q32</f>
        <v>0</v>
      </c>
      <c r="S33" s="125">
        <f>Lista!R32</f>
        <v>0</v>
      </c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  <c r="BA33" s="81"/>
      <c r="BB33" s="81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81"/>
      <c r="CF33" s="81"/>
      <c r="CG33" s="81"/>
      <c r="CH33" s="81"/>
      <c r="CI33" s="81"/>
      <c r="CJ33" s="81"/>
      <c r="CK33" s="81"/>
      <c r="CL33" s="81"/>
      <c r="CM33" s="81"/>
      <c r="CN33" s="81"/>
      <c r="CO33" s="81"/>
      <c r="CP33" s="81"/>
      <c r="CQ33" s="81"/>
      <c r="CR33" s="81"/>
      <c r="CS33" s="81"/>
      <c r="CT33" s="81"/>
      <c r="CU33" s="81"/>
      <c r="CV33" s="81"/>
      <c r="CW33" s="81"/>
      <c r="CX33" s="81"/>
      <c r="CY33" s="81"/>
      <c r="CZ33" s="81"/>
      <c r="DA33" s="81"/>
      <c r="DB33" s="81"/>
      <c r="DC33" s="81"/>
      <c r="DD33" s="81"/>
      <c r="DE33" s="81"/>
      <c r="DF33" s="81"/>
      <c r="DG33" s="81"/>
      <c r="DH33" s="81"/>
      <c r="DI33" s="81"/>
      <c r="DJ33" s="81"/>
      <c r="DK33" s="81"/>
      <c r="DL33" s="81"/>
      <c r="DM33" s="81"/>
      <c r="DN33" s="81"/>
      <c r="DO33" s="81"/>
      <c r="DP33" s="81"/>
      <c r="DQ33" s="81"/>
      <c r="DR33" s="81"/>
      <c r="DS33" s="81"/>
      <c r="DT33" s="81"/>
      <c r="DU33" s="81"/>
      <c r="DV33" s="81"/>
      <c r="DW33" s="121"/>
    </row>
    <row r="34" spans="1:127" x14ac:dyDescent="0.25">
      <c r="A34" s="2">
        <f>COUNTIF($D$2:D34,'Reporte de Nomina'!$E$2)</f>
        <v>0</v>
      </c>
      <c r="B34" s="125">
        <f>Lista!A33</f>
        <v>0</v>
      </c>
      <c r="C34" s="125">
        <f>Lista!B33</f>
        <v>0</v>
      </c>
      <c r="D34" s="125">
        <f>Lista!C33</f>
        <v>0</v>
      </c>
      <c r="E34" s="125">
        <f>Lista!D33</f>
        <v>0</v>
      </c>
      <c r="F34" s="125">
        <f>Lista!E33</f>
        <v>0</v>
      </c>
      <c r="G34" s="125">
        <f>Lista!F33</f>
        <v>0</v>
      </c>
      <c r="H34" s="125">
        <f>Lista!G33</f>
        <v>0</v>
      </c>
      <c r="I34" s="125">
        <f>Lista!H33</f>
        <v>0</v>
      </c>
      <c r="J34" s="125">
        <f>Lista!I33</f>
        <v>0</v>
      </c>
      <c r="K34" s="125">
        <f>Lista!J33</f>
        <v>0</v>
      </c>
      <c r="L34" s="125">
        <f>Lista!K33</f>
        <v>0</v>
      </c>
      <c r="M34" s="125">
        <f>Lista!L33</f>
        <v>0</v>
      </c>
      <c r="N34" s="125">
        <f>Lista!M33</f>
        <v>0</v>
      </c>
      <c r="O34" s="125">
        <f>Lista!N33</f>
        <v>0</v>
      </c>
      <c r="P34" s="125">
        <f>Lista!O33</f>
        <v>0</v>
      </c>
      <c r="Q34" s="125">
        <f>Lista!P33</f>
        <v>0</v>
      </c>
      <c r="R34" s="125">
        <f>Lista!Q33</f>
        <v>0</v>
      </c>
      <c r="S34" s="125">
        <f>Lista!R33</f>
        <v>0</v>
      </c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  <c r="BA34" s="81"/>
      <c r="BB34" s="81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81"/>
      <c r="CF34" s="81"/>
      <c r="CG34" s="81"/>
      <c r="CH34" s="81"/>
      <c r="CI34" s="81"/>
      <c r="CJ34" s="81"/>
      <c r="CK34" s="81"/>
      <c r="CL34" s="81"/>
      <c r="CM34" s="81"/>
      <c r="CN34" s="81"/>
      <c r="CO34" s="81"/>
      <c r="CP34" s="81"/>
      <c r="CQ34" s="81"/>
      <c r="CR34" s="81"/>
      <c r="CS34" s="81"/>
      <c r="CT34" s="81"/>
      <c r="CU34" s="81"/>
      <c r="CV34" s="81"/>
      <c r="CW34" s="81"/>
      <c r="CX34" s="81"/>
      <c r="CY34" s="81"/>
      <c r="CZ34" s="81"/>
      <c r="DA34" s="81"/>
      <c r="DB34" s="81"/>
      <c r="DC34" s="81"/>
      <c r="DD34" s="81"/>
      <c r="DE34" s="81"/>
      <c r="DF34" s="81"/>
      <c r="DG34" s="81"/>
      <c r="DH34" s="81"/>
      <c r="DI34" s="81"/>
      <c r="DJ34" s="81"/>
      <c r="DK34" s="81"/>
      <c r="DL34" s="81"/>
      <c r="DM34" s="81"/>
      <c r="DN34" s="81"/>
      <c r="DO34" s="81"/>
      <c r="DP34" s="81"/>
      <c r="DQ34" s="81"/>
      <c r="DR34" s="81"/>
      <c r="DS34" s="81"/>
      <c r="DT34" s="81"/>
      <c r="DU34" s="81"/>
      <c r="DV34" s="81"/>
      <c r="DW34" s="121"/>
    </row>
    <row r="35" spans="1:127" x14ac:dyDescent="0.25">
      <c r="A35" s="2">
        <f>COUNTIF($D$2:D35,'Reporte de Nomina'!$E$2)</f>
        <v>0</v>
      </c>
      <c r="B35" s="125">
        <f>Lista!A34</f>
        <v>0</v>
      </c>
      <c r="C35" s="125">
        <f>Lista!B34</f>
        <v>0</v>
      </c>
      <c r="D35" s="125">
        <f>Lista!C34</f>
        <v>0</v>
      </c>
      <c r="E35" s="125">
        <f>Lista!D34</f>
        <v>0</v>
      </c>
      <c r="F35" s="125">
        <f>Lista!E34</f>
        <v>0</v>
      </c>
      <c r="G35" s="125">
        <f>Lista!F34</f>
        <v>0</v>
      </c>
      <c r="H35" s="125">
        <f>Lista!G34</f>
        <v>0</v>
      </c>
      <c r="I35" s="125">
        <f>Lista!H34</f>
        <v>0</v>
      </c>
      <c r="J35" s="125">
        <f>Lista!I34</f>
        <v>0</v>
      </c>
      <c r="K35" s="125">
        <f>Lista!J34</f>
        <v>0</v>
      </c>
      <c r="L35" s="125">
        <f>Lista!K34</f>
        <v>0</v>
      </c>
      <c r="M35" s="125">
        <f>Lista!L34</f>
        <v>0</v>
      </c>
      <c r="N35" s="125">
        <f>Lista!M34</f>
        <v>0</v>
      </c>
      <c r="O35" s="125">
        <f>Lista!N34</f>
        <v>0</v>
      </c>
      <c r="P35" s="125">
        <f>Lista!O34</f>
        <v>0</v>
      </c>
      <c r="Q35" s="125">
        <f>Lista!P34</f>
        <v>0</v>
      </c>
      <c r="R35" s="125">
        <f>Lista!Q34</f>
        <v>0</v>
      </c>
      <c r="S35" s="125">
        <f>Lista!R34</f>
        <v>0</v>
      </c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  <c r="BA35" s="81"/>
      <c r="BB35" s="81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81"/>
      <c r="CF35" s="81"/>
      <c r="CG35" s="81"/>
      <c r="CH35" s="81"/>
      <c r="CI35" s="81"/>
      <c r="CJ35" s="81"/>
      <c r="CK35" s="81"/>
      <c r="CL35" s="81"/>
      <c r="CM35" s="81"/>
      <c r="CN35" s="81"/>
      <c r="CO35" s="81"/>
      <c r="CP35" s="81"/>
      <c r="CQ35" s="81"/>
      <c r="CR35" s="81"/>
      <c r="CS35" s="81"/>
      <c r="CT35" s="81"/>
      <c r="CU35" s="81"/>
      <c r="CV35" s="81"/>
      <c r="CW35" s="81"/>
      <c r="CX35" s="81"/>
      <c r="CY35" s="81"/>
      <c r="CZ35" s="81"/>
      <c r="DA35" s="81"/>
      <c r="DB35" s="81"/>
      <c r="DC35" s="81"/>
      <c r="DD35" s="81"/>
      <c r="DE35" s="81"/>
      <c r="DF35" s="81"/>
      <c r="DG35" s="81"/>
      <c r="DH35" s="81"/>
      <c r="DI35" s="81"/>
      <c r="DJ35" s="81"/>
      <c r="DK35" s="81"/>
      <c r="DL35" s="81"/>
      <c r="DM35" s="81"/>
      <c r="DN35" s="81"/>
      <c r="DO35" s="81"/>
      <c r="DP35" s="81"/>
      <c r="DQ35" s="81"/>
      <c r="DR35" s="81"/>
      <c r="DS35" s="81"/>
      <c r="DT35" s="81"/>
      <c r="DU35" s="81"/>
      <c r="DV35" s="81"/>
      <c r="DW35" s="121"/>
    </row>
    <row r="36" spans="1:127" x14ac:dyDescent="0.25">
      <c r="A36" s="2">
        <f>COUNTIF($D$2:D36,'Reporte de Nomina'!$E$2)</f>
        <v>0</v>
      </c>
      <c r="B36" s="125">
        <f>Lista!A35</f>
        <v>0</v>
      </c>
      <c r="C36" s="125">
        <f>Lista!B35</f>
        <v>0</v>
      </c>
      <c r="D36" s="125">
        <f>Lista!C35</f>
        <v>0</v>
      </c>
      <c r="E36" s="125">
        <f>Lista!D35</f>
        <v>0</v>
      </c>
      <c r="F36" s="125">
        <f>Lista!E35</f>
        <v>0</v>
      </c>
      <c r="G36" s="125">
        <f>Lista!F35</f>
        <v>0</v>
      </c>
      <c r="H36" s="125">
        <f>Lista!G35</f>
        <v>0</v>
      </c>
      <c r="I36" s="125">
        <f>Lista!H35</f>
        <v>0</v>
      </c>
      <c r="J36" s="125">
        <f>Lista!I35</f>
        <v>0</v>
      </c>
      <c r="K36" s="125">
        <f>Lista!J35</f>
        <v>0</v>
      </c>
      <c r="L36" s="125">
        <f>Lista!K35</f>
        <v>0</v>
      </c>
      <c r="M36" s="125">
        <f>Lista!L35</f>
        <v>0</v>
      </c>
      <c r="N36" s="125">
        <f>Lista!M35</f>
        <v>0</v>
      </c>
      <c r="O36" s="125">
        <f>Lista!N35</f>
        <v>0</v>
      </c>
      <c r="P36" s="125">
        <f>Lista!O35</f>
        <v>0</v>
      </c>
      <c r="Q36" s="125">
        <f>Lista!P35</f>
        <v>0</v>
      </c>
      <c r="R36" s="125">
        <f>Lista!Q35</f>
        <v>0</v>
      </c>
      <c r="S36" s="125">
        <f>Lista!R35</f>
        <v>0</v>
      </c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  <c r="BA36" s="81"/>
      <c r="BB36" s="81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81"/>
      <c r="CF36" s="81"/>
      <c r="CG36" s="81"/>
      <c r="CH36" s="81"/>
      <c r="CI36" s="81"/>
      <c r="CJ36" s="81"/>
      <c r="CK36" s="81"/>
      <c r="CL36" s="81"/>
      <c r="CM36" s="81"/>
      <c r="CN36" s="81"/>
      <c r="CO36" s="81"/>
      <c r="CP36" s="81"/>
      <c r="CQ36" s="81"/>
      <c r="CR36" s="81"/>
      <c r="CS36" s="81"/>
      <c r="CT36" s="81"/>
      <c r="CU36" s="81"/>
      <c r="CV36" s="81"/>
      <c r="CW36" s="81"/>
      <c r="CX36" s="81"/>
      <c r="CY36" s="81"/>
      <c r="CZ36" s="81"/>
      <c r="DA36" s="81"/>
      <c r="DB36" s="81"/>
      <c r="DC36" s="81"/>
      <c r="DD36" s="81"/>
      <c r="DE36" s="81"/>
      <c r="DF36" s="81"/>
      <c r="DG36" s="81"/>
      <c r="DH36" s="81"/>
      <c r="DI36" s="81"/>
      <c r="DJ36" s="81"/>
      <c r="DK36" s="81"/>
      <c r="DL36" s="81"/>
      <c r="DM36" s="81"/>
      <c r="DN36" s="81"/>
      <c r="DO36" s="81"/>
      <c r="DP36" s="81"/>
      <c r="DQ36" s="81"/>
      <c r="DR36" s="81"/>
      <c r="DS36" s="81"/>
      <c r="DT36" s="81"/>
      <c r="DU36" s="81"/>
      <c r="DV36" s="81"/>
      <c r="DW36" s="121"/>
    </row>
    <row r="37" spans="1:127" x14ac:dyDescent="0.25">
      <c r="A37" s="2">
        <f>COUNTIF($D$2:D37,'Reporte de Nomina'!$E$2)</f>
        <v>0</v>
      </c>
      <c r="B37" s="125">
        <f>Lista!A36</f>
        <v>0</v>
      </c>
      <c r="C37" s="125">
        <f>Lista!B36</f>
        <v>0</v>
      </c>
      <c r="D37" s="125">
        <f>Lista!C36</f>
        <v>0</v>
      </c>
      <c r="E37" s="125">
        <f>Lista!D36</f>
        <v>0</v>
      </c>
      <c r="F37" s="125">
        <f>Lista!E36</f>
        <v>0</v>
      </c>
      <c r="G37" s="125">
        <f>Lista!F36</f>
        <v>0</v>
      </c>
      <c r="H37" s="125">
        <f>Lista!G36</f>
        <v>0</v>
      </c>
      <c r="I37" s="125">
        <f>Lista!H36</f>
        <v>0</v>
      </c>
      <c r="J37" s="125">
        <f>Lista!I36</f>
        <v>0</v>
      </c>
      <c r="K37" s="125">
        <f>Lista!J36</f>
        <v>0</v>
      </c>
      <c r="L37" s="125">
        <f>Lista!K36</f>
        <v>0</v>
      </c>
      <c r="M37" s="125">
        <f>Lista!L36</f>
        <v>0</v>
      </c>
      <c r="N37" s="125">
        <f>Lista!M36</f>
        <v>0</v>
      </c>
      <c r="O37" s="125">
        <f>Lista!N36</f>
        <v>0</v>
      </c>
      <c r="P37" s="125">
        <f>Lista!O36</f>
        <v>0</v>
      </c>
      <c r="Q37" s="125">
        <f>Lista!P36</f>
        <v>0</v>
      </c>
      <c r="R37" s="125">
        <f>Lista!Q36</f>
        <v>0</v>
      </c>
      <c r="S37" s="125">
        <f>Lista!R36</f>
        <v>0</v>
      </c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  <c r="BA37" s="81"/>
      <c r="BB37" s="81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81"/>
      <c r="CF37" s="81"/>
      <c r="CG37" s="81"/>
      <c r="CH37" s="81"/>
      <c r="CI37" s="81"/>
      <c r="CJ37" s="81"/>
      <c r="CK37" s="81"/>
      <c r="CL37" s="81"/>
      <c r="CM37" s="81"/>
      <c r="CN37" s="81"/>
      <c r="CO37" s="81"/>
      <c r="CP37" s="81"/>
      <c r="CQ37" s="81"/>
      <c r="CR37" s="81"/>
      <c r="CS37" s="81"/>
      <c r="CT37" s="81"/>
      <c r="CU37" s="81"/>
      <c r="CV37" s="81"/>
      <c r="CW37" s="81"/>
      <c r="CX37" s="81"/>
      <c r="CY37" s="81"/>
      <c r="CZ37" s="81"/>
      <c r="DA37" s="81"/>
      <c r="DB37" s="81"/>
      <c r="DC37" s="81"/>
      <c r="DD37" s="81"/>
      <c r="DE37" s="81"/>
      <c r="DF37" s="81"/>
      <c r="DG37" s="81"/>
      <c r="DH37" s="81"/>
      <c r="DI37" s="81"/>
      <c r="DJ37" s="81"/>
      <c r="DK37" s="81"/>
      <c r="DL37" s="81"/>
      <c r="DM37" s="81"/>
      <c r="DN37" s="81"/>
      <c r="DO37" s="81"/>
      <c r="DP37" s="81"/>
      <c r="DQ37" s="81"/>
      <c r="DR37" s="81"/>
      <c r="DS37" s="81"/>
      <c r="DT37" s="81"/>
      <c r="DU37" s="81"/>
      <c r="DV37" s="81"/>
      <c r="DW37" s="121"/>
    </row>
    <row r="38" spans="1:127" x14ac:dyDescent="0.25">
      <c r="A38" s="2">
        <f>COUNTIF($D$2:D38,'Reporte de Nomina'!$E$2)</f>
        <v>0</v>
      </c>
      <c r="B38" s="125">
        <f>Lista!A37</f>
        <v>0</v>
      </c>
      <c r="C38" s="125">
        <f>Lista!B37</f>
        <v>0</v>
      </c>
      <c r="D38" s="125">
        <f>Lista!C37</f>
        <v>0</v>
      </c>
      <c r="E38" s="125">
        <f>Lista!D37</f>
        <v>0</v>
      </c>
      <c r="F38" s="125">
        <f>Lista!E37</f>
        <v>0</v>
      </c>
      <c r="G38" s="125">
        <f>Lista!F37</f>
        <v>0</v>
      </c>
      <c r="H38" s="125">
        <f>Lista!G37</f>
        <v>0</v>
      </c>
      <c r="I38" s="125">
        <f>Lista!H37</f>
        <v>0</v>
      </c>
      <c r="J38" s="125">
        <f>Lista!I37</f>
        <v>0</v>
      </c>
      <c r="K38" s="125">
        <f>Lista!J37</f>
        <v>0</v>
      </c>
      <c r="L38" s="125">
        <f>Lista!K37</f>
        <v>0</v>
      </c>
      <c r="M38" s="125">
        <f>Lista!L37</f>
        <v>0</v>
      </c>
      <c r="N38" s="125">
        <f>Lista!M37</f>
        <v>0</v>
      </c>
      <c r="O38" s="125">
        <f>Lista!N37</f>
        <v>0</v>
      </c>
      <c r="P38" s="125">
        <f>Lista!O37</f>
        <v>0</v>
      </c>
      <c r="Q38" s="125">
        <f>Lista!P37</f>
        <v>0</v>
      </c>
      <c r="R38" s="125">
        <f>Lista!Q37</f>
        <v>0</v>
      </c>
      <c r="S38" s="125">
        <f>Lista!R37</f>
        <v>0</v>
      </c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  <c r="BA38" s="81"/>
      <c r="BB38" s="81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1"/>
      <c r="CF38" s="81"/>
      <c r="CG38" s="81"/>
      <c r="CH38" s="81"/>
      <c r="CI38" s="81"/>
      <c r="CJ38" s="81"/>
      <c r="CK38" s="81"/>
      <c r="CL38" s="81"/>
      <c r="CM38" s="81"/>
      <c r="CN38" s="81"/>
      <c r="CO38" s="81"/>
      <c r="CP38" s="81"/>
      <c r="CQ38" s="81"/>
      <c r="CR38" s="81"/>
      <c r="CS38" s="81"/>
      <c r="CT38" s="81"/>
      <c r="CU38" s="81"/>
      <c r="CV38" s="81"/>
      <c r="CW38" s="81"/>
      <c r="CX38" s="81"/>
      <c r="CY38" s="81"/>
      <c r="CZ38" s="81"/>
      <c r="DA38" s="81"/>
      <c r="DB38" s="81"/>
      <c r="DC38" s="81"/>
      <c r="DD38" s="81"/>
      <c r="DE38" s="81"/>
      <c r="DF38" s="81"/>
      <c r="DG38" s="81"/>
      <c r="DH38" s="81"/>
      <c r="DI38" s="81"/>
      <c r="DJ38" s="81"/>
      <c r="DK38" s="81"/>
      <c r="DL38" s="81"/>
      <c r="DM38" s="81"/>
      <c r="DN38" s="81"/>
      <c r="DO38" s="81"/>
      <c r="DP38" s="81"/>
      <c r="DQ38" s="81"/>
      <c r="DR38" s="81"/>
      <c r="DS38" s="81"/>
      <c r="DT38" s="81"/>
      <c r="DU38" s="81"/>
      <c r="DV38" s="81"/>
      <c r="DW38" s="121"/>
    </row>
    <row r="39" spans="1:127" x14ac:dyDescent="0.25">
      <c r="A39" s="2">
        <f>COUNTIF($D$2:D39,'Reporte de Nomina'!$E$2)</f>
        <v>0</v>
      </c>
      <c r="B39" s="125">
        <f>Lista!A38</f>
        <v>0</v>
      </c>
      <c r="C39" s="125">
        <f>Lista!B38</f>
        <v>0</v>
      </c>
      <c r="D39" s="125">
        <f>Lista!C38</f>
        <v>0</v>
      </c>
      <c r="E39" s="125">
        <f>Lista!D38</f>
        <v>0</v>
      </c>
      <c r="F39" s="125">
        <f>Lista!E38</f>
        <v>0</v>
      </c>
      <c r="G39" s="125">
        <f>Lista!F38</f>
        <v>0</v>
      </c>
      <c r="H39" s="125">
        <f>Lista!G38</f>
        <v>0</v>
      </c>
      <c r="I39" s="125">
        <f>Lista!H38</f>
        <v>0</v>
      </c>
      <c r="J39" s="125">
        <f>Lista!I38</f>
        <v>0</v>
      </c>
      <c r="K39" s="125">
        <f>Lista!J38</f>
        <v>0</v>
      </c>
      <c r="L39" s="125">
        <f>Lista!K38</f>
        <v>0</v>
      </c>
      <c r="M39" s="125">
        <f>Lista!L38</f>
        <v>0</v>
      </c>
      <c r="N39" s="125">
        <f>Lista!M38</f>
        <v>0</v>
      </c>
      <c r="O39" s="125">
        <f>Lista!N38</f>
        <v>0</v>
      </c>
      <c r="P39" s="125">
        <f>Lista!O38</f>
        <v>0</v>
      </c>
      <c r="Q39" s="125">
        <f>Lista!P38</f>
        <v>0</v>
      </c>
      <c r="R39" s="125">
        <f>Lista!Q38</f>
        <v>0</v>
      </c>
      <c r="S39" s="125">
        <f>Lista!R38</f>
        <v>0</v>
      </c>
      <c r="T39" s="81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81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  <c r="BA39" s="81"/>
      <c r="BB39" s="81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1"/>
      <c r="CF39" s="81"/>
      <c r="CG39" s="81"/>
      <c r="CH39" s="81"/>
      <c r="CI39" s="81"/>
      <c r="CJ39" s="81"/>
      <c r="CK39" s="81"/>
      <c r="CL39" s="81"/>
      <c r="CM39" s="81"/>
      <c r="CN39" s="81"/>
      <c r="CO39" s="81"/>
      <c r="CP39" s="81"/>
      <c r="CQ39" s="81"/>
      <c r="CR39" s="81"/>
      <c r="CS39" s="81"/>
      <c r="CT39" s="81"/>
      <c r="CU39" s="81"/>
      <c r="CV39" s="81"/>
      <c r="CW39" s="81"/>
      <c r="CX39" s="81"/>
      <c r="CY39" s="81"/>
      <c r="CZ39" s="81"/>
      <c r="DA39" s="81"/>
      <c r="DB39" s="81"/>
      <c r="DC39" s="81"/>
      <c r="DD39" s="81"/>
      <c r="DE39" s="81"/>
      <c r="DF39" s="81"/>
      <c r="DG39" s="81"/>
      <c r="DH39" s="81"/>
      <c r="DI39" s="81"/>
      <c r="DJ39" s="81"/>
      <c r="DK39" s="81"/>
      <c r="DL39" s="81"/>
      <c r="DM39" s="81"/>
      <c r="DN39" s="81"/>
      <c r="DO39" s="81"/>
      <c r="DP39" s="81"/>
      <c r="DQ39" s="81"/>
      <c r="DR39" s="81"/>
      <c r="DS39" s="81"/>
      <c r="DT39" s="81"/>
      <c r="DU39" s="81"/>
      <c r="DV39" s="81"/>
      <c r="DW39" s="121"/>
    </row>
    <row r="40" spans="1:127" x14ac:dyDescent="0.25">
      <c r="A40" s="2">
        <f>COUNTIF($D$2:D40,'Reporte de Nomina'!$E$2)</f>
        <v>0</v>
      </c>
      <c r="B40" s="125">
        <f>Lista!A39</f>
        <v>0</v>
      </c>
      <c r="C40" s="125">
        <f>Lista!B39</f>
        <v>0</v>
      </c>
      <c r="D40" s="125">
        <f>Lista!C39</f>
        <v>0</v>
      </c>
      <c r="E40" s="125">
        <f>Lista!D39</f>
        <v>0</v>
      </c>
      <c r="F40" s="125">
        <f>Lista!E39</f>
        <v>0</v>
      </c>
      <c r="G40" s="125">
        <f>Lista!F39</f>
        <v>0</v>
      </c>
      <c r="H40" s="125">
        <f>Lista!G39</f>
        <v>0</v>
      </c>
      <c r="I40" s="125">
        <f>Lista!H39</f>
        <v>0</v>
      </c>
      <c r="J40" s="125">
        <f>Lista!I39</f>
        <v>0</v>
      </c>
      <c r="K40" s="125">
        <f>Lista!J39</f>
        <v>0</v>
      </c>
      <c r="L40" s="125">
        <f>Lista!K39</f>
        <v>0</v>
      </c>
      <c r="M40" s="125">
        <f>Lista!L39</f>
        <v>0</v>
      </c>
      <c r="N40" s="125">
        <f>Lista!M39</f>
        <v>0</v>
      </c>
      <c r="O40" s="125">
        <f>Lista!N39</f>
        <v>0</v>
      </c>
      <c r="P40" s="125">
        <f>Lista!O39</f>
        <v>0</v>
      </c>
      <c r="Q40" s="125">
        <f>Lista!P39</f>
        <v>0</v>
      </c>
      <c r="R40" s="125">
        <f>Lista!Q39</f>
        <v>0</v>
      </c>
      <c r="S40" s="125">
        <f>Lista!R39</f>
        <v>0</v>
      </c>
      <c r="T40" s="81"/>
      <c r="U40" s="81"/>
      <c r="V40" s="81"/>
      <c r="W40" s="81"/>
      <c r="X40" s="81"/>
      <c r="Y40" s="81"/>
      <c r="Z40" s="81"/>
      <c r="AA40" s="81"/>
      <c r="AB40" s="81"/>
      <c r="AC40" s="81"/>
      <c r="AD40" s="81"/>
      <c r="AE40" s="81"/>
      <c r="AF40" s="81"/>
      <c r="AG40" s="81"/>
      <c r="AH40" s="81"/>
      <c r="AI40" s="81"/>
      <c r="AJ40" s="81"/>
      <c r="AK40" s="81"/>
      <c r="AL40" s="81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  <c r="BA40" s="81"/>
      <c r="BB40" s="81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81"/>
      <c r="CF40" s="81"/>
      <c r="CG40" s="81"/>
      <c r="CH40" s="81"/>
      <c r="CI40" s="81"/>
      <c r="CJ40" s="81"/>
      <c r="CK40" s="81"/>
      <c r="CL40" s="81"/>
      <c r="CM40" s="81"/>
      <c r="CN40" s="81"/>
      <c r="CO40" s="81"/>
      <c r="CP40" s="81"/>
      <c r="CQ40" s="81"/>
      <c r="CR40" s="81"/>
      <c r="CS40" s="81"/>
      <c r="CT40" s="81"/>
      <c r="CU40" s="81"/>
      <c r="CV40" s="81"/>
      <c r="CW40" s="81"/>
      <c r="CX40" s="81"/>
      <c r="CY40" s="81"/>
      <c r="CZ40" s="81"/>
      <c r="DA40" s="81"/>
      <c r="DB40" s="81"/>
      <c r="DC40" s="81"/>
      <c r="DD40" s="81"/>
      <c r="DE40" s="81"/>
      <c r="DF40" s="81"/>
      <c r="DG40" s="81"/>
      <c r="DH40" s="81"/>
      <c r="DI40" s="81"/>
      <c r="DJ40" s="81"/>
      <c r="DK40" s="81"/>
      <c r="DL40" s="81"/>
      <c r="DM40" s="81"/>
      <c r="DN40" s="81"/>
      <c r="DO40" s="81"/>
      <c r="DP40" s="81"/>
      <c r="DQ40" s="81"/>
      <c r="DR40" s="81"/>
      <c r="DS40" s="81"/>
      <c r="DT40" s="81"/>
      <c r="DU40" s="81"/>
      <c r="DV40" s="81"/>
      <c r="DW40" s="121"/>
    </row>
    <row r="41" spans="1:127" x14ac:dyDescent="0.25">
      <c r="A41" s="2">
        <f>COUNTIF($D$2:D41,'Reporte de Nomina'!$E$2)</f>
        <v>0</v>
      </c>
      <c r="B41" s="125">
        <f>Lista!A40</f>
        <v>0</v>
      </c>
      <c r="C41" s="125">
        <f>Lista!B40</f>
        <v>0</v>
      </c>
      <c r="D41" s="125">
        <f>Lista!C40</f>
        <v>0</v>
      </c>
      <c r="E41" s="125">
        <f>Lista!D40</f>
        <v>0</v>
      </c>
      <c r="F41" s="125">
        <f>Lista!E40</f>
        <v>0</v>
      </c>
      <c r="G41" s="125">
        <f>Lista!F40</f>
        <v>0</v>
      </c>
      <c r="H41" s="125">
        <f>Lista!G40</f>
        <v>0</v>
      </c>
      <c r="I41" s="125">
        <f>Lista!H40</f>
        <v>0</v>
      </c>
      <c r="J41" s="125">
        <f>Lista!I40</f>
        <v>0</v>
      </c>
      <c r="K41" s="125">
        <f>Lista!J40</f>
        <v>0</v>
      </c>
      <c r="L41" s="125">
        <f>Lista!K40</f>
        <v>0</v>
      </c>
      <c r="M41" s="125">
        <f>Lista!L40</f>
        <v>0</v>
      </c>
      <c r="N41" s="125">
        <f>Lista!M40</f>
        <v>0</v>
      </c>
      <c r="O41" s="125">
        <f>Lista!N40</f>
        <v>0</v>
      </c>
      <c r="P41" s="125">
        <f>Lista!O40</f>
        <v>0</v>
      </c>
      <c r="Q41" s="125">
        <f>Lista!P40</f>
        <v>0</v>
      </c>
      <c r="R41" s="125">
        <f>Lista!Q40</f>
        <v>0</v>
      </c>
      <c r="S41" s="125">
        <f>Lista!R40</f>
        <v>0</v>
      </c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  <c r="BA41" s="81"/>
      <c r="BB41" s="81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81"/>
      <c r="CF41" s="81"/>
      <c r="CG41" s="81"/>
      <c r="CH41" s="81"/>
      <c r="CI41" s="81"/>
      <c r="CJ41" s="81"/>
      <c r="CK41" s="81"/>
      <c r="CL41" s="81"/>
      <c r="CM41" s="81"/>
      <c r="CN41" s="81"/>
      <c r="CO41" s="81"/>
      <c r="CP41" s="81"/>
      <c r="CQ41" s="81"/>
      <c r="CR41" s="81"/>
      <c r="CS41" s="81"/>
      <c r="CT41" s="81"/>
      <c r="CU41" s="81"/>
      <c r="CV41" s="81"/>
      <c r="CW41" s="81"/>
      <c r="CX41" s="81"/>
      <c r="CY41" s="81"/>
      <c r="CZ41" s="81"/>
      <c r="DA41" s="81"/>
      <c r="DB41" s="81"/>
      <c r="DC41" s="81"/>
      <c r="DD41" s="81"/>
      <c r="DE41" s="81"/>
      <c r="DF41" s="81"/>
      <c r="DG41" s="81"/>
      <c r="DH41" s="81"/>
      <c r="DI41" s="81"/>
      <c r="DJ41" s="81"/>
      <c r="DK41" s="81"/>
      <c r="DL41" s="81"/>
      <c r="DM41" s="81"/>
      <c r="DN41" s="81"/>
      <c r="DO41" s="81"/>
      <c r="DP41" s="81"/>
      <c r="DQ41" s="81"/>
      <c r="DR41" s="81"/>
      <c r="DS41" s="81"/>
      <c r="DT41" s="81"/>
      <c r="DU41" s="81"/>
      <c r="DV41" s="81"/>
      <c r="DW41" s="121"/>
    </row>
    <row r="42" spans="1:127" x14ac:dyDescent="0.25">
      <c r="A42" s="2">
        <f>COUNTIF($D$2:D42,'Reporte de Nomina'!$E$2)</f>
        <v>0</v>
      </c>
      <c r="B42" s="125">
        <f>Lista!A41</f>
        <v>0</v>
      </c>
      <c r="C42" s="125">
        <f>Lista!B41</f>
        <v>0</v>
      </c>
      <c r="D42" s="125">
        <f>Lista!C41</f>
        <v>0</v>
      </c>
      <c r="E42" s="125">
        <f>Lista!D41</f>
        <v>0</v>
      </c>
      <c r="F42" s="125">
        <f>Lista!E41</f>
        <v>0</v>
      </c>
      <c r="G42" s="125">
        <f>Lista!F41</f>
        <v>0</v>
      </c>
      <c r="H42" s="125">
        <f>Lista!G41</f>
        <v>0</v>
      </c>
      <c r="I42" s="125">
        <f>Lista!H41</f>
        <v>0</v>
      </c>
      <c r="J42" s="125">
        <f>Lista!I41</f>
        <v>0</v>
      </c>
      <c r="K42" s="125">
        <f>Lista!J41</f>
        <v>0</v>
      </c>
      <c r="L42" s="125">
        <f>Lista!K41</f>
        <v>0</v>
      </c>
      <c r="M42" s="125">
        <f>Lista!L41</f>
        <v>0</v>
      </c>
      <c r="N42" s="125">
        <f>Lista!M41</f>
        <v>0</v>
      </c>
      <c r="O42" s="125">
        <f>Lista!N41</f>
        <v>0</v>
      </c>
      <c r="P42" s="125">
        <f>Lista!O41</f>
        <v>0</v>
      </c>
      <c r="Q42" s="125">
        <f>Lista!P41</f>
        <v>0</v>
      </c>
      <c r="R42" s="125">
        <f>Lista!Q41</f>
        <v>0</v>
      </c>
      <c r="S42" s="125">
        <f>Lista!R41</f>
        <v>0</v>
      </c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  <c r="BA42" s="81"/>
      <c r="BB42" s="81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81"/>
      <c r="CF42" s="81"/>
      <c r="CG42" s="81"/>
      <c r="CH42" s="81"/>
      <c r="CI42" s="81"/>
      <c r="CJ42" s="81"/>
      <c r="CK42" s="81"/>
      <c r="CL42" s="81"/>
      <c r="CM42" s="81"/>
      <c r="CN42" s="81"/>
      <c r="CO42" s="81"/>
      <c r="CP42" s="81"/>
      <c r="CQ42" s="81"/>
      <c r="CR42" s="81"/>
      <c r="CS42" s="81"/>
      <c r="CT42" s="81"/>
      <c r="CU42" s="81"/>
      <c r="CV42" s="81"/>
      <c r="CW42" s="81"/>
      <c r="CX42" s="81"/>
      <c r="CY42" s="81"/>
      <c r="CZ42" s="81"/>
      <c r="DA42" s="81"/>
      <c r="DB42" s="81"/>
      <c r="DC42" s="81"/>
      <c r="DD42" s="81"/>
      <c r="DE42" s="81"/>
      <c r="DF42" s="81"/>
      <c r="DG42" s="81"/>
      <c r="DH42" s="81"/>
      <c r="DI42" s="81"/>
      <c r="DJ42" s="81"/>
      <c r="DK42" s="81"/>
      <c r="DL42" s="81"/>
      <c r="DM42" s="81"/>
      <c r="DN42" s="81"/>
      <c r="DO42" s="81"/>
      <c r="DP42" s="81"/>
      <c r="DQ42" s="81"/>
      <c r="DR42" s="81"/>
      <c r="DS42" s="81"/>
      <c r="DT42" s="81"/>
      <c r="DU42" s="81"/>
      <c r="DV42" s="81"/>
      <c r="DW42" s="121"/>
    </row>
    <row r="43" spans="1:127" x14ac:dyDescent="0.25">
      <c r="A43" s="2">
        <f>COUNTIF($D$2:D43,'Reporte de Nomina'!$E$2)</f>
        <v>0</v>
      </c>
      <c r="B43" s="125">
        <f>Lista!A42</f>
        <v>0</v>
      </c>
      <c r="C43" s="125">
        <f>Lista!B42</f>
        <v>0</v>
      </c>
      <c r="D43" s="125">
        <f>Lista!C42</f>
        <v>0</v>
      </c>
      <c r="E43" s="125">
        <f>Lista!D42</f>
        <v>0</v>
      </c>
      <c r="F43" s="125">
        <f>Lista!E42</f>
        <v>0</v>
      </c>
      <c r="G43" s="125">
        <f>Lista!F42</f>
        <v>0</v>
      </c>
      <c r="H43" s="125">
        <f>Lista!G42</f>
        <v>0</v>
      </c>
      <c r="I43" s="125">
        <f>Lista!H42</f>
        <v>0</v>
      </c>
      <c r="J43" s="125">
        <f>Lista!I42</f>
        <v>0</v>
      </c>
      <c r="K43" s="125">
        <f>Lista!J42</f>
        <v>0</v>
      </c>
      <c r="L43" s="125">
        <f>Lista!K42</f>
        <v>0</v>
      </c>
      <c r="M43" s="125">
        <f>Lista!L42</f>
        <v>0</v>
      </c>
      <c r="N43" s="125">
        <f>Lista!M42</f>
        <v>0</v>
      </c>
      <c r="O43" s="125">
        <f>Lista!N42</f>
        <v>0</v>
      </c>
      <c r="P43" s="125">
        <f>Lista!O42</f>
        <v>0</v>
      </c>
      <c r="Q43" s="125">
        <f>Lista!P42</f>
        <v>0</v>
      </c>
      <c r="R43" s="125">
        <f>Lista!Q42</f>
        <v>0</v>
      </c>
      <c r="S43" s="125">
        <f>Lista!R42</f>
        <v>0</v>
      </c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81"/>
      <c r="AG43" s="81"/>
      <c r="AH43" s="81"/>
      <c r="AI43" s="81"/>
      <c r="AJ43" s="81"/>
      <c r="AK43" s="81"/>
      <c r="AL43" s="81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  <c r="BA43" s="81"/>
      <c r="BB43" s="81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81"/>
      <c r="CF43" s="81"/>
      <c r="CG43" s="81"/>
      <c r="CH43" s="81"/>
      <c r="CI43" s="81"/>
      <c r="CJ43" s="81"/>
      <c r="CK43" s="81"/>
      <c r="CL43" s="81"/>
      <c r="CM43" s="81"/>
      <c r="CN43" s="81"/>
      <c r="CO43" s="81"/>
      <c r="CP43" s="81"/>
      <c r="CQ43" s="81"/>
      <c r="CR43" s="81"/>
      <c r="CS43" s="81"/>
      <c r="CT43" s="81"/>
      <c r="CU43" s="81"/>
      <c r="CV43" s="81"/>
      <c r="CW43" s="81"/>
      <c r="CX43" s="81"/>
      <c r="CY43" s="81"/>
      <c r="CZ43" s="81"/>
      <c r="DA43" s="81"/>
      <c r="DB43" s="81"/>
      <c r="DC43" s="81"/>
      <c r="DD43" s="81"/>
      <c r="DE43" s="81"/>
      <c r="DF43" s="81"/>
      <c r="DG43" s="81"/>
      <c r="DH43" s="81"/>
      <c r="DI43" s="81"/>
      <c r="DJ43" s="81"/>
      <c r="DK43" s="81"/>
      <c r="DL43" s="81"/>
      <c r="DM43" s="81"/>
      <c r="DN43" s="81"/>
      <c r="DO43" s="81"/>
      <c r="DP43" s="81"/>
      <c r="DQ43" s="81"/>
      <c r="DR43" s="81"/>
      <c r="DS43" s="81"/>
      <c r="DT43" s="81"/>
      <c r="DU43" s="81"/>
      <c r="DV43" s="81"/>
      <c r="DW43" s="121"/>
    </row>
    <row r="44" spans="1:127" x14ac:dyDescent="0.25">
      <c r="A44" s="2">
        <f>COUNTIF($D$2:D44,'Reporte de Nomina'!$E$2)</f>
        <v>0</v>
      </c>
      <c r="B44" s="125">
        <f>Lista!A43</f>
        <v>0</v>
      </c>
      <c r="C44" s="125">
        <f>Lista!B43</f>
        <v>0</v>
      </c>
      <c r="D44" s="125">
        <f>Lista!C43</f>
        <v>0</v>
      </c>
      <c r="E44" s="125">
        <f>Lista!D43</f>
        <v>0</v>
      </c>
      <c r="F44" s="125">
        <f>Lista!E43</f>
        <v>0</v>
      </c>
      <c r="G44" s="125">
        <f>Lista!F43</f>
        <v>0</v>
      </c>
      <c r="H44" s="125">
        <f>Lista!G43</f>
        <v>0</v>
      </c>
      <c r="I44" s="125">
        <f>Lista!H43</f>
        <v>0</v>
      </c>
      <c r="J44" s="125">
        <f>Lista!I43</f>
        <v>0</v>
      </c>
      <c r="K44" s="125">
        <f>Lista!J43</f>
        <v>0</v>
      </c>
      <c r="L44" s="125">
        <f>Lista!K43</f>
        <v>0</v>
      </c>
      <c r="M44" s="125">
        <f>Lista!L43</f>
        <v>0</v>
      </c>
      <c r="N44" s="125">
        <f>Lista!M43</f>
        <v>0</v>
      </c>
      <c r="O44" s="125">
        <f>Lista!N43</f>
        <v>0</v>
      </c>
      <c r="P44" s="125">
        <f>Lista!O43</f>
        <v>0</v>
      </c>
      <c r="Q44" s="125">
        <f>Lista!P43</f>
        <v>0</v>
      </c>
      <c r="R44" s="125">
        <f>Lista!Q43</f>
        <v>0</v>
      </c>
      <c r="S44" s="125">
        <f>Lista!R43</f>
        <v>0</v>
      </c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  <c r="BA44" s="81"/>
      <c r="BB44" s="81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81"/>
      <c r="CF44" s="81"/>
      <c r="CG44" s="81"/>
      <c r="CH44" s="81"/>
      <c r="CI44" s="81"/>
      <c r="CJ44" s="81"/>
      <c r="CK44" s="81"/>
      <c r="CL44" s="81"/>
      <c r="CM44" s="81"/>
      <c r="CN44" s="81"/>
      <c r="CO44" s="81"/>
      <c r="CP44" s="81"/>
      <c r="CQ44" s="81"/>
      <c r="CR44" s="81"/>
      <c r="CS44" s="81"/>
      <c r="CT44" s="81"/>
      <c r="CU44" s="81"/>
      <c r="CV44" s="81"/>
      <c r="CW44" s="81"/>
      <c r="CX44" s="81"/>
      <c r="CY44" s="81"/>
      <c r="CZ44" s="81"/>
      <c r="DA44" s="81"/>
      <c r="DB44" s="81"/>
      <c r="DC44" s="81"/>
      <c r="DD44" s="81"/>
      <c r="DE44" s="81"/>
      <c r="DF44" s="81"/>
      <c r="DG44" s="81"/>
      <c r="DH44" s="81"/>
      <c r="DI44" s="81"/>
      <c r="DJ44" s="81"/>
      <c r="DK44" s="81"/>
      <c r="DL44" s="81"/>
      <c r="DM44" s="81"/>
      <c r="DN44" s="81"/>
      <c r="DO44" s="81"/>
      <c r="DP44" s="81"/>
      <c r="DQ44" s="81"/>
      <c r="DR44" s="81"/>
      <c r="DS44" s="81"/>
      <c r="DT44" s="81"/>
      <c r="DU44" s="81"/>
      <c r="DV44" s="81"/>
      <c r="DW44" s="121"/>
    </row>
    <row r="45" spans="1:127" x14ac:dyDescent="0.25">
      <c r="A45" s="2">
        <f>COUNTIF($D$2:D45,'Reporte de Nomina'!$E$2)</f>
        <v>0</v>
      </c>
      <c r="B45" s="125">
        <f>Lista!A44</f>
        <v>0</v>
      </c>
      <c r="C45" s="125">
        <f>Lista!B44</f>
        <v>0</v>
      </c>
      <c r="D45" s="125">
        <f>Lista!C44</f>
        <v>0</v>
      </c>
      <c r="E45" s="125">
        <f>Lista!D44</f>
        <v>0</v>
      </c>
      <c r="F45" s="125">
        <f>Lista!E44</f>
        <v>0</v>
      </c>
      <c r="G45" s="125">
        <f>Lista!F44</f>
        <v>0</v>
      </c>
      <c r="H45" s="125">
        <f>Lista!G44</f>
        <v>0</v>
      </c>
      <c r="I45" s="125">
        <f>Lista!H44</f>
        <v>0</v>
      </c>
      <c r="J45" s="125">
        <f>Lista!I44</f>
        <v>0</v>
      </c>
      <c r="K45" s="125">
        <f>Lista!J44</f>
        <v>0</v>
      </c>
      <c r="L45" s="125">
        <f>Lista!K44</f>
        <v>0</v>
      </c>
      <c r="M45" s="125">
        <f>Lista!L44</f>
        <v>0</v>
      </c>
      <c r="N45" s="125">
        <f>Lista!M44</f>
        <v>0</v>
      </c>
      <c r="O45" s="125">
        <f>Lista!N44</f>
        <v>0</v>
      </c>
      <c r="P45" s="125">
        <f>Lista!O44</f>
        <v>0</v>
      </c>
      <c r="Q45" s="125">
        <f>Lista!P44</f>
        <v>0</v>
      </c>
      <c r="R45" s="125">
        <f>Lista!Q44</f>
        <v>0</v>
      </c>
      <c r="S45" s="125">
        <f>Lista!R44</f>
        <v>0</v>
      </c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  <c r="BA45" s="81"/>
      <c r="BB45" s="81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81"/>
      <c r="CF45" s="81"/>
      <c r="CG45" s="81"/>
      <c r="CH45" s="81"/>
      <c r="CI45" s="81"/>
      <c r="CJ45" s="81"/>
      <c r="CK45" s="81"/>
      <c r="CL45" s="81"/>
      <c r="CM45" s="81"/>
      <c r="CN45" s="81"/>
      <c r="CO45" s="81"/>
      <c r="CP45" s="81"/>
      <c r="CQ45" s="81"/>
      <c r="CR45" s="81"/>
      <c r="CS45" s="81"/>
      <c r="CT45" s="81"/>
      <c r="CU45" s="81"/>
      <c r="CV45" s="81"/>
      <c r="CW45" s="81"/>
      <c r="CX45" s="81"/>
      <c r="CY45" s="81"/>
      <c r="CZ45" s="81"/>
      <c r="DA45" s="81"/>
      <c r="DB45" s="81"/>
      <c r="DC45" s="81"/>
      <c r="DD45" s="81"/>
      <c r="DE45" s="81"/>
      <c r="DF45" s="81"/>
      <c r="DG45" s="81"/>
      <c r="DH45" s="81"/>
      <c r="DI45" s="81"/>
      <c r="DJ45" s="81"/>
      <c r="DK45" s="81"/>
      <c r="DL45" s="81"/>
      <c r="DM45" s="81"/>
      <c r="DN45" s="81"/>
      <c r="DO45" s="81"/>
      <c r="DP45" s="81"/>
      <c r="DQ45" s="81"/>
      <c r="DR45" s="81"/>
      <c r="DS45" s="81"/>
      <c r="DT45" s="81"/>
      <c r="DU45" s="81"/>
      <c r="DV45" s="81"/>
      <c r="DW45" s="121"/>
    </row>
    <row r="46" spans="1:127" x14ac:dyDescent="0.25">
      <c r="A46" s="2">
        <f>COUNTIF($D$2:D46,'Reporte de Nomina'!$E$2)</f>
        <v>0</v>
      </c>
      <c r="B46" s="125">
        <f>Lista!A45</f>
        <v>0</v>
      </c>
      <c r="C46" s="125">
        <f>Lista!B45</f>
        <v>0</v>
      </c>
      <c r="D46" s="125">
        <f>Lista!C45</f>
        <v>0</v>
      </c>
      <c r="E46" s="125">
        <f>Lista!D45</f>
        <v>0</v>
      </c>
      <c r="F46" s="125">
        <f>Lista!E45</f>
        <v>0</v>
      </c>
      <c r="G46" s="125">
        <f>Lista!F45</f>
        <v>0</v>
      </c>
      <c r="H46" s="125">
        <f>Lista!G45</f>
        <v>0</v>
      </c>
      <c r="I46" s="125">
        <f>Lista!H45</f>
        <v>0</v>
      </c>
      <c r="J46" s="125">
        <f>Lista!I45</f>
        <v>0</v>
      </c>
      <c r="K46" s="125">
        <f>Lista!J45</f>
        <v>0</v>
      </c>
      <c r="L46" s="125">
        <f>Lista!K45</f>
        <v>0</v>
      </c>
      <c r="M46" s="125">
        <f>Lista!L45</f>
        <v>0</v>
      </c>
      <c r="N46" s="125">
        <f>Lista!M45</f>
        <v>0</v>
      </c>
      <c r="O46" s="125">
        <f>Lista!N45</f>
        <v>0</v>
      </c>
      <c r="P46" s="125">
        <f>Lista!O45</f>
        <v>0</v>
      </c>
      <c r="Q46" s="125">
        <f>Lista!P45</f>
        <v>0</v>
      </c>
      <c r="R46" s="125">
        <f>Lista!Q45</f>
        <v>0</v>
      </c>
      <c r="S46" s="125">
        <f>Lista!R45</f>
        <v>0</v>
      </c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  <c r="BA46" s="81"/>
      <c r="BB46" s="81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81"/>
      <c r="CF46" s="81"/>
      <c r="CG46" s="81"/>
      <c r="CH46" s="81"/>
      <c r="CI46" s="81"/>
      <c r="CJ46" s="81"/>
      <c r="CK46" s="81"/>
      <c r="CL46" s="81"/>
      <c r="CM46" s="81"/>
      <c r="CN46" s="81"/>
      <c r="CO46" s="81"/>
      <c r="CP46" s="81"/>
      <c r="CQ46" s="81"/>
      <c r="CR46" s="81"/>
      <c r="CS46" s="81"/>
      <c r="CT46" s="81"/>
      <c r="CU46" s="81"/>
      <c r="CV46" s="81"/>
      <c r="CW46" s="81"/>
      <c r="CX46" s="81"/>
      <c r="CY46" s="81"/>
      <c r="CZ46" s="81"/>
      <c r="DA46" s="81"/>
      <c r="DB46" s="81"/>
      <c r="DC46" s="81"/>
      <c r="DD46" s="81"/>
      <c r="DE46" s="81"/>
      <c r="DF46" s="81"/>
      <c r="DG46" s="81"/>
      <c r="DH46" s="81"/>
      <c r="DI46" s="81"/>
      <c r="DJ46" s="81"/>
      <c r="DK46" s="81"/>
      <c r="DL46" s="81"/>
      <c r="DM46" s="81"/>
      <c r="DN46" s="81"/>
      <c r="DO46" s="81"/>
      <c r="DP46" s="81"/>
      <c r="DQ46" s="81"/>
      <c r="DR46" s="81"/>
      <c r="DS46" s="81"/>
      <c r="DT46" s="81"/>
      <c r="DU46" s="81"/>
      <c r="DV46" s="81"/>
      <c r="DW46" s="121"/>
    </row>
    <row r="47" spans="1:127" x14ac:dyDescent="0.25">
      <c r="A47" s="2">
        <f>COUNTIF($D$2:D47,'Reporte de Nomina'!$E$2)</f>
        <v>0</v>
      </c>
      <c r="B47" s="125">
        <f>Lista!A46</f>
        <v>0</v>
      </c>
      <c r="C47" s="125">
        <f>Lista!B46</f>
        <v>0</v>
      </c>
      <c r="D47" s="125">
        <f>Lista!C46</f>
        <v>0</v>
      </c>
      <c r="E47" s="125">
        <f>Lista!D46</f>
        <v>0</v>
      </c>
      <c r="F47" s="125">
        <f>Lista!E46</f>
        <v>0</v>
      </c>
      <c r="G47" s="125">
        <f>Lista!F46</f>
        <v>0</v>
      </c>
      <c r="H47" s="125">
        <f>Lista!G46</f>
        <v>0</v>
      </c>
      <c r="I47" s="125">
        <f>Lista!H46</f>
        <v>0</v>
      </c>
      <c r="J47" s="125">
        <f>Lista!I46</f>
        <v>0</v>
      </c>
      <c r="K47" s="125">
        <f>Lista!J46</f>
        <v>0</v>
      </c>
      <c r="L47" s="125">
        <f>Lista!K46</f>
        <v>0</v>
      </c>
      <c r="M47" s="125">
        <f>Lista!L46</f>
        <v>0</v>
      </c>
      <c r="N47" s="125">
        <f>Lista!M46</f>
        <v>0</v>
      </c>
      <c r="O47" s="125">
        <f>Lista!N46</f>
        <v>0</v>
      </c>
      <c r="P47" s="125">
        <f>Lista!O46</f>
        <v>0</v>
      </c>
      <c r="Q47" s="125">
        <f>Lista!P46</f>
        <v>0</v>
      </c>
      <c r="R47" s="125">
        <f>Lista!Q46</f>
        <v>0</v>
      </c>
      <c r="S47" s="125">
        <f>Lista!R46</f>
        <v>0</v>
      </c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  <c r="BA47" s="81"/>
      <c r="BB47" s="81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81"/>
      <c r="CF47" s="81"/>
      <c r="CG47" s="81"/>
      <c r="CH47" s="81"/>
      <c r="CI47" s="81"/>
      <c r="CJ47" s="81"/>
      <c r="CK47" s="81"/>
      <c r="CL47" s="81"/>
      <c r="CM47" s="81"/>
      <c r="CN47" s="81"/>
      <c r="CO47" s="81"/>
      <c r="CP47" s="81"/>
      <c r="CQ47" s="81"/>
      <c r="CR47" s="81"/>
      <c r="CS47" s="81"/>
      <c r="CT47" s="81"/>
      <c r="CU47" s="81"/>
      <c r="CV47" s="81"/>
      <c r="CW47" s="81"/>
      <c r="CX47" s="81"/>
      <c r="CY47" s="81"/>
      <c r="CZ47" s="81"/>
      <c r="DA47" s="81"/>
      <c r="DB47" s="81"/>
      <c r="DC47" s="81"/>
      <c r="DD47" s="81"/>
      <c r="DE47" s="81"/>
      <c r="DF47" s="81"/>
      <c r="DG47" s="81"/>
      <c r="DH47" s="81"/>
      <c r="DI47" s="81"/>
      <c r="DJ47" s="81"/>
      <c r="DK47" s="81"/>
      <c r="DL47" s="81"/>
      <c r="DM47" s="81"/>
      <c r="DN47" s="81"/>
      <c r="DO47" s="81"/>
      <c r="DP47" s="81"/>
      <c r="DQ47" s="81"/>
      <c r="DR47" s="81"/>
      <c r="DS47" s="81"/>
      <c r="DT47" s="81"/>
      <c r="DU47" s="81"/>
      <c r="DV47" s="81"/>
      <c r="DW47" s="121"/>
    </row>
    <row r="48" spans="1:127" x14ac:dyDescent="0.25">
      <c r="A48" s="2">
        <f>COUNTIF($D$2:D48,'Reporte de Nomina'!$E$2)</f>
        <v>0</v>
      </c>
      <c r="B48" s="125">
        <f>Lista!A47</f>
        <v>0</v>
      </c>
      <c r="C48" s="125">
        <f>Lista!B47</f>
        <v>0</v>
      </c>
      <c r="D48" s="125">
        <f>Lista!C47</f>
        <v>0</v>
      </c>
      <c r="E48" s="125">
        <f>Lista!D47</f>
        <v>0</v>
      </c>
      <c r="F48" s="125">
        <f>Lista!E47</f>
        <v>0</v>
      </c>
      <c r="G48" s="125">
        <f>Lista!F47</f>
        <v>0</v>
      </c>
      <c r="H48" s="125">
        <f>Lista!G47</f>
        <v>0</v>
      </c>
      <c r="I48" s="125">
        <f>Lista!H47</f>
        <v>0</v>
      </c>
      <c r="J48" s="125">
        <f>Lista!I47</f>
        <v>0</v>
      </c>
      <c r="K48" s="125">
        <f>Lista!J47</f>
        <v>0</v>
      </c>
      <c r="L48" s="125">
        <f>Lista!K47</f>
        <v>0</v>
      </c>
      <c r="M48" s="125">
        <f>Lista!L47</f>
        <v>0</v>
      </c>
      <c r="N48" s="125">
        <f>Lista!M47</f>
        <v>0</v>
      </c>
      <c r="O48" s="125">
        <f>Lista!N47</f>
        <v>0</v>
      </c>
      <c r="P48" s="125">
        <f>Lista!O47</f>
        <v>0</v>
      </c>
      <c r="Q48" s="125">
        <f>Lista!P47</f>
        <v>0</v>
      </c>
      <c r="R48" s="125">
        <f>Lista!Q47</f>
        <v>0</v>
      </c>
      <c r="S48" s="125">
        <f>Lista!R47</f>
        <v>0</v>
      </c>
      <c r="T48" s="81"/>
      <c r="U48" s="81"/>
      <c r="V48" s="81"/>
      <c r="W48" s="81"/>
      <c r="X48" s="81"/>
      <c r="Y48" s="81"/>
      <c r="Z48" s="81"/>
      <c r="AA48" s="81"/>
      <c r="AB48" s="81"/>
      <c r="AC48" s="81"/>
      <c r="AD48" s="81"/>
      <c r="AE48" s="81"/>
      <c r="AF48" s="81"/>
      <c r="AG48" s="81"/>
      <c r="AH48" s="81"/>
      <c r="AI48" s="81"/>
      <c r="AJ48" s="81"/>
      <c r="AK48" s="81"/>
      <c r="AL48" s="81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  <c r="BA48" s="81"/>
      <c r="BB48" s="81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81"/>
      <c r="CF48" s="81"/>
      <c r="CG48" s="81"/>
      <c r="CH48" s="81"/>
      <c r="CI48" s="81"/>
      <c r="CJ48" s="81"/>
      <c r="CK48" s="81"/>
      <c r="CL48" s="81"/>
      <c r="CM48" s="81"/>
      <c r="CN48" s="81"/>
      <c r="CO48" s="81"/>
      <c r="CP48" s="81"/>
      <c r="CQ48" s="81"/>
      <c r="CR48" s="81"/>
      <c r="CS48" s="81"/>
      <c r="CT48" s="81"/>
      <c r="CU48" s="81"/>
      <c r="CV48" s="81"/>
      <c r="CW48" s="81"/>
      <c r="CX48" s="81"/>
      <c r="CY48" s="81"/>
      <c r="CZ48" s="81"/>
      <c r="DA48" s="81"/>
      <c r="DB48" s="81"/>
      <c r="DC48" s="81"/>
      <c r="DD48" s="81"/>
      <c r="DE48" s="81"/>
      <c r="DF48" s="81"/>
      <c r="DG48" s="81"/>
      <c r="DH48" s="81"/>
      <c r="DI48" s="81"/>
      <c r="DJ48" s="81"/>
      <c r="DK48" s="81"/>
      <c r="DL48" s="81"/>
      <c r="DM48" s="81"/>
      <c r="DN48" s="81"/>
      <c r="DO48" s="81"/>
      <c r="DP48" s="81"/>
      <c r="DQ48" s="81"/>
      <c r="DR48" s="81"/>
      <c r="DS48" s="81"/>
      <c r="DT48" s="81"/>
      <c r="DU48" s="81"/>
      <c r="DV48" s="81"/>
      <c r="DW48" s="121"/>
    </row>
    <row r="49" spans="1:127" x14ac:dyDescent="0.25">
      <c r="A49" s="2">
        <f>COUNTIF($D$2:D49,'Reporte de Nomina'!$E$2)</f>
        <v>0</v>
      </c>
      <c r="B49" s="125">
        <f>Lista!A48</f>
        <v>0</v>
      </c>
      <c r="C49" s="125">
        <f>Lista!B48</f>
        <v>0</v>
      </c>
      <c r="D49" s="125">
        <f>Lista!C48</f>
        <v>0</v>
      </c>
      <c r="E49" s="125">
        <f>Lista!D48</f>
        <v>0</v>
      </c>
      <c r="F49" s="125">
        <f>Lista!E48</f>
        <v>0</v>
      </c>
      <c r="G49" s="125">
        <f>Lista!F48</f>
        <v>0</v>
      </c>
      <c r="H49" s="125">
        <f>Lista!G48</f>
        <v>0</v>
      </c>
      <c r="I49" s="125">
        <f>Lista!H48</f>
        <v>0</v>
      </c>
      <c r="J49" s="125">
        <f>Lista!I48</f>
        <v>0</v>
      </c>
      <c r="K49" s="125">
        <f>Lista!J48</f>
        <v>0</v>
      </c>
      <c r="L49" s="125">
        <f>Lista!K48</f>
        <v>0</v>
      </c>
      <c r="M49" s="125">
        <f>Lista!L48</f>
        <v>0</v>
      </c>
      <c r="N49" s="125">
        <f>Lista!M48</f>
        <v>0</v>
      </c>
      <c r="O49" s="125">
        <f>Lista!N48</f>
        <v>0</v>
      </c>
      <c r="P49" s="125">
        <f>Lista!O48</f>
        <v>0</v>
      </c>
      <c r="Q49" s="125">
        <f>Lista!P48</f>
        <v>0</v>
      </c>
      <c r="R49" s="125">
        <f>Lista!Q48</f>
        <v>0</v>
      </c>
      <c r="S49" s="125">
        <f>Lista!R48</f>
        <v>0</v>
      </c>
      <c r="T49" s="81"/>
      <c r="U49" s="81"/>
      <c r="V49" s="81"/>
      <c r="W49" s="81"/>
      <c r="X49" s="81"/>
      <c r="Y49" s="81"/>
      <c r="Z49" s="81"/>
      <c r="AA49" s="81"/>
      <c r="AB49" s="81"/>
      <c r="AC49" s="81"/>
      <c r="AD49" s="81"/>
      <c r="AE49" s="81"/>
      <c r="AF49" s="81"/>
      <c r="AG49" s="81"/>
      <c r="AH49" s="81"/>
      <c r="AI49" s="81"/>
      <c r="AJ49" s="81"/>
      <c r="AK49" s="81"/>
      <c r="AL49" s="81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  <c r="BA49" s="81"/>
      <c r="BB49" s="81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81"/>
      <c r="CF49" s="81"/>
      <c r="CG49" s="81"/>
      <c r="CH49" s="81"/>
      <c r="CI49" s="81"/>
      <c r="CJ49" s="81"/>
      <c r="CK49" s="81"/>
      <c r="CL49" s="81"/>
      <c r="CM49" s="81"/>
      <c r="CN49" s="81"/>
      <c r="CO49" s="81"/>
      <c r="CP49" s="81"/>
      <c r="CQ49" s="81"/>
      <c r="CR49" s="81"/>
      <c r="CS49" s="81"/>
      <c r="CT49" s="81"/>
      <c r="CU49" s="81"/>
      <c r="CV49" s="81"/>
      <c r="CW49" s="81"/>
      <c r="CX49" s="81"/>
      <c r="CY49" s="81"/>
      <c r="CZ49" s="81"/>
      <c r="DA49" s="81"/>
      <c r="DB49" s="81"/>
      <c r="DC49" s="81"/>
      <c r="DD49" s="81"/>
      <c r="DE49" s="81"/>
      <c r="DF49" s="81"/>
      <c r="DG49" s="81"/>
      <c r="DH49" s="81"/>
      <c r="DI49" s="81"/>
      <c r="DJ49" s="81"/>
      <c r="DK49" s="81"/>
      <c r="DL49" s="81"/>
      <c r="DM49" s="81"/>
      <c r="DN49" s="81"/>
      <c r="DO49" s="81"/>
      <c r="DP49" s="81"/>
      <c r="DQ49" s="81"/>
      <c r="DR49" s="81"/>
      <c r="DS49" s="81"/>
      <c r="DT49" s="81"/>
      <c r="DU49" s="81"/>
      <c r="DV49" s="81"/>
      <c r="DW49" s="121"/>
    </row>
    <row r="50" spans="1:127" x14ac:dyDescent="0.25">
      <c r="A50" s="2">
        <f>COUNTIF($D$2:D50,'Reporte de Nomina'!$E$2)</f>
        <v>0</v>
      </c>
      <c r="B50" s="125">
        <f>Lista!A49</f>
        <v>0</v>
      </c>
      <c r="C50" s="125">
        <f>Lista!B49</f>
        <v>0</v>
      </c>
      <c r="D50" s="125">
        <f>Lista!C49</f>
        <v>0</v>
      </c>
      <c r="E50" s="125">
        <f>Lista!D49</f>
        <v>0</v>
      </c>
      <c r="F50" s="125">
        <f>Lista!E49</f>
        <v>0</v>
      </c>
      <c r="G50" s="125">
        <f>Lista!F49</f>
        <v>0</v>
      </c>
      <c r="H50" s="125">
        <f>Lista!G49</f>
        <v>0</v>
      </c>
      <c r="I50" s="125">
        <f>Lista!H49</f>
        <v>0</v>
      </c>
      <c r="J50" s="125">
        <f>Lista!I49</f>
        <v>0</v>
      </c>
      <c r="K50" s="125">
        <f>Lista!J49</f>
        <v>0</v>
      </c>
      <c r="L50" s="125">
        <f>Lista!K49</f>
        <v>0</v>
      </c>
      <c r="M50" s="125">
        <f>Lista!L49</f>
        <v>0</v>
      </c>
      <c r="N50" s="125">
        <f>Lista!M49</f>
        <v>0</v>
      </c>
      <c r="O50" s="125">
        <f>Lista!N49</f>
        <v>0</v>
      </c>
      <c r="P50" s="125">
        <f>Lista!O49</f>
        <v>0</v>
      </c>
      <c r="Q50" s="125">
        <f>Lista!P49</f>
        <v>0</v>
      </c>
      <c r="R50" s="125">
        <f>Lista!Q49</f>
        <v>0</v>
      </c>
      <c r="S50" s="125">
        <f>Lista!R49</f>
        <v>0</v>
      </c>
      <c r="T50" s="81"/>
      <c r="U50" s="81"/>
      <c r="V50" s="81"/>
      <c r="W50" s="81"/>
      <c r="X50" s="81"/>
      <c r="Y50" s="81"/>
      <c r="Z50" s="81"/>
      <c r="AA50" s="81"/>
      <c r="AB50" s="81"/>
      <c r="AC50" s="81"/>
      <c r="AD50" s="81"/>
      <c r="AE50" s="81"/>
      <c r="AF50" s="81"/>
      <c r="AG50" s="81"/>
      <c r="AH50" s="81"/>
      <c r="AI50" s="81"/>
      <c r="AJ50" s="81"/>
      <c r="AK50" s="81"/>
      <c r="AL50" s="81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  <c r="BA50" s="81"/>
      <c r="BB50" s="81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81"/>
      <c r="CF50" s="81"/>
      <c r="CG50" s="81"/>
      <c r="CH50" s="81"/>
      <c r="CI50" s="81"/>
      <c r="CJ50" s="81"/>
      <c r="CK50" s="81"/>
      <c r="CL50" s="81"/>
      <c r="CM50" s="81"/>
      <c r="CN50" s="81"/>
      <c r="CO50" s="81"/>
      <c r="CP50" s="81"/>
      <c r="CQ50" s="81"/>
      <c r="CR50" s="81"/>
      <c r="CS50" s="81"/>
      <c r="CT50" s="81"/>
      <c r="CU50" s="81"/>
      <c r="CV50" s="81"/>
      <c r="CW50" s="81"/>
      <c r="CX50" s="81"/>
      <c r="CY50" s="81"/>
      <c r="CZ50" s="81"/>
      <c r="DA50" s="81"/>
      <c r="DB50" s="81"/>
      <c r="DC50" s="81"/>
      <c r="DD50" s="81"/>
      <c r="DE50" s="81"/>
      <c r="DF50" s="81"/>
      <c r="DG50" s="81"/>
      <c r="DH50" s="81"/>
      <c r="DI50" s="81"/>
      <c r="DJ50" s="81"/>
      <c r="DK50" s="81"/>
      <c r="DL50" s="81"/>
      <c r="DM50" s="81"/>
      <c r="DN50" s="81"/>
      <c r="DO50" s="81"/>
      <c r="DP50" s="81"/>
      <c r="DQ50" s="81"/>
      <c r="DR50" s="81"/>
      <c r="DS50" s="81"/>
      <c r="DT50" s="81"/>
      <c r="DU50" s="81"/>
      <c r="DV50" s="81"/>
      <c r="DW50" s="121"/>
    </row>
    <row r="51" spans="1:127" x14ac:dyDescent="0.25">
      <c r="A51" s="2">
        <f>COUNTIF($D$2:D51,'Reporte de Nomina'!$E$2)</f>
        <v>0</v>
      </c>
      <c r="B51" s="125">
        <f>Lista!A50</f>
        <v>0</v>
      </c>
      <c r="C51" s="125">
        <f>Lista!B50</f>
        <v>0</v>
      </c>
      <c r="D51" s="125">
        <f>Lista!C50</f>
        <v>0</v>
      </c>
      <c r="E51" s="125">
        <f>Lista!D50</f>
        <v>0</v>
      </c>
      <c r="F51" s="125">
        <f>Lista!E50</f>
        <v>0</v>
      </c>
      <c r="G51" s="125">
        <f>Lista!F50</f>
        <v>0</v>
      </c>
      <c r="H51" s="125">
        <f>Lista!G50</f>
        <v>0</v>
      </c>
      <c r="I51" s="125">
        <f>Lista!H50</f>
        <v>0</v>
      </c>
      <c r="J51" s="125">
        <f>Lista!I50</f>
        <v>0</v>
      </c>
      <c r="K51" s="125">
        <f>Lista!J50</f>
        <v>0</v>
      </c>
      <c r="L51" s="125">
        <f>Lista!K50</f>
        <v>0</v>
      </c>
      <c r="M51" s="125">
        <f>Lista!L50</f>
        <v>0</v>
      </c>
      <c r="N51" s="125">
        <f>Lista!M50</f>
        <v>0</v>
      </c>
      <c r="O51" s="125">
        <f>Lista!N50</f>
        <v>0</v>
      </c>
      <c r="P51" s="125">
        <f>Lista!O50</f>
        <v>0</v>
      </c>
      <c r="Q51" s="125">
        <f>Lista!P50</f>
        <v>0</v>
      </c>
      <c r="R51" s="125">
        <f>Lista!Q50</f>
        <v>0</v>
      </c>
      <c r="S51" s="125">
        <f>Lista!R50</f>
        <v>0</v>
      </c>
      <c r="T51" s="81"/>
      <c r="U51" s="81"/>
      <c r="V51" s="81"/>
      <c r="W51" s="8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81"/>
      <c r="AJ51" s="81"/>
      <c r="AK51" s="81"/>
      <c r="AL51" s="81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  <c r="BA51" s="81"/>
      <c r="BB51" s="81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81"/>
      <c r="CF51" s="81"/>
      <c r="CG51" s="81"/>
      <c r="CH51" s="81"/>
      <c r="CI51" s="81"/>
      <c r="CJ51" s="81"/>
      <c r="CK51" s="81"/>
      <c r="CL51" s="81"/>
      <c r="CM51" s="81"/>
      <c r="CN51" s="81"/>
      <c r="CO51" s="81"/>
      <c r="CP51" s="81"/>
      <c r="CQ51" s="81"/>
      <c r="CR51" s="81"/>
      <c r="CS51" s="81"/>
      <c r="CT51" s="81"/>
      <c r="CU51" s="81"/>
      <c r="CV51" s="81"/>
      <c r="CW51" s="81"/>
      <c r="CX51" s="81"/>
      <c r="CY51" s="81"/>
      <c r="CZ51" s="81"/>
      <c r="DA51" s="81"/>
      <c r="DB51" s="81"/>
      <c r="DC51" s="81"/>
      <c r="DD51" s="81"/>
      <c r="DE51" s="81"/>
      <c r="DF51" s="81"/>
      <c r="DG51" s="81"/>
      <c r="DH51" s="81"/>
      <c r="DI51" s="81"/>
      <c r="DJ51" s="81"/>
      <c r="DK51" s="81"/>
      <c r="DL51" s="81"/>
      <c r="DM51" s="81"/>
      <c r="DN51" s="81"/>
      <c r="DO51" s="81"/>
      <c r="DP51" s="81"/>
      <c r="DQ51" s="81"/>
      <c r="DR51" s="81"/>
      <c r="DS51" s="81"/>
      <c r="DT51" s="81"/>
      <c r="DU51" s="81"/>
      <c r="DV51" s="81"/>
      <c r="DW51" s="121"/>
    </row>
    <row r="52" spans="1:127" x14ac:dyDescent="0.25">
      <c r="A52" s="2">
        <f>COUNTIF($D$2:D52,'Reporte de Nomina'!$E$2)</f>
        <v>0</v>
      </c>
      <c r="B52" s="125">
        <f>Lista!A51</f>
        <v>0</v>
      </c>
      <c r="C52" s="125">
        <f>Lista!B51</f>
        <v>0</v>
      </c>
      <c r="D52" s="125">
        <f>Lista!C51</f>
        <v>0</v>
      </c>
      <c r="E52" s="125">
        <f>Lista!D51</f>
        <v>0</v>
      </c>
      <c r="F52" s="125">
        <f>Lista!E51</f>
        <v>0</v>
      </c>
      <c r="G52" s="125">
        <f>Lista!F51</f>
        <v>0</v>
      </c>
      <c r="H52" s="125">
        <f>Lista!G51</f>
        <v>0</v>
      </c>
      <c r="I52" s="125">
        <f>Lista!H51</f>
        <v>0</v>
      </c>
      <c r="J52" s="125">
        <f>Lista!I51</f>
        <v>0</v>
      </c>
      <c r="K52" s="125">
        <f>Lista!J51</f>
        <v>0</v>
      </c>
      <c r="L52" s="125">
        <f>Lista!K51</f>
        <v>0</v>
      </c>
      <c r="M52" s="125">
        <f>Lista!L51</f>
        <v>0</v>
      </c>
      <c r="N52" s="125">
        <f>Lista!M51</f>
        <v>0</v>
      </c>
      <c r="O52" s="125">
        <f>Lista!N51</f>
        <v>0</v>
      </c>
      <c r="P52" s="125">
        <f>Lista!O51</f>
        <v>0</v>
      </c>
      <c r="Q52" s="125">
        <f>Lista!P51</f>
        <v>0</v>
      </c>
      <c r="R52" s="125">
        <f>Lista!Q51</f>
        <v>0</v>
      </c>
      <c r="S52" s="125">
        <f>Lista!R51</f>
        <v>0</v>
      </c>
      <c r="T52" s="81"/>
      <c r="U52" s="81"/>
      <c r="V52" s="81"/>
      <c r="W52" s="8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81"/>
      <c r="AJ52" s="81"/>
      <c r="AK52" s="81"/>
      <c r="AL52" s="81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  <c r="BA52" s="81"/>
      <c r="BB52" s="81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81"/>
      <c r="CF52" s="81"/>
      <c r="CG52" s="81"/>
      <c r="CH52" s="81"/>
      <c r="CI52" s="81"/>
      <c r="CJ52" s="81"/>
      <c r="CK52" s="81"/>
      <c r="CL52" s="81"/>
      <c r="CM52" s="81"/>
      <c r="CN52" s="81"/>
      <c r="CO52" s="81"/>
      <c r="CP52" s="81"/>
      <c r="CQ52" s="81"/>
      <c r="CR52" s="81"/>
      <c r="CS52" s="81"/>
      <c r="CT52" s="81"/>
      <c r="CU52" s="81"/>
      <c r="CV52" s="81"/>
      <c r="CW52" s="81"/>
      <c r="CX52" s="81"/>
      <c r="CY52" s="81"/>
      <c r="CZ52" s="81"/>
      <c r="DA52" s="81"/>
      <c r="DB52" s="81"/>
      <c r="DC52" s="81"/>
      <c r="DD52" s="81"/>
      <c r="DE52" s="81"/>
      <c r="DF52" s="81"/>
      <c r="DG52" s="81"/>
      <c r="DH52" s="81"/>
      <c r="DI52" s="81"/>
      <c r="DJ52" s="81"/>
      <c r="DK52" s="81"/>
      <c r="DL52" s="81"/>
      <c r="DM52" s="81"/>
      <c r="DN52" s="81"/>
      <c r="DO52" s="81"/>
      <c r="DP52" s="81"/>
      <c r="DQ52" s="81"/>
      <c r="DR52" s="81"/>
      <c r="DS52" s="81"/>
      <c r="DT52" s="81"/>
      <c r="DU52" s="81"/>
      <c r="DV52" s="81"/>
      <c r="DW52" s="121"/>
    </row>
    <row r="53" spans="1:127" x14ac:dyDescent="0.25">
      <c r="A53" s="2">
        <f>COUNTIF($D$2:D53,'Reporte de Nomina'!$E$2)</f>
        <v>0</v>
      </c>
      <c r="B53" s="125">
        <f>Lista!A52</f>
        <v>0</v>
      </c>
      <c r="C53" s="125">
        <f>Lista!B52</f>
        <v>0</v>
      </c>
      <c r="D53" s="125">
        <f>Lista!C52</f>
        <v>0</v>
      </c>
      <c r="E53" s="125">
        <f>Lista!D52</f>
        <v>0</v>
      </c>
      <c r="F53" s="125">
        <f>Lista!E52</f>
        <v>0</v>
      </c>
      <c r="G53" s="125">
        <f>Lista!F52</f>
        <v>0</v>
      </c>
      <c r="H53" s="125">
        <f>Lista!G52</f>
        <v>0</v>
      </c>
      <c r="I53" s="125">
        <f>Lista!H52</f>
        <v>0</v>
      </c>
      <c r="J53" s="125">
        <f>Lista!I52</f>
        <v>0</v>
      </c>
      <c r="K53" s="125">
        <f>Lista!J52</f>
        <v>0</v>
      </c>
      <c r="L53" s="125">
        <f>Lista!K52</f>
        <v>0</v>
      </c>
      <c r="M53" s="125">
        <f>Lista!L52</f>
        <v>0</v>
      </c>
      <c r="N53" s="125">
        <f>Lista!M52</f>
        <v>0</v>
      </c>
      <c r="O53" s="125">
        <f>Lista!N52</f>
        <v>0</v>
      </c>
      <c r="P53" s="125">
        <f>Lista!O52</f>
        <v>0</v>
      </c>
      <c r="Q53" s="125">
        <f>Lista!P52</f>
        <v>0</v>
      </c>
      <c r="R53" s="125">
        <f>Lista!Q52</f>
        <v>0</v>
      </c>
      <c r="S53" s="125">
        <f>Lista!R52</f>
        <v>0</v>
      </c>
      <c r="T53" s="81"/>
      <c r="U53" s="81"/>
      <c r="V53" s="81"/>
      <c r="W53" s="8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81"/>
      <c r="AJ53" s="81"/>
      <c r="AK53" s="81"/>
      <c r="AL53" s="81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  <c r="BA53" s="81"/>
      <c r="BB53" s="81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81"/>
      <c r="CF53" s="81"/>
      <c r="CG53" s="81"/>
      <c r="CH53" s="81"/>
      <c r="CI53" s="81"/>
      <c r="CJ53" s="81"/>
      <c r="CK53" s="81"/>
      <c r="CL53" s="81"/>
      <c r="CM53" s="81"/>
      <c r="CN53" s="81"/>
      <c r="CO53" s="81"/>
      <c r="CP53" s="81"/>
      <c r="CQ53" s="81"/>
      <c r="CR53" s="81"/>
      <c r="CS53" s="81"/>
      <c r="CT53" s="81"/>
      <c r="CU53" s="81"/>
      <c r="CV53" s="81"/>
      <c r="CW53" s="81"/>
      <c r="CX53" s="81"/>
      <c r="CY53" s="81"/>
      <c r="CZ53" s="81"/>
      <c r="DA53" s="81"/>
      <c r="DB53" s="81"/>
      <c r="DC53" s="81"/>
      <c r="DD53" s="81"/>
      <c r="DE53" s="81"/>
      <c r="DF53" s="81"/>
      <c r="DG53" s="81"/>
      <c r="DH53" s="81"/>
      <c r="DI53" s="81"/>
      <c r="DJ53" s="81"/>
      <c r="DK53" s="81"/>
      <c r="DL53" s="81"/>
      <c r="DM53" s="81"/>
      <c r="DN53" s="81"/>
      <c r="DO53" s="81"/>
      <c r="DP53" s="81"/>
      <c r="DQ53" s="81"/>
      <c r="DR53" s="81"/>
      <c r="DS53" s="81"/>
      <c r="DT53" s="81"/>
      <c r="DU53" s="81"/>
      <c r="DV53" s="81"/>
      <c r="DW53" s="121"/>
    </row>
    <row r="54" spans="1:127" x14ac:dyDescent="0.25">
      <c r="A54" s="2">
        <f>COUNTIF($D$2:D54,'Reporte de Nomina'!$E$2)</f>
        <v>0</v>
      </c>
      <c r="B54" s="125">
        <f>Lista!A53</f>
        <v>0</v>
      </c>
      <c r="C54" s="125">
        <f>Lista!B53</f>
        <v>0</v>
      </c>
      <c r="D54" s="125">
        <f>Lista!C53</f>
        <v>0</v>
      </c>
      <c r="E54" s="125">
        <f>Lista!D53</f>
        <v>0</v>
      </c>
      <c r="F54" s="125">
        <f>Lista!E53</f>
        <v>0</v>
      </c>
      <c r="G54" s="125">
        <f>Lista!F53</f>
        <v>0</v>
      </c>
      <c r="H54" s="125">
        <f>Lista!G53</f>
        <v>0</v>
      </c>
      <c r="I54" s="125">
        <f>Lista!H53</f>
        <v>0</v>
      </c>
      <c r="J54" s="125">
        <f>Lista!I53</f>
        <v>0</v>
      </c>
      <c r="K54" s="125">
        <f>Lista!J53</f>
        <v>0</v>
      </c>
      <c r="L54" s="125">
        <f>Lista!K53</f>
        <v>0</v>
      </c>
      <c r="M54" s="125">
        <f>Lista!L53</f>
        <v>0</v>
      </c>
      <c r="N54" s="125">
        <f>Lista!M53</f>
        <v>0</v>
      </c>
      <c r="O54" s="125">
        <f>Lista!N53</f>
        <v>0</v>
      </c>
      <c r="P54" s="125">
        <f>Lista!O53</f>
        <v>0</v>
      </c>
      <c r="Q54" s="125">
        <f>Lista!P53</f>
        <v>0</v>
      </c>
      <c r="R54" s="125">
        <f>Lista!Q53</f>
        <v>0</v>
      </c>
      <c r="S54" s="125">
        <f>Lista!R53</f>
        <v>0</v>
      </c>
      <c r="T54" s="81"/>
      <c r="U54" s="81"/>
      <c r="V54" s="81"/>
      <c r="W54" s="81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  <c r="BA54" s="81"/>
      <c r="BB54" s="81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81"/>
      <c r="CF54" s="81"/>
      <c r="CG54" s="81"/>
      <c r="CH54" s="81"/>
      <c r="CI54" s="81"/>
      <c r="CJ54" s="81"/>
      <c r="CK54" s="81"/>
      <c r="CL54" s="81"/>
      <c r="CM54" s="81"/>
      <c r="CN54" s="81"/>
      <c r="CO54" s="81"/>
      <c r="CP54" s="81"/>
      <c r="CQ54" s="81"/>
      <c r="CR54" s="81"/>
      <c r="CS54" s="81"/>
      <c r="CT54" s="81"/>
      <c r="CU54" s="81"/>
      <c r="CV54" s="81"/>
      <c r="CW54" s="81"/>
      <c r="CX54" s="81"/>
      <c r="CY54" s="81"/>
      <c r="CZ54" s="81"/>
      <c r="DA54" s="81"/>
      <c r="DB54" s="81"/>
      <c r="DC54" s="81"/>
      <c r="DD54" s="81"/>
      <c r="DE54" s="81"/>
      <c r="DF54" s="81"/>
      <c r="DG54" s="81"/>
      <c r="DH54" s="81"/>
      <c r="DI54" s="81"/>
      <c r="DJ54" s="81"/>
      <c r="DK54" s="81"/>
      <c r="DL54" s="81"/>
      <c r="DM54" s="81"/>
      <c r="DN54" s="81"/>
      <c r="DO54" s="81"/>
      <c r="DP54" s="81"/>
      <c r="DQ54" s="81"/>
      <c r="DR54" s="81"/>
      <c r="DS54" s="81"/>
      <c r="DT54" s="81"/>
      <c r="DU54" s="81"/>
      <c r="DV54" s="81"/>
      <c r="DW54" s="121"/>
    </row>
    <row r="55" spans="1:127" x14ac:dyDescent="0.25">
      <c r="A55" s="2">
        <f>COUNTIF($D$2:D55,'Reporte de Nomina'!$E$2)</f>
        <v>0</v>
      </c>
      <c r="B55" s="125">
        <f>Lista!A54</f>
        <v>0</v>
      </c>
      <c r="C55" s="125">
        <f>Lista!B54</f>
        <v>0</v>
      </c>
      <c r="D55" s="125">
        <f>Lista!C54</f>
        <v>0</v>
      </c>
      <c r="E55" s="125">
        <f>Lista!D54</f>
        <v>0</v>
      </c>
      <c r="F55" s="125">
        <f>Lista!E54</f>
        <v>0</v>
      </c>
      <c r="G55" s="125">
        <f>Lista!F54</f>
        <v>0</v>
      </c>
      <c r="H55" s="125">
        <f>Lista!G54</f>
        <v>0</v>
      </c>
      <c r="I55" s="125">
        <f>Lista!H54</f>
        <v>0</v>
      </c>
      <c r="J55" s="125">
        <f>Lista!I54</f>
        <v>0</v>
      </c>
      <c r="K55" s="125">
        <f>Lista!J54</f>
        <v>0</v>
      </c>
      <c r="L55" s="125">
        <f>Lista!K54</f>
        <v>0</v>
      </c>
      <c r="M55" s="125">
        <f>Lista!L54</f>
        <v>0</v>
      </c>
      <c r="N55" s="125">
        <f>Lista!M54</f>
        <v>0</v>
      </c>
      <c r="O55" s="125">
        <f>Lista!N54</f>
        <v>0</v>
      </c>
      <c r="P55" s="125">
        <f>Lista!O54</f>
        <v>0</v>
      </c>
      <c r="Q55" s="125">
        <f>Lista!P54</f>
        <v>0</v>
      </c>
      <c r="R55" s="125">
        <f>Lista!Q54</f>
        <v>0</v>
      </c>
      <c r="S55" s="125">
        <f>Lista!R54</f>
        <v>0</v>
      </c>
      <c r="T55" s="81"/>
      <c r="U55" s="81"/>
      <c r="V55" s="81"/>
      <c r="W55" s="81"/>
      <c r="X55" s="81"/>
      <c r="Y55" s="81"/>
      <c r="Z55" s="81"/>
      <c r="AA55" s="81"/>
      <c r="AB55" s="81"/>
      <c r="AC55" s="81"/>
      <c r="AD55" s="81"/>
      <c r="AE55" s="81"/>
      <c r="AF55" s="81"/>
      <c r="AG55" s="81"/>
      <c r="AH55" s="81"/>
      <c r="AI55" s="81"/>
      <c r="AJ55" s="81"/>
      <c r="AK55" s="81"/>
      <c r="AL55" s="81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  <c r="BA55" s="81"/>
      <c r="BB55" s="81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1"/>
      <c r="CI55" s="81"/>
      <c r="CJ55" s="81"/>
      <c r="CK55" s="81"/>
      <c r="CL55" s="81"/>
      <c r="CM55" s="81"/>
      <c r="CN55" s="81"/>
      <c r="CO55" s="81"/>
      <c r="CP55" s="81"/>
      <c r="CQ55" s="81"/>
      <c r="CR55" s="81"/>
      <c r="CS55" s="81"/>
      <c r="CT55" s="81"/>
      <c r="CU55" s="81"/>
      <c r="CV55" s="81"/>
      <c r="CW55" s="81"/>
      <c r="CX55" s="81"/>
      <c r="CY55" s="81"/>
      <c r="CZ55" s="81"/>
      <c r="DA55" s="81"/>
      <c r="DB55" s="81"/>
      <c r="DC55" s="81"/>
      <c r="DD55" s="81"/>
      <c r="DE55" s="81"/>
      <c r="DF55" s="81"/>
      <c r="DG55" s="81"/>
      <c r="DH55" s="81"/>
      <c r="DI55" s="81"/>
      <c r="DJ55" s="81"/>
      <c r="DK55" s="81"/>
      <c r="DL55" s="81"/>
      <c r="DM55" s="81"/>
      <c r="DN55" s="81"/>
      <c r="DO55" s="81"/>
      <c r="DP55" s="81"/>
      <c r="DQ55" s="81"/>
      <c r="DR55" s="81"/>
      <c r="DS55" s="81"/>
      <c r="DT55" s="81"/>
      <c r="DU55" s="81"/>
      <c r="DV55" s="81"/>
      <c r="DW55" s="121"/>
    </row>
    <row r="56" spans="1:127" x14ac:dyDescent="0.25">
      <c r="A56" s="2">
        <f>COUNTIF($D$2:D56,'Reporte de Nomina'!$E$2)</f>
        <v>0</v>
      </c>
      <c r="B56" s="125">
        <f>Lista!A55</f>
        <v>0</v>
      </c>
      <c r="C56" s="125">
        <f>Lista!B55</f>
        <v>0</v>
      </c>
      <c r="D56" s="125">
        <f>Lista!C55</f>
        <v>0</v>
      </c>
      <c r="E56" s="125">
        <f>Lista!D55</f>
        <v>0</v>
      </c>
      <c r="F56" s="125">
        <f>Lista!E55</f>
        <v>0</v>
      </c>
      <c r="G56" s="125">
        <f>Lista!F55</f>
        <v>0</v>
      </c>
      <c r="H56" s="125">
        <f>Lista!G55</f>
        <v>0</v>
      </c>
      <c r="I56" s="125">
        <f>Lista!H55</f>
        <v>0</v>
      </c>
      <c r="J56" s="125">
        <f>Lista!I55</f>
        <v>0</v>
      </c>
      <c r="K56" s="125">
        <f>Lista!J55</f>
        <v>0</v>
      </c>
      <c r="L56" s="125">
        <f>Lista!K55</f>
        <v>0</v>
      </c>
      <c r="M56" s="125">
        <f>Lista!L55</f>
        <v>0</v>
      </c>
      <c r="N56" s="125">
        <f>Lista!M55</f>
        <v>0</v>
      </c>
      <c r="O56" s="125">
        <f>Lista!N55</f>
        <v>0</v>
      </c>
      <c r="P56" s="125">
        <f>Lista!O55</f>
        <v>0</v>
      </c>
      <c r="Q56" s="125">
        <f>Lista!P55</f>
        <v>0</v>
      </c>
      <c r="R56" s="125">
        <f>Lista!Q55</f>
        <v>0</v>
      </c>
      <c r="S56" s="125">
        <f>Lista!R55</f>
        <v>0</v>
      </c>
      <c r="T56" s="81"/>
      <c r="U56" s="81"/>
      <c r="V56" s="81"/>
      <c r="W56" s="81"/>
      <c r="X56" s="81"/>
      <c r="Y56" s="81"/>
      <c r="Z56" s="81"/>
      <c r="AA56" s="81"/>
      <c r="AB56" s="81"/>
      <c r="AC56" s="81"/>
      <c r="AD56" s="81"/>
      <c r="AE56" s="81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81"/>
      <c r="CN56" s="81"/>
      <c r="CO56" s="81"/>
      <c r="CP56" s="81"/>
      <c r="CQ56" s="81"/>
      <c r="CR56" s="81"/>
      <c r="CS56" s="81"/>
      <c r="CT56" s="81"/>
      <c r="CU56" s="81"/>
      <c r="CV56" s="81"/>
      <c r="CW56" s="81"/>
      <c r="CX56" s="81"/>
      <c r="CY56" s="81"/>
      <c r="CZ56" s="81"/>
      <c r="DA56" s="81"/>
      <c r="DB56" s="81"/>
      <c r="DC56" s="81"/>
      <c r="DD56" s="81"/>
      <c r="DE56" s="81"/>
      <c r="DF56" s="81"/>
      <c r="DG56" s="81"/>
      <c r="DH56" s="81"/>
      <c r="DI56" s="81"/>
      <c r="DJ56" s="81"/>
      <c r="DK56" s="81"/>
      <c r="DL56" s="81"/>
      <c r="DM56" s="81"/>
      <c r="DN56" s="81"/>
      <c r="DO56" s="81"/>
      <c r="DP56" s="81"/>
      <c r="DQ56" s="81"/>
      <c r="DR56" s="81"/>
      <c r="DS56" s="81"/>
      <c r="DT56" s="81"/>
      <c r="DU56" s="81"/>
      <c r="DV56" s="81"/>
      <c r="DW56" s="121"/>
    </row>
    <row r="57" spans="1:127" x14ac:dyDescent="0.25">
      <c r="A57" s="2">
        <f>COUNTIF($D$2:D57,'Reporte de Nomina'!$E$2)</f>
        <v>0</v>
      </c>
      <c r="B57" s="125">
        <f>Lista!A56</f>
        <v>0</v>
      </c>
      <c r="C57" s="125">
        <f>Lista!B56</f>
        <v>0</v>
      </c>
      <c r="D57" s="125">
        <f>Lista!C56</f>
        <v>0</v>
      </c>
      <c r="E57" s="125">
        <f>Lista!D56</f>
        <v>0</v>
      </c>
      <c r="F57" s="125">
        <f>Lista!E56</f>
        <v>0</v>
      </c>
      <c r="G57" s="125">
        <f>Lista!F56</f>
        <v>0</v>
      </c>
      <c r="H57" s="125">
        <f>Lista!G56</f>
        <v>0</v>
      </c>
      <c r="I57" s="125">
        <f>Lista!H56</f>
        <v>0</v>
      </c>
      <c r="J57" s="125">
        <f>Lista!I56</f>
        <v>0</v>
      </c>
      <c r="K57" s="125">
        <f>Lista!J56</f>
        <v>0</v>
      </c>
      <c r="L57" s="125">
        <f>Lista!K56</f>
        <v>0</v>
      </c>
      <c r="M57" s="125">
        <f>Lista!L56</f>
        <v>0</v>
      </c>
      <c r="N57" s="125">
        <f>Lista!M56</f>
        <v>0</v>
      </c>
      <c r="O57" s="125">
        <f>Lista!N56</f>
        <v>0</v>
      </c>
      <c r="P57" s="125">
        <f>Lista!O56</f>
        <v>0</v>
      </c>
      <c r="Q57" s="125">
        <f>Lista!P56</f>
        <v>0</v>
      </c>
      <c r="R57" s="125">
        <f>Lista!Q56</f>
        <v>0</v>
      </c>
      <c r="S57" s="125">
        <f>Lista!R56</f>
        <v>0</v>
      </c>
      <c r="T57" s="81"/>
      <c r="U57" s="81"/>
      <c r="V57" s="81"/>
      <c r="W57" s="81"/>
      <c r="X57" s="81"/>
      <c r="Y57" s="81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1"/>
      <c r="AK57" s="81"/>
      <c r="AL57" s="81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  <c r="BA57" s="81"/>
      <c r="BB57" s="81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81"/>
      <c r="CF57" s="81"/>
      <c r="CG57" s="81"/>
      <c r="CH57" s="81"/>
      <c r="CI57" s="81"/>
      <c r="CJ57" s="81"/>
      <c r="CK57" s="81"/>
      <c r="CL57" s="81"/>
      <c r="CM57" s="81"/>
      <c r="CN57" s="81"/>
      <c r="CO57" s="81"/>
      <c r="CP57" s="81"/>
      <c r="CQ57" s="81"/>
      <c r="CR57" s="81"/>
      <c r="CS57" s="81"/>
      <c r="CT57" s="81"/>
      <c r="CU57" s="81"/>
      <c r="CV57" s="81"/>
      <c r="CW57" s="81"/>
      <c r="CX57" s="81"/>
      <c r="CY57" s="81"/>
      <c r="CZ57" s="81"/>
      <c r="DA57" s="81"/>
      <c r="DB57" s="81"/>
      <c r="DC57" s="81"/>
      <c r="DD57" s="81"/>
      <c r="DE57" s="81"/>
      <c r="DF57" s="81"/>
      <c r="DG57" s="81"/>
      <c r="DH57" s="81"/>
      <c r="DI57" s="81"/>
      <c r="DJ57" s="81"/>
      <c r="DK57" s="81"/>
      <c r="DL57" s="81"/>
      <c r="DM57" s="81"/>
      <c r="DN57" s="81"/>
      <c r="DO57" s="81"/>
      <c r="DP57" s="81"/>
      <c r="DQ57" s="81"/>
      <c r="DR57" s="81"/>
      <c r="DS57" s="81"/>
      <c r="DT57" s="81"/>
      <c r="DU57" s="81"/>
      <c r="DV57" s="81"/>
      <c r="DW57" s="121"/>
    </row>
    <row r="58" spans="1:127" x14ac:dyDescent="0.25">
      <c r="A58" s="2">
        <f>COUNTIF($D$2:D58,'Reporte de Nomina'!$E$2)</f>
        <v>0</v>
      </c>
      <c r="B58" s="125">
        <f>Lista!A57</f>
        <v>0</v>
      </c>
      <c r="C58" s="125">
        <f>Lista!B57</f>
        <v>0</v>
      </c>
      <c r="D58" s="125">
        <f>Lista!C57</f>
        <v>0</v>
      </c>
      <c r="E58" s="125">
        <f>Lista!D57</f>
        <v>0</v>
      </c>
      <c r="F58" s="125">
        <f>Lista!E57</f>
        <v>0</v>
      </c>
      <c r="G58" s="125">
        <f>Lista!F57</f>
        <v>0</v>
      </c>
      <c r="H58" s="125">
        <f>Lista!G57</f>
        <v>0</v>
      </c>
      <c r="I58" s="125">
        <f>Lista!H57</f>
        <v>0</v>
      </c>
      <c r="J58" s="125">
        <f>Lista!I57</f>
        <v>0</v>
      </c>
      <c r="K58" s="125">
        <f>Lista!J57</f>
        <v>0</v>
      </c>
      <c r="L58" s="125">
        <f>Lista!K57</f>
        <v>0</v>
      </c>
      <c r="M58" s="125">
        <f>Lista!L57</f>
        <v>0</v>
      </c>
      <c r="N58" s="125">
        <f>Lista!M57</f>
        <v>0</v>
      </c>
      <c r="O58" s="125">
        <f>Lista!N57</f>
        <v>0</v>
      </c>
      <c r="P58" s="125">
        <f>Lista!O57</f>
        <v>0</v>
      </c>
      <c r="Q58" s="125">
        <f>Lista!P57</f>
        <v>0</v>
      </c>
      <c r="R58" s="125">
        <f>Lista!Q57</f>
        <v>0</v>
      </c>
      <c r="S58" s="125">
        <f>Lista!R57</f>
        <v>0</v>
      </c>
      <c r="T58" s="81"/>
      <c r="U58" s="81"/>
      <c r="V58" s="81"/>
      <c r="W58" s="81"/>
      <c r="X58" s="81"/>
      <c r="Y58" s="81"/>
      <c r="Z58" s="81"/>
      <c r="AA58" s="81"/>
      <c r="AB58" s="81"/>
      <c r="AC58" s="81"/>
      <c r="AD58" s="81"/>
      <c r="AE58" s="81"/>
      <c r="AF58" s="81"/>
      <c r="AG58" s="81"/>
      <c r="AH58" s="81"/>
      <c r="AI58" s="81"/>
      <c r="AJ58" s="81"/>
      <c r="AK58" s="81"/>
      <c r="AL58" s="81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  <c r="BA58" s="81"/>
      <c r="BB58" s="81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81"/>
      <c r="CF58" s="81"/>
      <c r="CG58" s="81"/>
      <c r="CH58" s="81"/>
      <c r="CI58" s="81"/>
      <c r="CJ58" s="81"/>
      <c r="CK58" s="81"/>
      <c r="CL58" s="81"/>
      <c r="CM58" s="81"/>
      <c r="CN58" s="81"/>
      <c r="CO58" s="81"/>
      <c r="CP58" s="81"/>
      <c r="CQ58" s="81"/>
      <c r="CR58" s="81"/>
      <c r="CS58" s="81"/>
      <c r="CT58" s="81"/>
      <c r="CU58" s="81"/>
      <c r="CV58" s="81"/>
      <c r="CW58" s="81"/>
      <c r="CX58" s="81"/>
      <c r="CY58" s="81"/>
      <c r="CZ58" s="81"/>
      <c r="DA58" s="81"/>
      <c r="DB58" s="81"/>
      <c r="DC58" s="81"/>
      <c r="DD58" s="81"/>
      <c r="DE58" s="81"/>
      <c r="DF58" s="81"/>
      <c r="DG58" s="81"/>
      <c r="DH58" s="81"/>
      <c r="DI58" s="81"/>
      <c r="DJ58" s="81"/>
      <c r="DK58" s="81"/>
      <c r="DL58" s="81"/>
      <c r="DM58" s="81"/>
      <c r="DN58" s="81"/>
      <c r="DO58" s="81"/>
      <c r="DP58" s="81"/>
      <c r="DQ58" s="81"/>
      <c r="DR58" s="81"/>
      <c r="DS58" s="81"/>
      <c r="DT58" s="81"/>
      <c r="DU58" s="81"/>
      <c r="DV58" s="81"/>
      <c r="DW58" s="121"/>
    </row>
    <row r="59" spans="1:127" x14ac:dyDescent="0.25">
      <c r="A59" s="2">
        <f>COUNTIF($D$2:D59,'Reporte de Nomina'!$E$2)</f>
        <v>0</v>
      </c>
      <c r="B59" s="125">
        <f>Lista!A58</f>
        <v>0</v>
      </c>
      <c r="C59" s="125">
        <f>Lista!B58</f>
        <v>0</v>
      </c>
      <c r="D59" s="125">
        <f>Lista!C58</f>
        <v>0</v>
      </c>
      <c r="E59" s="125">
        <f>Lista!D58</f>
        <v>0</v>
      </c>
      <c r="F59" s="125">
        <f>Lista!E58</f>
        <v>0</v>
      </c>
      <c r="G59" s="125">
        <f>Lista!F58</f>
        <v>0</v>
      </c>
      <c r="H59" s="125">
        <f>Lista!G58</f>
        <v>0</v>
      </c>
      <c r="I59" s="125">
        <f>Lista!H58</f>
        <v>0</v>
      </c>
      <c r="J59" s="125">
        <f>Lista!I58</f>
        <v>0</v>
      </c>
      <c r="K59" s="125">
        <f>Lista!J58</f>
        <v>0</v>
      </c>
      <c r="L59" s="125">
        <f>Lista!K58</f>
        <v>0</v>
      </c>
      <c r="M59" s="125">
        <f>Lista!L58</f>
        <v>0</v>
      </c>
      <c r="N59" s="125">
        <f>Lista!M58</f>
        <v>0</v>
      </c>
      <c r="O59" s="125">
        <f>Lista!N58</f>
        <v>0</v>
      </c>
      <c r="P59" s="125">
        <f>Lista!O58</f>
        <v>0</v>
      </c>
      <c r="Q59" s="125">
        <f>Lista!P58</f>
        <v>0</v>
      </c>
      <c r="R59" s="125">
        <f>Lista!Q58</f>
        <v>0</v>
      </c>
      <c r="S59" s="125">
        <f>Lista!R58</f>
        <v>0</v>
      </c>
      <c r="T59" s="81"/>
      <c r="U59" s="81"/>
      <c r="V59" s="81"/>
      <c r="W59" s="81"/>
      <c r="X59" s="81"/>
      <c r="Y59" s="81"/>
      <c r="Z59" s="81"/>
      <c r="AA59" s="81"/>
      <c r="AB59" s="81"/>
      <c r="AC59" s="81"/>
      <c r="AD59" s="81"/>
      <c r="AE59" s="81"/>
      <c r="AF59" s="81"/>
      <c r="AG59" s="81"/>
      <c r="AH59" s="81"/>
      <c r="AI59" s="81"/>
      <c r="AJ59" s="81"/>
      <c r="AK59" s="81"/>
      <c r="AL59" s="81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  <c r="BA59" s="81"/>
      <c r="BB59" s="81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81"/>
      <c r="CF59" s="81"/>
      <c r="CG59" s="81"/>
      <c r="CH59" s="81"/>
      <c r="CI59" s="81"/>
      <c r="CJ59" s="81"/>
      <c r="CK59" s="81"/>
      <c r="CL59" s="81"/>
      <c r="CM59" s="81"/>
      <c r="CN59" s="81"/>
      <c r="CO59" s="81"/>
      <c r="CP59" s="81"/>
      <c r="CQ59" s="81"/>
      <c r="CR59" s="81"/>
      <c r="CS59" s="81"/>
      <c r="CT59" s="81"/>
      <c r="CU59" s="81"/>
      <c r="CV59" s="81"/>
      <c r="CW59" s="81"/>
      <c r="CX59" s="81"/>
      <c r="CY59" s="81"/>
      <c r="CZ59" s="81"/>
      <c r="DA59" s="81"/>
      <c r="DB59" s="81"/>
      <c r="DC59" s="81"/>
      <c r="DD59" s="81"/>
      <c r="DE59" s="81"/>
      <c r="DF59" s="81"/>
      <c r="DG59" s="81"/>
      <c r="DH59" s="81"/>
      <c r="DI59" s="81"/>
      <c r="DJ59" s="81"/>
      <c r="DK59" s="81"/>
      <c r="DL59" s="81"/>
      <c r="DM59" s="81"/>
      <c r="DN59" s="81"/>
      <c r="DO59" s="81"/>
      <c r="DP59" s="81"/>
      <c r="DQ59" s="81"/>
      <c r="DR59" s="81"/>
      <c r="DS59" s="81"/>
      <c r="DT59" s="81"/>
      <c r="DU59" s="81"/>
      <c r="DV59" s="81"/>
      <c r="DW59" s="121"/>
    </row>
    <row r="60" spans="1:127" x14ac:dyDescent="0.25">
      <c r="A60" s="2">
        <f>COUNTIF($D$2:D60,'Reporte de Nomina'!$E$2)</f>
        <v>0</v>
      </c>
      <c r="B60" s="125">
        <f>Lista!A59</f>
        <v>0</v>
      </c>
      <c r="C60" s="125">
        <f>Lista!B59</f>
        <v>0</v>
      </c>
      <c r="D60" s="125">
        <f>Lista!C59</f>
        <v>0</v>
      </c>
      <c r="E60" s="125">
        <f>Lista!D59</f>
        <v>0</v>
      </c>
      <c r="F60" s="125">
        <f>Lista!E59</f>
        <v>0</v>
      </c>
      <c r="G60" s="125">
        <f>Lista!F59</f>
        <v>0</v>
      </c>
      <c r="H60" s="125">
        <f>Lista!G59</f>
        <v>0</v>
      </c>
      <c r="I60" s="125">
        <f>Lista!H59</f>
        <v>0</v>
      </c>
      <c r="J60" s="125">
        <f>Lista!I59</f>
        <v>0</v>
      </c>
      <c r="K60" s="125">
        <f>Lista!J59</f>
        <v>0</v>
      </c>
      <c r="L60" s="125">
        <f>Lista!K59</f>
        <v>0</v>
      </c>
      <c r="M60" s="125">
        <f>Lista!L59</f>
        <v>0</v>
      </c>
      <c r="N60" s="125">
        <f>Lista!M59</f>
        <v>0</v>
      </c>
      <c r="O60" s="125">
        <f>Lista!N59</f>
        <v>0</v>
      </c>
      <c r="P60" s="125">
        <f>Lista!O59</f>
        <v>0</v>
      </c>
      <c r="Q60" s="125">
        <f>Lista!P59</f>
        <v>0</v>
      </c>
      <c r="R60" s="125">
        <f>Lista!Q59</f>
        <v>0</v>
      </c>
      <c r="S60" s="125">
        <f>Lista!R59</f>
        <v>0</v>
      </c>
      <c r="T60" s="81"/>
      <c r="U60" s="81"/>
      <c r="V60" s="81"/>
      <c r="W60" s="81"/>
      <c r="X60" s="81"/>
      <c r="Y60" s="81"/>
      <c r="Z60" s="81"/>
      <c r="AA60" s="81"/>
      <c r="AB60" s="81"/>
      <c r="AC60" s="81"/>
      <c r="AD60" s="81"/>
      <c r="AE60" s="81"/>
      <c r="AF60" s="81"/>
      <c r="AG60" s="81"/>
      <c r="AH60" s="81"/>
      <c r="AI60" s="81"/>
      <c r="AJ60" s="81"/>
      <c r="AK60" s="81"/>
      <c r="AL60" s="81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  <c r="BA60" s="81"/>
      <c r="BB60" s="81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81"/>
      <c r="CF60" s="81"/>
      <c r="CG60" s="81"/>
      <c r="CH60" s="81"/>
      <c r="CI60" s="81"/>
      <c r="CJ60" s="81"/>
      <c r="CK60" s="81"/>
      <c r="CL60" s="81"/>
      <c r="CM60" s="81"/>
      <c r="CN60" s="81"/>
      <c r="CO60" s="81"/>
      <c r="CP60" s="81"/>
      <c r="CQ60" s="81"/>
      <c r="CR60" s="81"/>
      <c r="CS60" s="81"/>
      <c r="CT60" s="81"/>
      <c r="CU60" s="81"/>
      <c r="CV60" s="81"/>
      <c r="CW60" s="81"/>
      <c r="CX60" s="81"/>
      <c r="CY60" s="81"/>
      <c r="CZ60" s="81"/>
      <c r="DA60" s="81"/>
      <c r="DB60" s="81"/>
      <c r="DC60" s="81"/>
      <c r="DD60" s="81"/>
      <c r="DE60" s="81"/>
      <c r="DF60" s="81"/>
      <c r="DG60" s="81"/>
      <c r="DH60" s="81"/>
      <c r="DI60" s="81"/>
      <c r="DJ60" s="81"/>
      <c r="DK60" s="81"/>
      <c r="DL60" s="81"/>
      <c r="DM60" s="81"/>
      <c r="DN60" s="81"/>
      <c r="DO60" s="81"/>
      <c r="DP60" s="81"/>
      <c r="DQ60" s="81"/>
      <c r="DR60" s="81"/>
      <c r="DS60" s="81"/>
      <c r="DT60" s="81"/>
      <c r="DU60" s="81"/>
      <c r="DV60" s="81"/>
      <c r="DW60" s="121"/>
    </row>
    <row r="61" spans="1:127" x14ac:dyDescent="0.25">
      <c r="A61" s="2">
        <f>COUNTIF($D$2:D61,'Reporte de Nomina'!$E$2)</f>
        <v>0</v>
      </c>
      <c r="B61" s="125">
        <f>Lista!A60</f>
        <v>0</v>
      </c>
      <c r="C61" s="125">
        <f>Lista!B60</f>
        <v>0</v>
      </c>
      <c r="D61" s="125">
        <f>Lista!C60</f>
        <v>0</v>
      </c>
      <c r="E61" s="125">
        <f>Lista!D60</f>
        <v>0</v>
      </c>
      <c r="F61" s="125">
        <f>Lista!E60</f>
        <v>0</v>
      </c>
      <c r="G61" s="125">
        <f>Lista!F60</f>
        <v>0</v>
      </c>
      <c r="H61" s="125">
        <f>Lista!G60</f>
        <v>0</v>
      </c>
      <c r="I61" s="125">
        <f>Lista!H60</f>
        <v>0</v>
      </c>
      <c r="J61" s="125">
        <f>Lista!I60</f>
        <v>0</v>
      </c>
      <c r="K61" s="125">
        <f>Lista!J60</f>
        <v>0</v>
      </c>
      <c r="L61" s="125">
        <f>Lista!K60</f>
        <v>0</v>
      </c>
      <c r="M61" s="125">
        <f>Lista!L60</f>
        <v>0</v>
      </c>
      <c r="N61" s="125">
        <f>Lista!M60</f>
        <v>0</v>
      </c>
      <c r="O61" s="125">
        <f>Lista!N60</f>
        <v>0</v>
      </c>
      <c r="P61" s="125">
        <f>Lista!O60</f>
        <v>0</v>
      </c>
      <c r="Q61" s="125">
        <f>Lista!P60</f>
        <v>0</v>
      </c>
      <c r="R61" s="125">
        <f>Lista!Q60</f>
        <v>0</v>
      </c>
      <c r="S61" s="125">
        <f>Lista!R60</f>
        <v>0</v>
      </c>
      <c r="T61" s="81"/>
      <c r="U61" s="81"/>
      <c r="V61" s="81"/>
      <c r="W61" s="81"/>
      <c r="X61" s="81"/>
      <c r="Y61" s="81"/>
      <c r="Z61" s="81"/>
      <c r="AA61" s="81"/>
      <c r="AB61" s="81"/>
      <c r="AC61" s="81"/>
      <c r="AD61" s="81"/>
      <c r="AE61" s="81"/>
      <c r="AF61" s="81"/>
      <c r="AG61" s="81"/>
      <c r="AH61" s="81"/>
      <c r="AI61" s="81"/>
      <c r="AJ61" s="81"/>
      <c r="AK61" s="81"/>
      <c r="AL61" s="81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  <c r="BA61" s="81"/>
      <c r="BB61" s="81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81"/>
      <c r="CF61" s="81"/>
      <c r="CG61" s="81"/>
      <c r="CH61" s="81"/>
      <c r="CI61" s="81"/>
      <c r="CJ61" s="81"/>
      <c r="CK61" s="81"/>
      <c r="CL61" s="81"/>
      <c r="CM61" s="81"/>
      <c r="CN61" s="81"/>
      <c r="CO61" s="81"/>
      <c r="CP61" s="81"/>
      <c r="CQ61" s="81"/>
      <c r="CR61" s="81"/>
      <c r="CS61" s="81"/>
      <c r="CT61" s="81"/>
      <c r="CU61" s="81"/>
      <c r="CV61" s="81"/>
      <c r="CW61" s="81"/>
      <c r="CX61" s="81"/>
      <c r="CY61" s="81"/>
      <c r="CZ61" s="81"/>
      <c r="DA61" s="81"/>
      <c r="DB61" s="81"/>
      <c r="DC61" s="81"/>
      <c r="DD61" s="81"/>
      <c r="DE61" s="81"/>
      <c r="DF61" s="81"/>
      <c r="DG61" s="81"/>
      <c r="DH61" s="81"/>
      <c r="DI61" s="81"/>
      <c r="DJ61" s="81"/>
      <c r="DK61" s="81"/>
      <c r="DL61" s="81"/>
      <c r="DM61" s="81"/>
      <c r="DN61" s="81"/>
      <c r="DO61" s="81"/>
      <c r="DP61" s="81"/>
      <c r="DQ61" s="81"/>
      <c r="DR61" s="81"/>
      <c r="DS61" s="81"/>
      <c r="DT61" s="81"/>
      <c r="DU61" s="81"/>
      <c r="DV61" s="81"/>
      <c r="DW61" s="121"/>
    </row>
    <row r="62" spans="1:127" x14ac:dyDescent="0.25">
      <c r="A62" s="2">
        <f>COUNTIF($D$2:D62,'Reporte de Nomina'!$E$2)</f>
        <v>0</v>
      </c>
      <c r="B62" s="125">
        <f>Lista!A61</f>
        <v>0</v>
      </c>
      <c r="C62" s="125">
        <f>Lista!B61</f>
        <v>0</v>
      </c>
      <c r="D62" s="125">
        <f>Lista!C61</f>
        <v>0</v>
      </c>
      <c r="E62" s="125">
        <f>Lista!D61</f>
        <v>0</v>
      </c>
      <c r="F62" s="125">
        <f>Lista!E61</f>
        <v>0</v>
      </c>
      <c r="G62" s="125">
        <f>Lista!F61</f>
        <v>0</v>
      </c>
      <c r="H62" s="125">
        <f>Lista!G61</f>
        <v>0</v>
      </c>
      <c r="I62" s="125">
        <f>Lista!H61</f>
        <v>0</v>
      </c>
      <c r="J62" s="125">
        <f>Lista!I61</f>
        <v>0</v>
      </c>
      <c r="K62" s="125">
        <f>Lista!J61</f>
        <v>0</v>
      </c>
      <c r="L62" s="125">
        <f>Lista!K61</f>
        <v>0</v>
      </c>
      <c r="M62" s="125">
        <f>Lista!L61</f>
        <v>0</v>
      </c>
      <c r="N62" s="125">
        <f>Lista!M61</f>
        <v>0</v>
      </c>
      <c r="O62" s="125">
        <f>Lista!N61</f>
        <v>0</v>
      </c>
      <c r="P62" s="125">
        <f>Lista!O61</f>
        <v>0</v>
      </c>
      <c r="Q62" s="125">
        <f>Lista!P61</f>
        <v>0</v>
      </c>
      <c r="R62" s="125">
        <f>Lista!Q61</f>
        <v>0</v>
      </c>
      <c r="S62" s="125">
        <f>Lista!R61</f>
        <v>0</v>
      </c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  <c r="BA62" s="81"/>
      <c r="BB62" s="81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81"/>
      <c r="CF62" s="81"/>
      <c r="CG62" s="81"/>
      <c r="CH62" s="81"/>
      <c r="CI62" s="81"/>
      <c r="CJ62" s="81"/>
      <c r="CK62" s="81"/>
      <c r="CL62" s="81"/>
      <c r="CM62" s="81"/>
      <c r="CN62" s="81"/>
      <c r="CO62" s="81"/>
      <c r="CP62" s="81"/>
      <c r="CQ62" s="81"/>
      <c r="CR62" s="81"/>
      <c r="CS62" s="81"/>
      <c r="CT62" s="81"/>
      <c r="CU62" s="81"/>
      <c r="CV62" s="81"/>
      <c r="CW62" s="81"/>
      <c r="CX62" s="81"/>
      <c r="CY62" s="81"/>
      <c r="CZ62" s="81"/>
      <c r="DA62" s="81"/>
      <c r="DB62" s="81"/>
      <c r="DC62" s="81"/>
      <c r="DD62" s="81"/>
      <c r="DE62" s="81"/>
      <c r="DF62" s="81"/>
      <c r="DG62" s="81"/>
      <c r="DH62" s="81"/>
      <c r="DI62" s="81"/>
      <c r="DJ62" s="81"/>
      <c r="DK62" s="81"/>
      <c r="DL62" s="81"/>
      <c r="DM62" s="81"/>
      <c r="DN62" s="81"/>
      <c r="DO62" s="81"/>
      <c r="DP62" s="81"/>
      <c r="DQ62" s="81"/>
      <c r="DR62" s="81"/>
      <c r="DS62" s="81"/>
      <c r="DT62" s="81"/>
      <c r="DU62" s="81"/>
      <c r="DV62" s="81"/>
      <c r="DW62" s="121"/>
    </row>
    <row r="63" spans="1:127" x14ac:dyDescent="0.25">
      <c r="A63" s="2">
        <f>COUNTIF($D$2:D63,'Reporte de Nomina'!$E$2)</f>
        <v>0</v>
      </c>
      <c r="B63" s="125">
        <f>Lista!A62</f>
        <v>0</v>
      </c>
      <c r="C63" s="125">
        <f>Lista!B62</f>
        <v>0</v>
      </c>
      <c r="D63" s="125">
        <f>Lista!C62</f>
        <v>0</v>
      </c>
      <c r="E63" s="125">
        <f>Lista!D62</f>
        <v>0</v>
      </c>
      <c r="F63" s="125">
        <f>Lista!E62</f>
        <v>0</v>
      </c>
      <c r="G63" s="125">
        <f>Lista!F62</f>
        <v>0</v>
      </c>
      <c r="H63" s="125">
        <f>Lista!G62</f>
        <v>0</v>
      </c>
      <c r="I63" s="125">
        <f>Lista!H62</f>
        <v>0</v>
      </c>
      <c r="J63" s="125">
        <f>Lista!I62</f>
        <v>0</v>
      </c>
      <c r="K63" s="125">
        <f>Lista!J62</f>
        <v>0</v>
      </c>
      <c r="L63" s="125">
        <f>Lista!K62</f>
        <v>0</v>
      </c>
      <c r="M63" s="125">
        <f>Lista!L62</f>
        <v>0</v>
      </c>
      <c r="N63" s="125">
        <f>Lista!M62</f>
        <v>0</v>
      </c>
      <c r="O63" s="125">
        <f>Lista!N62</f>
        <v>0</v>
      </c>
      <c r="P63" s="125">
        <f>Lista!O62</f>
        <v>0</v>
      </c>
      <c r="Q63" s="125">
        <f>Lista!P62</f>
        <v>0</v>
      </c>
      <c r="R63" s="125">
        <f>Lista!Q62</f>
        <v>0</v>
      </c>
      <c r="S63" s="125">
        <f>Lista!R62</f>
        <v>0</v>
      </c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  <c r="BA63" s="81"/>
      <c r="BB63" s="81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81"/>
      <c r="CF63" s="81"/>
      <c r="CG63" s="81"/>
      <c r="CH63" s="81"/>
      <c r="CI63" s="81"/>
      <c r="CJ63" s="81"/>
      <c r="CK63" s="81"/>
      <c r="CL63" s="81"/>
      <c r="CM63" s="81"/>
      <c r="CN63" s="81"/>
      <c r="CO63" s="81"/>
      <c r="CP63" s="81"/>
      <c r="CQ63" s="81"/>
      <c r="CR63" s="81"/>
      <c r="CS63" s="81"/>
      <c r="CT63" s="81"/>
      <c r="CU63" s="81"/>
      <c r="CV63" s="81"/>
      <c r="CW63" s="81"/>
      <c r="CX63" s="81"/>
      <c r="CY63" s="81"/>
      <c r="CZ63" s="81"/>
      <c r="DA63" s="81"/>
      <c r="DB63" s="81"/>
      <c r="DC63" s="81"/>
      <c r="DD63" s="81"/>
      <c r="DE63" s="81"/>
      <c r="DF63" s="81"/>
      <c r="DG63" s="81"/>
      <c r="DH63" s="81"/>
      <c r="DI63" s="81"/>
      <c r="DJ63" s="81"/>
      <c r="DK63" s="81"/>
      <c r="DL63" s="81"/>
      <c r="DM63" s="81"/>
      <c r="DN63" s="81"/>
      <c r="DO63" s="81"/>
      <c r="DP63" s="81"/>
      <c r="DQ63" s="81"/>
      <c r="DR63" s="81"/>
      <c r="DS63" s="81"/>
      <c r="DT63" s="81"/>
      <c r="DU63" s="81"/>
      <c r="DV63" s="81"/>
      <c r="DW63" s="121"/>
    </row>
    <row r="64" spans="1:127" x14ac:dyDescent="0.25">
      <c r="A64" s="2">
        <f>COUNTIF($D$2:D64,'Reporte de Nomina'!$E$2)</f>
        <v>0</v>
      </c>
      <c r="B64" s="125">
        <f>Lista!A63</f>
        <v>0</v>
      </c>
      <c r="C64" s="125">
        <f>Lista!B63</f>
        <v>0</v>
      </c>
      <c r="D64" s="125">
        <f>Lista!C63</f>
        <v>0</v>
      </c>
      <c r="E64" s="125">
        <f>Lista!D63</f>
        <v>0</v>
      </c>
      <c r="F64" s="125">
        <f>Lista!E63</f>
        <v>0</v>
      </c>
      <c r="G64" s="125">
        <f>Lista!F63</f>
        <v>0</v>
      </c>
      <c r="H64" s="125">
        <f>Lista!G63</f>
        <v>0</v>
      </c>
      <c r="I64" s="125">
        <f>Lista!H63</f>
        <v>0</v>
      </c>
      <c r="J64" s="125">
        <f>Lista!I63</f>
        <v>0</v>
      </c>
      <c r="K64" s="125">
        <f>Lista!J63</f>
        <v>0</v>
      </c>
      <c r="L64" s="125">
        <f>Lista!K63</f>
        <v>0</v>
      </c>
      <c r="M64" s="125">
        <f>Lista!L63</f>
        <v>0</v>
      </c>
      <c r="N64" s="125">
        <f>Lista!M63</f>
        <v>0</v>
      </c>
      <c r="O64" s="125">
        <f>Lista!N63</f>
        <v>0</v>
      </c>
      <c r="P64" s="125">
        <f>Lista!O63</f>
        <v>0</v>
      </c>
      <c r="Q64" s="125">
        <f>Lista!P63</f>
        <v>0</v>
      </c>
      <c r="R64" s="125">
        <f>Lista!Q63</f>
        <v>0</v>
      </c>
      <c r="S64" s="125">
        <f>Lista!R63</f>
        <v>0</v>
      </c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  <c r="BA64" s="81"/>
      <c r="BB64" s="81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81"/>
      <c r="CF64" s="81"/>
      <c r="CG64" s="81"/>
      <c r="CH64" s="81"/>
      <c r="CI64" s="81"/>
      <c r="CJ64" s="81"/>
      <c r="CK64" s="81"/>
      <c r="CL64" s="81"/>
      <c r="CM64" s="81"/>
      <c r="CN64" s="81"/>
      <c r="CO64" s="81"/>
      <c r="CP64" s="81"/>
      <c r="CQ64" s="81"/>
      <c r="CR64" s="81"/>
      <c r="CS64" s="81"/>
      <c r="CT64" s="81"/>
      <c r="CU64" s="81"/>
      <c r="CV64" s="81"/>
      <c r="CW64" s="81"/>
      <c r="CX64" s="81"/>
      <c r="CY64" s="81"/>
      <c r="CZ64" s="81"/>
      <c r="DA64" s="81"/>
      <c r="DB64" s="81"/>
      <c r="DC64" s="81"/>
      <c r="DD64" s="81"/>
      <c r="DE64" s="81"/>
      <c r="DF64" s="81"/>
      <c r="DG64" s="81"/>
      <c r="DH64" s="81"/>
      <c r="DI64" s="81"/>
      <c r="DJ64" s="81"/>
      <c r="DK64" s="81"/>
      <c r="DL64" s="81"/>
      <c r="DM64" s="81"/>
      <c r="DN64" s="81"/>
      <c r="DO64" s="81"/>
      <c r="DP64" s="81"/>
      <c r="DQ64" s="81"/>
      <c r="DR64" s="81"/>
      <c r="DS64" s="81"/>
      <c r="DT64" s="81"/>
      <c r="DU64" s="81"/>
      <c r="DV64" s="81"/>
      <c r="DW64" s="121"/>
    </row>
    <row r="65" spans="1:127" x14ac:dyDescent="0.25">
      <c r="A65" s="2">
        <f>COUNTIF($D$2:D65,'Reporte de Nomina'!$E$2)</f>
        <v>0</v>
      </c>
      <c r="B65" s="125">
        <f>Lista!A64</f>
        <v>0</v>
      </c>
      <c r="C65" s="125">
        <f>Lista!B64</f>
        <v>0</v>
      </c>
      <c r="D65" s="125">
        <f>Lista!C64</f>
        <v>0</v>
      </c>
      <c r="E65" s="125">
        <f>Lista!D64</f>
        <v>0</v>
      </c>
      <c r="F65" s="125">
        <f>Lista!E64</f>
        <v>0</v>
      </c>
      <c r="G65" s="125">
        <f>Lista!F64</f>
        <v>0</v>
      </c>
      <c r="H65" s="125">
        <f>Lista!G64</f>
        <v>0</v>
      </c>
      <c r="I65" s="125">
        <f>Lista!H64</f>
        <v>0</v>
      </c>
      <c r="J65" s="125">
        <f>Lista!I64</f>
        <v>0</v>
      </c>
      <c r="K65" s="125">
        <f>Lista!J64</f>
        <v>0</v>
      </c>
      <c r="L65" s="125">
        <f>Lista!K64</f>
        <v>0</v>
      </c>
      <c r="M65" s="125">
        <f>Lista!L64</f>
        <v>0</v>
      </c>
      <c r="N65" s="125">
        <f>Lista!M64</f>
        <v>0</v>
      </c>
      <c r="O65" s="125">
        <f>Lista!N64</f>
        <v>0</v>
      </c>
      <c r="P65" s="125">
        <f>Lista!O64</f>
        <v>0</v>
      </c>
      <c r="Q65" s="125">
        <f>Lista!P64</f>
        <v>0</v>
      </c>
      <c r="R65" s="125">
        <f>Lista!Q64</f>
        <v>0</v>
      </c>
      <c r="S65" s="125">
        <f>Lista!R64</f>
        <v>0</v>
      </c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  <c r="BA65" s="81"/>
      <c r="BB65" s="81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81"/>
      <c r="CF65" s="81"/>
      <c r="CG65" s="81"/>
      <c r="CH65" s="81"/>
      <c r="CI65" s="81"/>
      <c r="CJ65" s="81"/>
      <c r="CK65" s="81"/>
      <c r="CL65" s="81"/>
      <c r="CM65" s="81"/>
      <c r="CN65" s="81"/>
      <c r="CO65" s="81"/>
      <c r="CP65" s="81"/>
      <c r="CQ65" s="81"/>
      <c r="CR65" s="81"/>
      <c r="CS65" s="81"/>
      <c r="CT65" s="81"/>
      <c r="CU65" s="81"/>
      <c r="CV65" s="81"/>
      <c r="CW65" s="81"/>
      <c r="CX65" s="81"/>
      <c r="CY65" s="81"/>
      <c r="CZ65" s="81"/>
      <c r="DA65" s="81"/>
      <c r="DB65" s="81"/>
      <c r="DC65" s="81"/>
      <c r="DD65" s="81"/>
      <c r="DE65" s="81"/>
      <c r="DF65" s="81"/>
      <c r="DG65" s="81"/>
      <c r="DH65" s="81"/>
      <c r="DI65" s="81"/>
      <c r="DJ65" s="81"/>
      <c r="DK65" s="81"/>
      <c r="DL65" s="81"/>
      <c r="DM65" s="81"/>
      <c r="DN65" s="81"/>
      <c r="DO65" s="81"/>
      <c r="DP65" s="81"/>
      <c r="DQ65" s="81"/>
      <c r="DR65" s="81"/>
      <c r="DS65" s="81"/>
      <c r="DT65" s="81"/>
      <c r="DU65" s="81"/>
      <c r="DV65" s="81"/>
      <c r="DW65" s="121"/>
    </row>
    <row r="66" spans="1:127" x14ac:dyDescent="0.25">
      <c r="A66" s="2">
        <f>COUNTIF($D$2:D66,'Reporte de Nomina'!$E$2)</f>
        <v>0</v>
      </c>
      <c r="B66" s="125">
        <f>Lista!A65</f>
        <v>0</v>
      </c>
      <c r="C66" s="125">
        <f>Lista!B65</f>
        <v>0</v>
      </c>
      <c r="D66" s="125">
        <f>Lista!C65</f>
        <v>0</v>
      </c>
      <c r="E66" s="125">
        <f>Lista!D65</f>
        <v>0</v>
      </c>
      <c r="F66" s="125">
        <f>Lista!E65</f>
        <v>0</v>
      </c>
      <c r="G66" s="125">
        <f>Lista!F65</f>
        <v>0</v>
      </c>
      <c r="H66" s="125">
        <f>Lista!G65</f>
        <v>0</v>
      </c>
      <c r="I66" s="125">
        <f>Lista!H65</f>
        <v>0</v>
      </c>
      <c r="J66" s="125">
        <f>Lista!I65</f>
        <v>0</v>
      </c>
      <c r="K66" s="125">
        <f>Lista!J65</f>
        <v>0</v>
      </c>
      <c r="L66" s="125">
        <f>Lista!K65</f>
        <v>0</v>
      </c>
      <c r="M66" s="125">
        <f>Lista!L65</f>
        <v>0</v>
      </c>
      <c r="N66" s="125">
        <f>Lista!M65</f>
        <v>0</v>
      </c>
      <c r="O66" s="125">
        <f>Lista!N65</f>
        <v>0</v>
      </c>
      <c r="P66" s="125">
        <f>Lista!O65</f>
        <v>0</v>
      </c>
      <c r="Q66" s="125">
        <f>Lista!P65</f>
        <v>0</v>
      </c>
      <c r="R66" s="125">
        <f>Lista!Q65</f>
        <v>0</v>
      </c>
      <c r="S66" s="125">
        <f>Lista!R65</f>
        <v>0</v>
      </c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  <c r="BA66" s="81"/>
      <c r="BB66" s="81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81"/>
      <c r="CF66" s="81"/>
      <c r="CG66" s="81"/>
      <c r="CH66" s="81"/>
      <c r="CI66" s="81"/>
      <c r="CJ66" s="81"/>
      <c r="CK66" s="81"/>
      <c r="CL66" s="81"/>
      <c r="CM66" s="81"/>
      <c r="CN66" s="81"/>
      <c r="CO66" s="81"/>
      <c r="CP66" s="81"/>
      <c r="CQ66" s="81"/>
      <c r="CR66" s="81"/>
      <c r="CS66" s="81"/>
      <c r="CT66" s="81"/>
      <c r="CU66" s="81"/>
      <c r="CV66" s="81"/>
      <c r="CW66" s="81"/>
      <c r="CX66" s="81"/>
      <c r="CY66" s="81"/>
      <c r="CZ66" s="81"/>
      <c r="DA66" s="81"/>
      <c r="DB66" s="81"/>
      <c r="DC66" s="81"/>
      <c r="DD66" s="81"/>
      <c r="DE66" s="81"/>
      <c r="DF66" s="81"/>
      <c r="DG66" s="81"/>
      <c r="DH66" s="81"/>
      <c r="DI66" s="81"/>
      <c r="DJ66" s="81"/>
      <c r="DK66" s="81"/>
      <c r="DL66" s="81"/>
      <c r="DM66" s="81"/>
      <c r="DN66" s="81"/>
      <c r="DO66" s="81"/>
      <c r="DP66" s="81"/>
      <c r="DQ66" s="81"/>
      <c r="DR66" s="81"/>
      <c r="DS66" s="81"/>
      <c r="DT66" s="81"/>
      <c r="DU66" s="81"/>
      <c r="DV66" s="81"/>
      <c r="DW66" s="121"/>
    </row>
    <row r="67" spans="1:127" x14ac:dyDescent="0.25">
      <c r="A67" s="2">
        <f>COUNTIF($D$2:D67,'Reporte de Nomina'!$E$2)</f>
        <v>0</v>
      </c>
      <c r="B67" s="125">
        <f>Lista!A66</f>
        <v>0</v>
      </c>
      <c r="C67" s="125">
        <f>Lista!B66</f>
        <v>0</v>
      </c>
      <c r="D67" s="125">
        <f>Lista!C66</f>
        <v>0</v>
      </c>
      <c r="E67" s="125">
        <f>Lista!D66</f>
        <v>0</v>
      </c>
      <c r="F67" s="125">
        <f>Lista!E66</f>
        <v>0</v>
      </c>
      <c r="G67" s="125">
        <f>Lista!F66</f>
        <v>0</v>
      </c>
      <c r="H67" s="125">
        <f>Lista!G66</f>
        <v>0</v>
      </c>
      <c r="I67" s="125">
        <f>Lista!H66</f>
        <v>0</v>
      </c>
      <c r="J67" s="125">
        <f>Lista!I66</f>
        <v>0</v>
      </c>
      <c r="K67" s="125">
        <f>Lista!J66</f>
        <v>0</v>
      </c>
      <c r="L67" s="125">
        <f>Lista!K66</f>
        <v>0</v>
      </c>
      <c r="M67" s="125">
        <f>Lista!L66</f>
        <v>0</v>
      </c>
      <c r="N67" s="125">
        <f>Lista!M66</f>
        <v>0</v>
      </c>
      <c r="O67" s="125">
        <f>Lista!N66</f>
        <v>0</v>
      </c>
      <c r="P67" s="125">
        <f>Lista!O66</f>
        <v>0</v>
      </c>
      <c r="Q67" s="125">
        <f>Lista!P66</f>
        <v>0</v>
      </c>
      <c r="R67" s="125">
        <f>Lista!Q66</f>
        <v>0</v>
      </c>
      <c r="S67" s="125">
        <f>Lista!R66</f>
        <v>0</v>
      </c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  <c r="BA67" s="81"/>
      <c r="BB67" s="81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81"/>
      <c r="CF67" s="81"/>
      <c r="CG67" s="81"/>
      <c r="CH67" s="81"/>
      <c r="CI67" s="81"/>
      <c r="CJ67" s="81"/>
      <c r="CK67" s="81"/>
      <c r="CL67" s="81"/>
      <c r="CM67" s="81"/>
      <c r="CN67" s="81"/>
      <c r="CO67" s="81"/>
      <c r="CP67" s="81"/>
      <c r="CQ67" s="81"/>
      <c r="CR67" s="81"/>
      <c r="CS67" s="81"/>
      <c r="CT67" s="81"/>
      <c r="CU67" s="81"/>
      <c r="CV67" s="81"/>
      <c r="CW67" s="81"/>
      <c r="CX67" s="81"/>
      <c r="CY67" s="81"/>
      <c r="CZ67" s="81"/>
      <c r="DA67" s="81"/>
      <c r="DB67" s="81"/>
      <c r="DC67" s="81"/>
      <c r="DD67" s="81"/>
      <c r="DE67" s="81"/>
      <c r="DF67" s="81"/>
      <c r="DG67" s="81"/>
      <c r="DH67" s="81"/>
      <c r="DI67" s="81"/>
      <c r="DJ67" s="81"/>
      <c r="DK67" s="81"/>
      <c r="DL67" s="81"/>
      <c r="DM67" s="81"/>
      <c r="DN67" s="81"/>
      <c r="DO67" s="81"/>
      <c r="DP67" s="81"/>
      <c r="DQ67" s="81"/>
      <c r="DR67" s="81"/>
      <c r="DS67" s="81"/>
      <c r="DT67" s="81"/>
      <c r="DU67" s="81"/>
      <c r="DV67" s="81"/>
      <c r="DW67" s="121"/>
    </row>
    <row r="68" spans="1:127" x14ac:dyDescent="0.25">
      <c r="A68" s="2">
        <f>COUNTIF($D$2:D68,'Reporte de Nomina'!$E$2)</f>
        <v>0</v>
      </c>
      <c r="B68" s="125">
        <f>Lista!A67</f>
        <v>0</v>
      </c>
      <c r="C68" s="125">
        <f>Lista!B67</f>
        <v>0</v>
      </c>
      <c r="D68" s="125">
        <f>Lista!C67</f>
        <v>0</v>
      </c>
      <c r="E68" s="125">
        <f>Lista!D67</f>
        <v>0</v>
      </c>
      <c r="F68" s="125">
        <f>Lista!E67</f>
        <v>0</v>
      </c>
      <c r="G68" s="125">
        <f>Lista!F67</f>
        <v>0</v>
      </c>
      <c r="H68" s="125">
        <f>Lista!G67</f>
        <v>0</v>
      </c>
      <c r="I68" s="125">
        <f>Lista!H67</f>
        <v>0</v>
      </c>
      <c r="J68" s="125">
        <f>Lista!I67</f>
        <v>0</v>
      </c>
      <c r="K68" s="125">
        <f>Lista!J67</f>
        <v>0</v>
      </c>
      <c r="L68" s="125">
        <f>Lista!K67</f>
        <v>0</v>
      </c>
      <c r="M68" s="125">
        <f>Lista!L67</f>
        <v>0</v>
      </c>
      <c r="N68" s="125">
        <f>Lista!M67</f>
        <v>0</v>
      </c>
      <c r="O68" s="125">
        <f>Lista!N67</f>
        <v>0</v>
      </c>
      <c r="P68" s="125">
        <f>Lista!O67</f>
        <v>0</v>
      </c>
      <c r="Q68" s="125">
        <f>Lista!P67</f>
        <v>0</v>
      </c>
      <c r="R68" s="125">
        <f>Lista!Q67</f>
        <v>0</v>
      </c>
      <c r="S68" s="125">
        <f>Lista!R67</f>
        <v>0</v>
      </c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  <c r="BA68" s="81"/>
      <c r="BB68" s="81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81"/>
      <c r="CF68" s="81"/>
      <c r="CG68" s="81"/>
      <c r="CH68" s="81"/>
      <c r="CI68" s="81"/>
      <c r="CJ68" s="81"/>
      <c r="CK68" s="81"/>
      <c r="CL68" s="81"/>
      <c r="CM68" s="81"/>
      <c r="CN68" s="81"/>
      <c r="CO68" s="81"/>
      <c r="CP68" s="81"/>
      <c r="CQ68" s="81"/>
      <c r="CR68" s="81"/>
      <c r="CS68" s="81"/>
      <c r="CT68" s="81"/>
      <c r="CU68" s="81"/>
      <c r="CV68" s="81"/>
      <c r="CW68" s="81"/>
      <c r="CX68" s="81"/>
      <c r="CY68" s="81"/>
      <c r="CZ68" s="81"/>
      <c r="DA68" s="81"/>
      <c r="DB68" s="81"/>
      <c r="DC68" s="81"/>
      <c r="DD68" s="81"/>
      <c r="DE68" s="81"/>
      <c r="DF68" s="81"/>
      <c r="DG68" s="81"/>
      <c r="DH68" s="81"/>
      <c r="DI68" s="81"/>
      <c r="DJ68" s="81"/>
      <c r="DK68" s="81"/>
      <c r="DL68" s="81"/>
      <c r="DM68" s="81"/>
      <c r="DN68" s="81"/>
      <c r="DO68" s="81"/>
      <c r="DP68" s="81"/>
      <c r="DQ68" s="81"/>
      <c r="DR68" s="81"/>
      <c r="DS68" s="81"/>
      <c r="DT68" s="81"/>
      <c r="DU68" s="81"/>
      <c r="DV68" s="81"/>
      <c r="DW68" s="121"/>
    </row>
    <row r="69" spans="1:127" x14ac:dyDescent="0.25">
      <c r="A69" s="2">
        <f>COUNTIF($D$2:D69,'Reporte de Nomina'!$E$2)</f>
        <v>0</v>
      </c>
      <c r="B69" s="125">
        <f>Lista!A68</f>
        <v>0</v>
      </c>
      <c r="C69" s="125">
        <f>Lista!B68</f>
        <v>0</v>
      </c>
      <c r="D69" s="125">
        <f>Lista!C68</f>
        <v>0</v>
      </c>
      <c r="E69" s="125">
        <f>Lista!D68</f>
        <v>0</v>
      </c>
      <c r="F69" s="125">
        <f>Lista!E68</f>
        <v>0</v>
      </c>
      <c r="G69" s="125">
        <f>Lista!F68</f>
        <v>0</v>
      </c>
      <c r="H69" s="125">
        <f>Lista!G68</f>
        <v>0</v>
      </c>
      <c r="I69" s="125">
        <f>Lista!H68</f>
        <v>0</v>
      </c>
      <c r="J69" s="125">
        <f>Lista!I68</f>
        <v>0</v>
      </c>
      <c r="K69" s="125">
        <f>Lista!J68</f>
        <v>0</v>
      </c>
      <c r="L69" s="125">
        <f>Lista!K68</f>
        <v>0</v>
      </c>
      <c r="M69" s="125">
        <f>Lista!L68</f>
        <v>0</v>
      </c>
      <c r="N69" s="125">
        <f>Lista!M68</f>
        <v>0</v>
      </c>
      <c r="O69" s="125">
        <f>Lista!N68</f>
        <v>0</v>
      </c>
      <c r="P69" s="125">
        <f>Lista!O68</f>
        <v>0</v>
      </c>
      <c r="Q69" s="125">
        <f>Lista!P68</f>
        <v>0</v>
      </c>
      <c r="R69" s="125">
        <f>Lista!Q68</f>
        <v>0</v>
      </c>
      <c r="S69" s="125">
        <f>Lista!R68</f>
        <v>0</v>
      </c>
      <c r="T69" s="81"/>
      <c r="U69" s="81"/>
      <c r="V69" s="8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  <c r="BA69" s="81"/>
      <c r="BB69" s="81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81"/>
      <c r="CF69" s="81"/>
      <c r="CG69" s="81"/>
      <c r="CH69" s="81"/>
      <c r="CI69" s="81"/>
      <c r="CJ69" s="81"/>
      <c r="CK69" s="81"/>
      <c r="CL69" s="81"/>
      <c r="CM69" s="81"/>
      <c r="CN69" s="81"/>
      <c r="CO69" s="81"/>
      <c r="CP69" s="81"/>
      <c r="CQ69" s="81"/>
      <c r="CR69" s="81"/>
      <c r="CS69" s="81"/>
      <c r="CT69" s="81"/>
      <c r="CU69" s="81"/>
      <c r="CV69" s="81"/>
      <c r="CW69" s="81"/>
      <c r="CX69" s="81"/>
      <c r="CY69" s="81"/>
      <c r="CZ69" s="81"/>
      <c r="DA69" s="81"/>
      <c r="DB69" s="81"/>
      <c r="DC69" s="81"/>
      <c r="DD69" s="81"/>
      <c r="DE69" s="81"/>
      <c r="DF69" s="81"/>
      <c r="DG69" s="81"/>
      <c r="DH69" s="81"/>
      <c r="DI69" s="81"/>
      <c r="DJ69" s="81"/>
      <c r="DK69" s="81"/>
      <c r="DL69" s="81"/>
      <c r="DM69" s="81"/>
      <c r="DN69" s="81"/>
      <c r="DO69" s="81"/>
      <c r="DP69" s="81"/>
      <c r="DQ69" s="81"/>
      <c r="DR69" s="81"/>
      <c r="DS69" s="81"/>
      <c r="DT69" s="81"/>
      <c r="DU69" s="81"/>
      <c r="DV69" s="81"/>
      <c r="DW69" s="121"/>
    </row>
    <row r="70" spans="1:127" x14ac:dyDescent="0.25">
      <c r="A70" s="2">
        <f>COUNTIF($D$2:D70,'Reporte de Nomina'!$E$2)</f>
        <v>0</v>
      </c>
      <c r="B70" s="125">
        <f>Lista!A69</f>
        <v>0</v>
      </c>
      <c r="C70" s="125">
        <f>Lista!B69</f>
        <v>0</v>
      </c>
      <c r="D70" s="125">
        <f>Lista!C69</f>
        <v>0</v>
      </c>
      <c r="E70" s="125">
        <f>Lista!D69</f>
        <v>0</v>
      </c>
      <c r="F70" s="125">
        <f>Lista!E69</f>
        <v>0</v>
      </c>
      <c r="G70" s="125">
        <f>Lista!F69</f>
        <v>0</v>
      </c>
      <c r="H70" s="125">
        <f>Lista!G69</f>
        <v>0</v>
      </c>
      <c r="I70" s="125">
        <f>Lista!H69</f>
        <v>0</v>
      </c>
      <c r="J70" s="125">
        <f>Lista!I69</f>
        <v>0</v>
      </c>
      <c r="K70" s="125">
        <f>Lista!J69</f>
        <v>0</v>
      </c>
      <c r="L70" s="125">
        <f>Lista!K69</f>
        <v>0</v>
      </c>
      <c r="M70" s="125">
        <f>Lista!L69</f>
        <v>0</v>
      </c>
      <c r="N70" s="125">
        <f>Lista!M69</f>
        <v>0</v>
      </c>
      <c r="O70" s="125">
        <f>Lista!N69</f>
        <v>0</v>
      </c>
      <c r="P70" s="125">
        <f>Lista!O69</f>
        <v>0</v>
      </c>
      <c r="Q70" s="125">
        <f>Lista!P69</f>
        <v>0</v>
      </c>
      <c r="R70" s="125">
        <f>Lista!Q69</f>
        <v>0</v>
      </c>
      <c r="S70" s="125">
        <f>Lista!R69</f>
        <v>0</v>
      </c>
      <c r="T70" s="81"/>
      <c r="U70" s="81"/>
      <c r="V70" s="81"/>
      <c r="W70" s="81"/>
      <c r="X70" s="81"/>
      <c r="Y70" s="81"/>
      <c r="Z70" s="81"/>
      <c r="AA70" s="81"/>
      <c r="AB70" s="81"/>
      <c r="AC70" s="81"/>
      <c r="AD70" s="81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  <c r="BA70" s="81"/>
      <c r="BB70" s="81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81"/>
      <c r="CF70" s="81"/>
      <c r="CG70" s="81"/>
      <c r="CH70" s="81"/>
      <c r="CI70" s="81"/>
      <c r="CJ70" s="81"/>
      <c r="CK70" s="81"/>
      <c r="CL70" s="81"/>
      <c r="CM70" s="81"/>
      <c r="CN70" s="81"/>
      <c r="CO70" s="81"/>
      <c r="CP70" s="81"/>
      <c r="CQ70" s="81"/>
      <c r="CR70" s="81"/>
      <c r="CS70" s="81"/>
      <c r="CT70" s="81"/>
      <c r="CU70" s="81"/>
      <c r="CV70" s="81"/>
      <c r="CW70" s="81"/>
      <c r="CX70" s="81"/>
      <c r="CY70" s="81"/>
      <c r="CZ70" s="81"/>
      <c r="DA70" s="81"/>
      <c r="DB70" s="81"/>
      <c r="DC70" s="81"/>
      <c r="DD70" s="81"/>
      <c r="DE70" s="81"/>
      <c r="DF70" s="81"/>
      <c r="DG70" s="81"/>
      <c r="DH70" s="81"/>
      <c r="DI70" s="81"/>
      <c r="DJ70" s="81"/>
      <c r="DK70" s="81"/>
      <c r="DL70" s="81"/>
      <c r="DM70" s="81"/>
      <c r="DN70" s="81"/>
      <c r="DO70" s="81"/>
      <c r="DP70" s="81"/>
      <c r="DQ70" s="81"/>
      <c r="DR70" s="81"/>
      <c r="DS70" s="81"/>
      <c r="DT70" s="81"/>
      <c r="DU70" s="81"/>
      <c r="DV70" s="81"/>
      <c r="DW70" s="121"/>
    </row>
    <row r="71" spans="1:127" x14ac:dyDescent="0.25">
      <c r="A71" s="2">
        <f>COUNTIF($D$2:D71,'Reporte de Nomina'!$E$2)</f>
        <v>0</v>
      </c>
      <c r="B71" s="125">
        <f>Lista!A70</f>
        <v>0</v>
      </c>
      <c r="C71" s="125">
        <f>Lista!B70</f>
        <v>0</v>
      </c>
      <c r="D71" s="125">
        <f>Lista!C70</f>
        <v>0</v>
      </c>
      <c r="E71" s="125">
        <f>Lista!D70</f>
        <v>0</v>
      </c>
      <c r="F71" s="125">
        <f>Lista!E70</f>
        <v>0</v>
      </c>
      <c r="G71" s="125">
        <f>Lista!F70</f>
        <v>0</v>
      </c>
      <c r="H71" s="125">
        <f>Lista!G70</f>
        <v>0</v>
      </c>
      <c r="I71" s="125">
        <f>Lista!H70</f>
        <v>0</v>
      </c>
      <c r="J71" s="125">
        <f>Lista!I70</f>
        <v>0</v>
      </c>
      <c r="K71" s="125">
        <f>Lista!J70</f>
        <v>0</v>
      </c>
      <c r="L71" s="125">
        <f>Lista!K70</f>
        <v>0</v>
      </c>
      <c r="M71" s="125">
        <f>Lista!L70</f>
        <v>0</v>
      </c>
      <c r="N71" s="125">
        <f>Lista!M70</f>
        <v>0</v>
      </c>
      <c r="O71" s="125">
        <f>Lista!N70</f>
        <v>0</v>
      </c>
      <c r="P71" s="125">
        <f>Lista!O70</f>
        <v>0</v>
      </c>
      <c r="Q71" s="125">
        <f>Lista!P70</f>
        <v>0</v>
      </c>
      <c r="R71" s="125">
        <f>Lista!Q70</f>
        <v>0</v>
      </c>
      <c r="S71" s="125">
        <f>Lista!R70</f>
        <v>0</v>
      </c>
      <c r="T71" s="8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  <c r="BA71" s="81"/>
      <c r="BB71" s="81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81"/>
      <c r="CF71" s="81"/>
      <c r="CG71" s="81"/>
      <c r="CH71" s="81"/>
      <c r="CI71" s="81"/>
      <c r="CJ71" s="81"/>
      <c r="CK71" s="81"/>
      <c r="CL71" s="81"/>
      <c r="CM71" s="81"/>
      <c r="CN71" s="81"/>
      <c r="CO71" s="81"/>
      <c r="CP71" s="81"/>
      <c r="CQ71" s="81"/>
      <c r="CR71" s="81"/>
      <c r="CS71" s="81"/>
      <c r="CT71" s="81"/>
      <c r="CU71" s="81"/>
      <c r="CV71" s="81"/>
      <c r="CW71" s="81"/>
      <c r="CX71" s="81"/>
      <c r="CY71" s="81"/>
      <c r="CZ71" s="81"/>
      <c r="DA71" s="81"/>
      <c r="DB71" s="81"/>
      <c r="DC71" s="81"/>
      <c r="DD71" s="81"/>
      <c r="DE71" s="81"/>
      <c r="DF71" s="81"/>
      <c r="DG71" s="81"/>
      <c r="DH71" s="81"/>
      <c r="DI71" s="81"/>
      <c r="DJ71" s="81"/>
      <c r="DK71" s="81"/>
      <c r="DL71" s="81"/>
      <c r="DM71" s="81"/>
      <c r="DN71" s="81"/>
      <c r="DO71" s="81"/>
      <c r="DP71" s="81"/>
      <c r="DQ71" s="81"/>
      <c r="DR71" s="81"/>
      <c r="DS71" s="81"/>
      <c r="DT71" s="81"/>
      <c r="DU71" s="81"/>
      <c r="DV71" s="81"/>
      <c r="DW71" s="121"/>
    </row>
    <row r="72" spans="1:127" x14ac:dyDescent="0.25">
      <c r="A72" s="2">
        <f>COUNTIF($D$2:D72,'Reporte de Nomina'!$E$2)</f>
        <v>0</v>
      </c>
      <c r="B72" s="125">
        <f>Lista!A71</f>
        <v>0</v>
      </c>
      <c r="C72" s="125">
        <f>Lista!B71</f>
        <v>0</v>
      </c>
      <c r="D72" s="125">
        <f>Lista!C71</f>
        <v>0</v>
      </c>
      <c r="E72" s="125">
        <f>Lista!D71</f>
        <v>0</v>
      </c>
      <c r="F72" s="125">
        <f>Lista!E71</f>
        <v>0</v>
      </c>
      <c r="G72" s="125">
        <f>Lista!F71</f>
        <v>0</v>
      </c>
      <c r="H72" s="125">
        <f>Lista!G71</f>
        <v>0</v>
      </c>
      <c r="I72" s="125">
        <f>Lista!H71</f>
        <v>0</v>
      </c>
      <c r="J72" s="125">
        <f>Lista!I71</f>
        <v>0</v>
      </c>
      <c r="K72" s="125">
        <f>Lista!J71</f>
        <v>0</v>
      </c>
      <c r="L72" s="125">
        <f>Lista!K71</f>
        <v>0</v>
      </c>
      <c r="M72" s="125">
        <f>Lista!L71</f>
        <v>0</v>
      </c>
      <c r="N72" s="125">
        <f>Lista!M71</f>
        <v>0</v>
      </c>
      <c r="O72" s="125">
        <f>Lista!N71</f>
        <v>0</v>
      </c>
      <c r="P72" s="125">
        <f>Lista!O71</f>
        <v>0</v>
      </c>
      <c r="Q72" s="125">
        <f>Lista!P71</f>
        <v>0</v>
      </c>
      <c r="R72" s="125">
        <f>Lista!Q71</f>
        <v>0</v>
      </c>
      <c r="S72" s="125">
        <f>Lista!R71</f>
        <v>0</v>
      </c>
      <c r="T72" s="8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  <c r="BA72" s="81"/>
      <c r="BB72" s="81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81"/>
      <c r="CF72" s="81"/>
      <c r="CG72" s="81"/>
      <c r="CH72" s="81"/>
      <c r="CI72" s="81"/>
      <c r="CJ72" s="81"/>
      <c r="CK72" s="81"/>
      <c r="CL72" s="81"/>
      <c r="CM72" s="81"/>
      <c r="CN72" s="81"/>
      <c r="CO72" s="81"/>
      <c r="CP72" s="81"/>
      <c r="CQ72" s="81"/>
      <c r="CR72" s="81"/>
      <c r="CS72" s="81"/>
      <c r="CT72" s="81"/>
      <c r="CU72" s="81"/>
      <c r="CV72" s="81"/>
      <c r="CW72" s="81"/>
      <c r="CX72" s="81"/>
      <c r="CY72" s="81"/>
      <c r="CZ72" s="81"/>
      <c r="DA72" s="81"/>
      <c r="DB72" s="81"/>
      <c r="DC72" s="81"/>
      <c r="DD72" s="81"/>
      <c r="DE72" s="81"/>
      <c r="DF72" s="81"/>
      <c r="DG72" s="81"/>
      <c r="DH72" s="81"/>
      <c r="DI72" s="81"/>
      <c r="DJ72" s="81"/>
      <c r="DK72" s="81"/>
      <c r="DL72" s="81"/>
      <c r="DM72" s="81"/>
      <c r="DN72" s="81"/>
      <c r="DO72" s="81"/>
      <c r="DP72" s="81"/>
      <c r="DQ72" s="81"/>
      <c r="DR72" s="81"/>
      <c r="DS72" s="81"/>
      <c r="DT72" s="81"/>
      <c r="DU72" s="81"/>
      <c r="DV72" s="81"/>
      <c r="DW72" s="121"/>
    </row>
    <row r="73" spans="1:127" x14ac:dyDescent="0.25">
      <c r="A73" s="2">
        <f>COUNTIF($D$2:D73,'Reporte de Nomina'!$E$2)</f>
        <v>0</v>
      </c>
      <c r="B73" s="125">
        <f>Lista!A72</f>
        <v>0</v>
      </c>
      <c r="C73" s="125">
        <f>Lista!B72</f>
        <v>0</v>
      </c>
      <c r="D73" s="125">
        <f>Lista!C72</f>
        <v>0</v>
      </c>
      <c r="E73" s="125">
        <f>Lista!D72</f>
        <v>0</v>
      </c>
      <c r="F73" s="125">
        <f>Lista!E72</f>
        <v>0</v>
      </c>
      <c r="G73" s="125">
        <f>Lista!F72</f>
        <v>0</v>
      </c>
      <c r="H73" s="125">
        <f>Lista!G72</f>
        <v>0</v>
      </c>
      <c r="I73" s="125">
        <f>Lista!H72</f>
        <v>0</v>
      </c>
      <c r="J73" s="125">
        <f>Lista!I72</f>
        <v>0</v>
      </c>
      <c r="K73" s="125">
        <f>Lista!J72</f>
        <v>0</v>
      </c>
      <c r="L73" s="125">
        <f>Lista!K72</f>
        <v>0</v>
      </c>
      <c r="M73" s="125">
        <f>Lista!L72</f>
        <v>0</v>
      </c>
      <c r="N73" s="125">
        <f>Lista!M72</f>
        <v>0</v>
      </c>
      <c r="O73" s="125">
        <f>Lista!N72</f>
        <v>0</v>
      </c>
      <c r="P73" s="125">
        <f>Lista!O72</f>
        <v>0</v>
      </c>
      <c r="Q73" s="125">
        <f>Lista!P72</f>
        <v>0</v>
      </c>
      <c r="R73" s="125">
        <f>Lista!Q72</f>
        <v>0</v>
      </c>
      <c r="S73" s="125">
        <f>Lista!R72</f>
        <v>0</v>
      </c>
      <c r="T73" s="8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  <c r="BA73" s="81"/>
      <c r="BB73" s="81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81"/>
      <c r="CF73" s="81"/>
      <c r="CG73" s="81"/>
      <c r="CH73" s="81"/>
      <c r="CI73" s="81"/>
      <c r="CJ73" s="81"/>
      <c r="CK73" s="81"/>
      <c r="CL73" s="81"/>
      <c r="CM73" s="81"/>
      <c r="CN73" s="81"/>
      <c r="CO73" s="81"/>
      <c r="CP73" s="81"/>
      <c r="CQ73" s="81"/>
      <c r="CR73" s="81"/>
      <c r="CS73" s="81"/>
      <c r="CT73" s="81"/>
      <c r="CU73" s="81"/>
      <c r="CV73" s="81"/>
      <c r="CW73" s="81"/>
      <c r="CX73" s="81"/>
      <c r="CY73" s="81"/>
      <c r="CZ73" s="81"/>
      <c r="DA73" s="81"/>
      <c r="DB73" s="81"/>
      <c r="DC73" s="81"/>
      <c r="DD73" s="81"/>
      <c r="DE73" s="81"/>
      <c r="DF73" s="81"/>
      <c r="DG73" s="81"/>
      <c r="DH73" s="81"/>
      <c r="DI73" s="81"/>
      <c r="DJ73" s="81"/>
      <c r="DK73" s="81"/>
      <c r="DL73" s="81"/>
      <c r="DM73" s="81"/>
      <c r="DN73" s="81"/>
      <c r="DO73" s="81"/>
      <c r="DP73" s="81"/>
      <c r="DQ73" s="81"/>
      <c r="DR73" s="81"/>
      <c r="DS73" s="81"/>
      <c r="DT73" s="81"/>
      <c r="DU73" s="81"/>
      <c r="DV73" s="81"/>
      <c r="DW73" s="121"/>
    </row>
    <row r="74" spans="1:127" x14ac:dyDescent="0.25">
      <c r="A74" s="2">
        <f>COUNTIF($D$2:D74,'Reporte de Nomina'!$E$2)</f>
        <v>0</v>
      </c>
      <c r="B74" s="125">
        <f>Lista!A73</f>
        <v>0</v>
      </c>
      <c r="C74" s="125">
        <f>Lista!B73</f>
        <v>0</v>
      </c>
      <c r="D74" s="125">
        <f>Lista!C73</f>
        <v>0</v>
      </c>
      <c r="E74" s="125">
        <f>Lista!D73</f>
        <v>0</v>
      </c>
      <c r="F74" s="125">
        <f>Lista!E73</f>
        <v>0</v>
      </c>
      <c r="G74" s="125">
        <f>Lista!F73</f>
        <v>0</v>
      </c>
      <c r="H74" s="125">
        <f>Lista!G73</f>
        <v>0</v>
      </c>
      <c r="I74" s="125">
        <f>Lista!H73</f>
        <v>0</v>
      </c>
      <c r="J74" s="125">
        <f>Lista!I73</f>
        <v>0</v>
      </c>
      <c r="K74" s="125">
        <f>Lista!J73</f>
        <v>0</v>
      </c>
      <c r="L74" s="125">
        <f>Lista!K73</f>
        <v>0</v>
      </c>
      <c r="M74" s="125">
        <f>Lista!L73</f>
        <v>0</v>
      </c>
      <c r="N74" s="125">
        <f>Lista!M73</f>
        <v>0</v>
      </c>
      <c r="O74" s="125">
        <f>Lista!N73</f>
        <v>0</v>
      </c>
      <c r="P74" s="125">
        <f>Lista!O73</f>
        <v>0</v>
      </c>
      <c r="Q74" s="125">
        <f>Lista!P73</f>
        <v>0</v>
      </c>
      <c r="R74" s="125">
        <f>Lista!Q73</f>
        <v>0</v>
      </c>
      <c r="S74" s="125">
        <f>Lista!R73</f>
        <v>0</v>
      </c>
      <c r="T74" s="8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  <c r="BA74" s="81"/>
      <c r="BB74" s="81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81"/>
      <c r="CF74" s="81"/>
      <c r="CG74" s="81"/>
      <c r="CH74" s="81"/>
      <c r="CI74" s="81"/>
      <c r="CJ74" s="81"/>
      <c r="CK74" s="81"/>
      <c r="CL74" s="81"/>
      <c r="CM74" s="81"/>
      <c r="CN74" s="81"/>
      <c r="CO74" s="81"/>
      <c r="CP74" s="81"/>
      <c r="CQ74" s="81"/>
      <c r="CR74" s="81"/>
      <c r="CS74" s="81"/>
      <c r="CT74" s="81"/>
      <c r="CU74" s="81"/>
      <c r="CV74" s="81"/>
      <c r="CW74" s="81"/>
      <c r="CX74" s="81"/>
      <c r="CY74" s="81"/>
      <c r="CZ74" s="81"/>
      <c r="DA74" s="81"/>
      <c r="DB74" s="81"/>
      <c r="DC74" s="81"/>
      <c r="DD74" s="81"/>
      <c r="DE74" s="81"/>
      <c r="DF74" s="81"/>
      <c r="DG74" s="81"/>
      <c r="DH74" s="81"/>
      <c r="DI74" s="81"/>
      <c r="DJ74" s="81"/>
      <c r="DK74" s="81"/>
      <c r="DL74" s="81"/>
      <c r="DM74" s="81"/>
      <c r="DN74" s="81"/>
      <c r="DO74" s="81"/>
      <c r="DP74" s="81"/>
      <c r="DQ74" s="81"/>
      <c r="DR74" s="81"/>
      <c r="DS74" s="81"/>
      <c r="DT74" s="81"/>
      <c r="DU74" s="81"/>
      <c r="DV74" s="81"/>
      <c r="DW74" s="121"/>
    </row>
    <row r="75" spans="1:127" x14ac:dyDescent="0.25">
      <c r="A75" s="2">
        <f>COUNTIF($D$2:D75,'Reporte de Nomina'!$E$2)</f>
        <v>0</v>
      </c>
      <c r="B75" s="125">
        <f>Lista!A74</f>
        <v>0</v>
      </c>
      <c r="C75" s="125">
        <f>Lista!B74</f>
        <v>0</v>
      </c>
      <c r="D75" s="125">
        <f>Lista!C74</f>
        <v>0</v>
      </c>
      <c r="E75" s="125">
        <f>Lista!D74</f>
        <v>0</v>
      </c>
      <c r="F75" s="125">
        <f>Lista!E74</f>
        <v>0</v>
      </c>
      <c r="G75" s="125">
        <f>Lista!F74</f>
        <v>0</v>
      </c>
      <c r="H75" s="125">
        <f>Lista!G74</f>
        <v>0</v>
      </c>
      <c r="I75" s="125">
        <f>Lista!H74</f>
        <v>0</v>
      </c>
      <c r="J75" s="125">
        <f>Lista!I74</f>
        <v>0</v>
      </c>
      <c r="K75" s="125">
        <f>Lista!J74</f>
        <v>0</v>
      </c>
      <c r="L75" s="125">
        <f>Lista!K74</f>
        <v>0</v>
      </c>
      <c r="M75" s="125">
        <f>Lista!L74</f>
        <v>0</v>
      </c>
      <c r="N75" s="125">
        <f>Lista!M74</f>
        <v>0</v>
      </c>
      <c r="O75" s="125">
        <f>Lista!N74</f>
        <v>0</v>
      </c>
      <c r="P75" s="125">
        <f>Lista!O74</f>
        <v>0</v>
      </c>
      <c r="Q75" s="125">
        <f>Lista!P74</f>
        <v>0</v>
      </c>
      <c r="R75" s="125">
        <f>Lista!Q74</f>
        <v>0</v>
      </c>
      <c r="S75" s="125">
        <f>Lista!R74</f>
        <v>0</v>
      </c>
      <c r="T75" s="8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  <c r="BA75" s="81"/>
      <c r="BB75" s="81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81"/>
      <c r="CF75" s="81"/>
      <c r="CG75" s="81"/>
      <c r="CH75" s="81"/>
      <c r="CI75" s="81"/>
      <c r="CJ75" s="81"/>
      <c r="CK75" s="81"/>
      <c r="CL75" s="81"/>
      <c r="CM75" s="81"/>
      <c r="CN75" s="81"/>
      <c r="CO75" s="81"/>
      <c r="CP75" s="81"/>
      <c r="CQ75" s="81"/>
      <c r="CR75" s="81"/>
      <c r="CS75" s="81"/>
      <c r="CT75" s="81"/>
      <c r="CU75" s="81"/>
      <c r="CV75" s="81"/>
      <c r="CW75" s="81"/>
      <c r="CX75" s="81"/>
      <c r="CY75" s="81"/>
      <c r="CZ75" s="81"/>
      <c r="DA75" s="81"/>
      <c r="DB75" s="81"/>
      <c r="DC75" s="81"/>
      <c r="DD75" s="81"/>
      <c r="DE75" s="81"/>
      <c r="DF75" s="81"/>
      <c r="DG75" s="81"/>
      <c r="DH75" s="81"/>
      <c r="DI75" s="81"/>
      <c r="DJ75" s="81"/>
      <c r="DK75" s="81"/>
      <c r="DL75" s="81"/>
      <c r="DM75" s="81"/>
      <c r="DN75" s="81"/>
      <c r="DO75" s="81"/>
      <c r="DP75" s="81"/>
      <c r="DQ75" s="81"/>
      <c r="DR75" s="81"/>
      <c r="DS75" s="81"/>
      <c r="DT75" s="81"/>
      <c r="DU75" s="81"/>
      <c r="DV75" s="81"/>
      <c r="DW75" s="121"/>
    </row>
    <row r="76" spans="1:127" x14ac:dyDescent="0.25">
      <c r="A76" s="2">
        <f>COUNTIF($D$2:D76,'Reporte de Nomina'!$E$2)</f>
        <v>0</v>
      </c>
      <c r="B76" s="125">
        <f>Lista!A75</f>
        <v>0</v>
      </c>
      <c r="C76" s="125">
        <f>Lista!B75</f>
        <v>0</v>
      </c>
      <c r="D76" s="125">
        <f>Lista!C75</f>
        <v>0</v>
      </c>
      <c r="E76" s="125">
        <f>Lista!D75</f>
        <v>0</v>
      </c>
      <c r="F76" s="125">
        <f>Lista!E75</f>
        <v>0</v>
      </c>
      <c r="G76" s="125">
        <f>Lista!F75</f>
        <v>0</v>
      </c>
      <c r="H76" s="125">
        <f>Lista!G75</f>
        <v>0</v>
      </c>
      <c r="I76" s="125">
        <f>Lista!H75</f>
        <v>0</v>
      </c>
      <c r="J76" s="125">
        <f>Lista!I75</f>
        <v>0</v>
      </c>
      <c r="K76" s="125">
        <f>Lista!J75</f>
        <v>0</v>
      </c>
      <c r="L76" s="125">
        <f>Lista!K75</f>
        <v>0</v>
      </c>
      <c r="M76" s="125">
        <f>Lista!L75</f>
        <v>0</v>
      </c>
      <c r="N76" s="125">
        <f>Lista!M75</f>
        <v>0</v>
      </c>
      <c r="O76" s="125">
        <f>Lista!N75</f>
        <v>0</v>
      </c>
      <c r="P76" s="125">
        <f>Lista!O75</f>
        <v>0</v>
      </c>
      <c r="Q76" s="125">
        <f>Lista!P75</f>
        <v>0</v>
      </c>
      <c r="R76" s="125">
        <f>Lista!Q75</f>
        <v>0</v>
      </c>
      <c r="S76" s="125">
        <f>Lista!R75</f>
        <v>0</v>
      </c>
      <c r="T76" s="8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  <c r="BA76" s="81"/>
      <c r="BB76" s="81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81"/>
      <c r="CF76" s="81"/>
      <c r="CG76" s="81"/>
      <c r="CH76" s="81"/>
      <c r="CI76" s="81"/>
      <c r="CJ76" s="81"/>
      <c r="CK76" s="81"/>
      <c r="CL76" s="81"/>
      <c r="CM76" s="81"/>
      <c r="CN76" s="81"/>
      <c r="CO76" s="81"/>
      <c r="CP76" s="81"/>
      <c r="CQ76" s="81"/>
      <c r="CR76" s="81"/>
      <c r="CS76" s="81"/>
      <c r="CT76" s="81"/>
      <c r="CU76" s="81"/>
      <c r="CV76" s="81"/>
      <c r="CW76" s="81"/>
      <c r="CX76" s="81"/>
      <c r="CY76" s="81"/>
      <c r="CZ76" s="81"/>
      <c r="DA76" s="81"/>
      <c r="DB76" s="81"/>
      <c r="DC76" s="81"/>
      <c r="DD76" s="81"/>
      <c r="DE76" s="81"/>
      <c r="DF76" s="81"/>
      <c r="DG76" s="81"/>
      <c r="DH76" s="81"/>
      <c r="DI76" s="81"/>
      <c r="DJ76" s="81"/>
      <c r="DK76" s="81"/>
      <c r="DL76" s="81"/>
      <c r="DM76" s="81"/>
      <c r="DN76" s="81"/>
      <c r="DO76" s="81"/>
      <c r="DP76" s="81"/>
      <c r="DQ76" s="81"/>
      <c r="DR76" s="81"/>
      <c r="DS76" s="81"/>
      <c r="DT76" s="81"/>
      <c r="DU76" s="81"/>
      <c r="DV76" s="81"/>
      <c r="DW76" s="121"/>
    </row>
    <row r="77" spans="1:127" x14ac:dyDescent="0.25">
      <c r="A77" s="2">
        <f>COUNTIF($D$2:D77,'Reporte de Nomina'!$E$2)</f>
        <v>0</v>
      </c>
      <c r="B77" s="125">
        <f>Lista!A76</f>
        <v>0</v>
      </c>
      <c r="C77" s="125">
        <f>Lista!B76</f>
        <v>0</v>
      </c>
      <c r="D77" s="125">
        <f>Lista!C76</f>
        <v>0</v>
      </c>
      <c r="E77" s="125">
        <f>Lista!D76</f>
        <v>0</v>
      </c>
      <c r="F77" s="125">
        <f>Lista!E76</f>
        <v>0</v>
      </c>
      <c r="G77" s="125">
        <f>Lista!F76</f>
        <v>0</v>
      </c>
      <c r="H77" s="125">
        <f>Lista!G76</f>
        <v>0</v>
      </c>
      <c r="I77" s="125">
        <f>Lista!H76</f>
        <v>0</v>
      </c>
      <c r="J77" s="125">
        <f>Lista!I76</f>
        <v>0</v>
      </c>
      <c r="K77" s="125">
        <f>Lista!J76</f>
        <v>0</v>
      </c>
      <c r="L77" s="125">
        <f>Lista!K76</f>
        <v>0</v>
      </c>
      <c r="M77" s="125">
        <f>Lista!L76</f>
        <v>0</v>
      </c>
      <c r="N77" s="125">
        <f>Lista!M76</f>
        <v>0</v>
      </c>
      <c r="O77" s="125">
        <f>Lista!N76</f>
        <v>0</v>
      </c>
      <c r="P77" s="125">
        <f>Lista!O76</f>
        <v>0</v>
      </c>
      <c r="Q77" s="125">
        <f>Lista!P76</f>
        <v>0</v>
      </c>
      <c r="R77" s="125">
        <f>Lista!Q76</f>
        <v>0</v>
      </c>
      <c r="S77" s="125">
        <f>Lista!R76</f>
        <v>0</v>
      </c>
      <c r="T77" s="8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  <c r="BA77" s="81"/>
      <c r="BB77" s="81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81"/>
      <c r="CF77" s="81"/>
      <c r="CG77" s="81"/>
      <c r="CH77" s="81"/>
      <c r="CI77" s="81"/>
      <c r="CJ77" s="81"/>
      <c r="CK77" s="81"/>
      <c r="CL77" s="81"/>
      <c r="CM77" s="81"/>
      <c r="CN77" s="81"/>
      <c r="CO77" s="81"/>
      <c r="CP77" s="81"/>
      <c r="CQ77" s="81"/>
      <c r="CR77" s="81"/>
      <c r="CS77" s="81"/>
      <c r="CT77" s="81"/>
      <c r="CU77" s="81"/>
      <c r="CV77" s="81"/>
      <c r="CW77" s="81"/>
      <c r="CX77" s="81"/>
      <c r="CY77" s="81"/>
      <c r="CZ77" s="81"/>
      <c r="DA77" s="81"/>
      <c r="DB77" s="81"/>
      <c r="DC77" s="81"/>
      <c r="DD77" s="81"/>
      <c r="DE77" s="81"/>
      <c r="DF77" s="81"/>
      <c r="DG77" s="81"/>
      <c r="DH77" s="81"/>
      <c r="DI77" s="81"/>
      <c r="DJ77" s="81"/>
      <c r="DK77" s="81"/>
      <c r="DL77" s="81"/>
      <c r="DM77" s="81"/>
      <c r="DN77" s="81"/>
      <c r="DO77" s="81"/>
      <c r="DP77" s="81"/>
      <c r="DQ77" s="81"/>
      <c r="DR77" s="81"/>
      <c r="DS77" s="81"/>
      <c r="DT77" s="81"/>
      <c r="DU77" s="81"/>
      <c r="DV77" s="81"/>
      <c r="DW77" s="121"/>
    </row>
    <row r="78" spans="1:127" x14ac:dyDescent="0.25">
      <c r="A78" s="2">
        <f>COUNTIF($D$2:D78,'Reporte de Nomina'!$E$2)</f>
        <v>0</v>
      </c>
      <c r="B78" s="125">
        <f>Lista!A77</f>
        <v>0</v>
      </c>
      <c r="C78" s="125">
        <f>Lista!B77</f>
        <v>0</v>
      </c>
      <c r="D78" s="125">
        <f>Lista!C77</f>
        <v>0</v>
      </c>
      <c r="E78" s="125">
        <f>Lista!D77</f>
        <v>0</v>
      </c>
      <c r="F78" s="125">
        <f>Lista!E77</f>
        <v>0</v>
      </c>
      <c r="G78" s="125">
        <f>Lista!F77</f>
        <v>0</v>
      </c>
      <c r="H78" s="125">
        <f>Lista!G77</f>
        <v>0</v>
      </c>
      <c r="I78" s="125">
        <f>Lista!H77</f>
        <v>0</v>
      </c>
      <c r="J78" s="125">
        <f>Lista!I77</f>
        <v>0</v>
      </c>
      <c r="K78" s="125">
        <f>Lista!J77</f>
        <v>0</v>
      </c>
      <c r="L78" s="125">
        <f>Lista!K77</f>
        <v>0</v>
      </c>
      <c r="M78" s="125">
        <f>Lista!L77</f>
        <v>0</v>
      </c>
      <c r="N78" s="125">
        <f>Lista!M77</f>
        <v>0</v>
      </c>
      <c r="O78" s="125">
        <f>Lista!N77</f>
        <v>0</v>
      </c>
      <c r="P78" s="125">
        <f>Lista!O77</f>
        <v>0</v>
      </c>
      <c r="Q78" s="125">
        <f>Lista!P77</f>
        <v>0</v>
      </c>
      <c r="R78" s="125">
        <f>Lista!Q77</f>
        <v>0</v>
      </c>
      <c r="S78" s="125">
        <f>Lista!R77</f>
        <v>0</v>
      </c>
      <c r="T78" s="8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  <c r="BA78" s="81"/>
      <c r="BB78" s="81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81"/>
      <c r="CF78" s="81"/>
      <c r="CG78" s="81"/>
      <c r="CH78" s="81"/>
      <c r="CI78" s="81"/>
      <c r="CJ78" s="81"/>
      <c r="CK78" s="81"/>
      <c r="CL78" s="81"/>
      <c r="CM78" s="81"/>
      <c r="CN78" s="81"/>
      <c r="CO78" s="81"/>
      <c r="CP78" s="81"/>
      <c r="CQ78" s="81"/>
      <c r="CR78" s="81"/>
      <c r="CS78" s="81"/>
      <c r="CT78" s="81"/>
      <c r="CU78" s="81"/>
      <c r="CV78" s="81"/>
      <c r="CW78" s="81"/>
      <c r="CX78" s="81"/>
      <c r="CY78" s="81"/>
      <c r="CZ78" s="81"/>
      <c r="DA78" s="81"/>
      <c r="DB78" s="81"/>
      <c r="DC78" s="81"/>
      <c r="DD78" s="81"/>
      <c r="DE78" s="81"/>
      <c r="DF78" s="81"/>
      <c r="DG78" s="81"/>
      <c r="DH78" s="81"/>
      <c r="DI78" s="81"/>
      <c r="DJ78" s="81"/>
      <c r="DK78" s="81"/>
      <c r="DL78" s="81"/>
      <c r="DM78" s="81"/>
      <c r="DN78" s="81"/>
      <c r="DO78" s="81"/>
      <c r="DP78" s="81"/>
      <c r="DQ78" s="81"/>
      <c r="DR78" s="81"/>
      <c r="DS78" s="81"/>
      <c r="DT78" s="81"/>
      <c r="DU78" s="81"/>
      <c r="DV78" s="81"/>
      <c r="DW78" s="121"/>
    </row>
    <row r="79" spans="1:127" x14ac:dyDescent="0.25">
      <c r="A79" s="2">
        <f>COUNTIF($D$2:D79,'Reporte de Nomina'!$E$2)</f>
        <v>0</v>
      </c>
      <c r="B79" s="125">
        <f>Lista!A78</f>
        <v>0</v>
      </c>
      <c r="C79" s="125">
        <f>Lista!B78</f>
        <v>0</v>
      </c>
      <c r="D79" s="125">
        <f>Lista!C78</f>
        <v>0</v>
      </c>
      <c r="E79" s="125">
        <f>Lista!D78</f>
        <v>0</v>
      </c>
      <c r="F79" s="125">
        <f>Lista!E78</f>
        <v>0</v>
      </c>
      <c r="G79" s="125">
        <f>Lista!F78</f>
        <v>0</v>
      </c>
      <c r="H79" s="125">
        <f>Lista!G78</f>
        <v>0</v>
      </c>
      <c r="I79" s="125">
        <f>Lista!H78</f>
        <v>0</v>
      </c>
      <c r="J79" s="125">
        <f>Lista!I78</f>
        <v>0</v>
      </c>
      <c r="K79" s="125">
        <f>Lista!J78</f>
        <v>0</v>
      </c>
      <c r="L79" s="125">
        <f>Lista!K78</f>
        <v>0</v>
      </c>
      <c r="M79" s="125">
        <f>Lista!L78</f>
        <v>0</v>
      </c>
      <c r="N79" s="125">
        <f>Lista!M78</f>
        <v>0</v>
      </c>
      <c r="O79" s="125">
        <f>Lista!N78</f>
        <v>0</v>
      </c>
      <c r="P79" s="125">
        <f>Lista!O78</f>
        <v>0</v>
      </c>
      <c r="Q79" s="125">
        <f>Lista!P78</f>
        <v>0</v>
      </c>
      <c r="R79" s="125">
        <f>Lista!Q78</f>
        <v>0</v>
      </c>
      <c r="S79" s="125">
        <f>Lista!R78</f>
        <v>0</v>
      </c>
      <c r="T79" s="8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  <c r="BA79" s="81"/>
      <c r="BB79" s="81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81"/>
      <c r="CF79" s="81"/>
      <c r="CG79" s="81"/>
      <c r="CH79" s="81"/>
      <c r="CI79" s="81"/>
      <c r="CJ79" s="81"/>
      <c r="CK79" s="81"/>
      <c r="CL79" s="81"/>
      <c r="CM79" s="81"/>
      <c r="CN79" s="81"/>
      <c r="CO79" s="81"/>
      <c r="CP79" s="81"/>
      <c r="CQ79" s="81"/>
      <c r="CR79" s="81"/>
      <c r="CS79" s="81"/>
      <c r="CT79" s="81"/>
      <c r="CU79" s="81"/>
      <c r="CV79" s="81"/>
      <c r="CW79" s="81"/>
      <c r="CX79" s="81"/>
      <c r="CY79" s="81"/>
      <c r="CZ79" s="81"/>
      <c r="DA79" s="81"/>
      <c r="DB79" s="81"/>
      <c r="DC79" s="81"/>
      <c r="DD79" s="81"/>
      <c r="DE79" s="81"/>
      <c r="DF79" s="81"/>
      <c r="DG79" s="81"/>
      <c r="DH79" s="81"/>
      <c r="DI79" s="81"/>
      <c r="DJ79" s="81"/>
      <c r="DK79" s="81"/>
      <c r="DL79" s="81"/>
      <c r="DM79" s="81"/>
      <c r="DN79" s="81"/>
      <c r="DO79" s="81"/>
      <c r="DP79" s="81"/>
      <c r="DQ79" s="81"/>
      <c r="DR79" s="81"/>
      <c r="DS79" s="81"/>
      <c r="DT79" s="81"/>
      <c r="DU79" s="81"/>
      <c r="DV79" s="81"/>
      <c r="DW79" s="121"/>
    </row>
    <row r="80" spans="1:127" x14ac:dyDescent="0.25">
      <c r="A80" s="2">
        <f>COUNTIF($D$2:D80,'Reporte de Nomina'!$E$2)</f>
        <v>0</v>
      </c>
      <c r="B80" s="125">
        <f>Lista!A79</f>
        <v>0</v>
      </c>
      <c r="C80" s="125">
        <f>Lista!B79</f>
        <v>0</v>
      </c>
      <c r="D80" s="125">
        <f>Lista!C79</f>
        <v>0</v>
      </c>
      <c r="E80" s="125">
        <f>Lista!D79</f>
        <v>0</v>
      </c>
      <c r="F80" s="125">
        <f>Lista!E79</f>
        <v>0</v>
      </c>
      <c r="G80" s="125">
        <f>Lista!F79</f>
        <v>0</v>
      </c>
      <c r="H80" s="125">
        <f>Lista!G79</f>
        <v>0</v>
      </c>
      <c r="I80" s="125">
        <f>Lista!H79</f>
        <v>0</v>
      </c>
      <c r="J80" s="125">
        <f>Lista!I79</f>
        <v>0</v>
      </c>
      <c r="K80" s="125">
        <f>Lista!J79</f>
        <v>0</v>
      </c>
      <c r="L80" s="125">
        <f>Lista!K79</f>
        <v>0</v>
      </c>
      <c r="M80" s="125">
        <f>Lista!L79</f>
        <v>0</v>
      </c>
      <c r="N80" s="125">
        <f>Lista!M79</f>
        <v>0</v>
      </c>
      <c r="O80" s="125">
        <f>Lista!N79</f>
        <v>0</v>
      </c>
      <c r="P80" s="125">
        <f>Lista!O79</f>
        <v>0</v>
      </c>
      <c r="Q80" s="125">
        <f>Lista!P79</f>
        <v>0</v>
      </c>
      <c r="R80" s="125">
        <f>Lista!Q79</f>
        <v>0</v>
      </c>
      <c r="S80" s="125">
        <f>Lista!R79</f>
        <v>0</v>
      </c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  <c r="BA80" s="81"/>
      <c r="BB80" s="81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81"/>
      <c r="CF80" s="81"/>
      <c r="CG80" s="81"/>
      <c r="CH80" s="81"/>
      <c r="CI80" s="81"/>
      <c r="CJ80" s="81"/>
      <c r="CK80" s="81"/>
      <c r="CL80" s="81"/>
      <c r="CM80" s="81"/>
      <c r="CN80" s="81"/>
      <c r="CO80" s="81"/>
      <c r="CP80" s="81"/>
      <c r="CQ80" s="81"/>
      <c r="CR80" s="81"/>
      <c r="CS80" s="81"/>
      <c r="CT80" s="81"/>
      <c r="CU80" s="81"/>
      <c r="CV80" s="81"/>
      <c r="CW80" s="81"/>
      <c r="CX80" s="81"/>
      <c r="CY80" s="81"/>
      <c r="CZ80" s="81"/>
      <c r="DA80" s="81"/>
      <c r="DB80" s="81"/>
      <c r="DC80" s="81"/>
      <c r="DD80" s="81"/>
      <c r="DE80" s="81"/>
      <c r="DF80" s="81"/>
      <c r="DG80" s="81"/>
      <c r="DH80" s="81"/>
      <c r="DI80" s="81"/>
      <c r="DJ80" s="81"/>
      <c r="DK80" s="81"/>
      <c r="DL80" s="81"/>
      <c r="DM80" s="81"/>
      <c r="DN80" s="81"/>
      <c r="DO80" s="81"/>
      <c r="DP80" s="81"/>
      <c r="DQ80" s="81"/>
      <c r="DR80" s="81"/>
      <c r="DS80" s="81"/>
      <c r="DT80" s="81"/>
      <c r="DU80" s="81"/>
      <c r="DV80" s="81"/>
      <c r="DW80" s="121"/>
    </row>
    <row r="81" spans="1:127" x14ac:dyDescent="0.25">
      <c r="A81" s="2">
        <f>COUNTIF($D$2:D81,'Reporte de Nomina'!$E$2)</f>
        <v>0</v>
      </c>
      <c r="B81" s="125">
        <f>Lista!A80</f>
        <v>0</v>
      </c>
      <c r="C81" s="125">
        <f>Lista!B80</f>
        <v>0</v>
      </c>
      <c r="D81" s="125">
        <f>Lista!C80</f>
        <v>0</v>
      </c>
      <c r="E81" s="125">
        <f>Lista!D80</f>
        <v>0</v>
      </c>
      <c r="F81" s="125">
        <f>Lista!E80</f>
        <v>0</v>
      </c>
      <c r="G81" s="125">
        <f>Lista!F80</f>
        <v>0</v>
      </c>
      <c r="H81" s="125">
        <f>Lista!G80</f>
        <v>0</v>
      </c>
      <c r="I81" s="125">
        <f>Lista!H80</f>
        <v>0</v>
      </c>
      <c r="J81" s="125">
        <f>Lista!I80</f>
        <v>0</v>
      </c>
      <c r="K81" s="125">
        <f>Lista!J80</f>
        <v>0</v>
      </c>
      <c r="L81" s="125">
        <f>Lista!K80</f>
        <v>0</v>
      </c>
      <c r="M81" s="125">
        <f>Lista!L80</f>
        <v>0</v>
      </c>
      <c r="N81" s="125">
        <f>Lista!M80</f>
        <v>0</v>
      </c>
      <c r="O81" s="125">
        <f>Lista!N80</f>
        <v>0</v>
      </c>
      <c r="P81" s="125">
        <f>Lista!O80</f>
        <v>0</v>
      </c>
      <c r="Q81" s="125">
        <f>Lista!P80</f>
        <v>0</v>
      </c>
      <c r="R81" s="125">
        <f>Lista!Q80</f>
        <v>0</v>
      </c>
      <c r="S81" s="125">
        <f>Lista!R80</f>
        <v>0</v>
      </c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  <c r="BA81" s="81"/>
      <c r="BB81" s="81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81"/>
      <c r="CF81" s="81"/>
      <c r="CG81" s="81"/>
      <c r="CH81" s="81"/>
      <c r="CI81" s="81"/>
      <c r="CJ81" s="81"/>
      <c r="CK81" s="81"/>
      <c r="CL81" s="81"/>
      <c r="CM81" s="81"/>
      <c r="CN81" s="81"/>
      <c r="CO81" s="81"/>
      <c r="CP81" s="81"/>
      <c r="CQ81" s="81"/>
      <c r="CR81" s="81"/>
      <c r="CS81" s="81"/>
      <c r="CT81" s="81"/>
      <c r="CU81" s="81"/>
      <c r="CV81" s="81"/>
      <c r="CW81" s="81"/>
      <c r="CX81" s="81"/>
      <c r="CY81" s="81"/>
      <c r="CZ81" s="81"/>
      <c r="DA81" s="81"/>
      <c r="DB81" s="81"/>
      <c r="DC81" s="81"/>
      <c r="DD81" s="81"/>
      <c r="DE81" s="81"/>
      <c r="DF81" s="81"/>
      <c r="DG81" s="81"/>
      <c r="DH81" s="81"/>
      <c r="DI81" s="81"/>
      <c r="DJ81" s="81"/>
      <c r="DK81" s="81"/>
      <c r="DL81" s="81"/>
      <c r="DM81" s="81"/>
      <c r="DN81" s="81"/>
      <c r="DO81" s="81"/>
      <c r="DP81" s="81"/>
      <c r="DQ81" s="81"/>
      <c r="DR81" s="81"/>
      <c r="DS81" s="81"/>
      <c r="DT81" s="81"/>
      <c r="DU81" s="81"/>
      <c r="DV81" s="81"/>
      <c r="DW81" s="121"/>
    </row>
    <row r="82" spans="1:127" x14ac:dyDescent="0.25">
      <c r="A82" s="2">
        <f>COUNTIF($D$2:D82,'Reporte de Nomina'!$E$2)</f>
        <v>0</v>
      </c>
      <c r="B82" s="125">
        <f>Lista!A81</f>
        <v>0</v>
      </c>
      <c r="C82" s="125">
        <f>Lista!B81</f>
        <v>0</v>
      </c>
      <c r="D82" s="125">
        <f>Lista!C81</f>
        <v>0</v>
      </c>
      <c r="E82" s="125">
        <f>Lista!D81</f>
        <v>0</v>
      </c>
      <c r="F82" s="125">
        <f>Lista!E81</f>
        <v>0</v>
      </c>
      <c r="G82" s="125">
        <f>Lista!F81</f>
        <v>0</v>
      </c>
      <c r="H82" s="125">
        <f>Lista!G81</f>
        <v>0</v>
      </c>
      <c r="I82" s="125">
        <f>Lista!H81</f>
        <v>0</v>
      </c>
      <c r="J82" s="125">
        <f>Lista!I81</f>
        <v>0</v>
      </c>
      <c r="K82" s="125">
        <f>Lista!J81</f>
        <v>0</v>
      </c>
      <c r="L82" s="125">
        <f>Lista!K81</f>
        <v>0</v>
      </c>
      <c r="M82" s="125">
        <f>Lista!L81</f>
        <v>0</v>
      </c>
      <c r="N82" s="125">
        <f>Lista!M81</f>
        <v>0</v>
      </c>
      <c r="O82" s="125">
        <f>Lista!N81</f>
        <v>0</v>
      </c>
      <c r="P82" s="125">
        <f>Lista!O81</f>
        <v>0</v>
      </c>
      <c r="Q82" s="125">
        <f>Lista!P81</f>
        <v>0</v>
      </c>
      <c r="R82" s="125">
        <f>Lista!Q81</f>
        <v>0</v>
      </c>
      <c r="S82" s="125">
        <f>Lista!R81</f>
        <v>0</v>
      </c>
      <c r="T82" s="8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  <c r="BA82" s="81"/>
      <c r="BB82" s="81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81"/>
      <c r="CF82" s="81"/>
      <c r="CG82" s="81"/>
      <c r="CH82" s="81"/>
      <c r="CI82" s="81"/>
      <c r="CJ82" s="81"/>
      <c r="CK82" s="81"/>
      <c r="CL82" s="81"/>
      <c r="CM82" s="81"/>
      <c r="CN82" s="81"/>
      <c r="CO82" s="81"/>
      <c r="CP82" s="81"/>
      <c r="CQ82" s="81"/>
      <c r="CR82" s="81"/>
      <c r="CS82" s="81"/>
      <c r="CT82" s="81"/>
      <c r="CU82" s="81"/>
      <c r="CV82" s="81"/>
      <c r="CW82" s="81"/>
      <c r="CX82" s="81"/>
      <c r="CY82" s="81"/>
      <c r="CZ82" s="81"/>
      <c r="DA82" s="81"/>
      <c r="DB82" s="81"/>
      <c r="DC82" s="81"/>
      <c r="DD82" s="81"/>
      <c r="DE82" s="81"/>
      <c r="DF82" s="81"/>
      <c r="DG82" s="81"/>
      <c r="DH82" s="81"/>
      <c r="DI82" s="81"/>
      <c r="DJ82" s="81"/>
      <c r="DK82" s="81"/>
      <c r="DL82" s="81"/>
      <c r="DM82" s="81"/>
      <c r="DN82" s="81"/>
      <c r="DO82" s="81"/>
      <c r="DP82" s="81"/>
      <c r="DQ82" s="81"/>
      <c r="DR82" s="81"/>
      <c r="DS82" s="81"/>
      <c r="DT82" s="81"/>
      <c r="DU82" s="81"/>
      <c r="DV82" s="81"/>
      <c r="DW82" s="121"/>
    </row>
    <row r="83" spans="1:127" x14ac:dyDescent="0.25">
      <c r="A83" s="2">
        <f>COUNTIF($D$2:D83,'Reporte de Nomina'!$E$2)</f>
        <v>0</v>
      </c>
      <c r="B83" s="125">
        <f>Lista!A82</f>
        <v>0</v>
      </c>
      <c r="C83" s="125">
        <f>Lista!B82</f>
        <v>0</v>
      </c>
      <c r="D83" s="125">
        <f>Lista!C82</f>
        <v>0</v>
      </c>
      <c r="E83" s="125">
        <f>Lista!D82</f>
        <v>0</v>
      </c>
      <c r="F83" s="125">
        <f>Lista!E82</f>
        <v>0</v>
      </c>
      <c r="G83" s="125">
        <f>Lista!F82</f>
        <v>0</v>
      </c>
      <c r="H83" s="125">
        <f>Lista!G82</f>
        <v>0</v>
      </c>
      <c r="I83" s="125">
        <f>Lista!H82</f>
        <v>0</v>
      </c>
      <c r="J83" s="125">
        <f>Lista!I82</f>
        <v>0</v>
      </c>
      <c r="K83" s="125">
        <f>Lista!J82</f>
        <v>0</v>
      </c>
      <c r="L83" s="125">
        <f>Lista!K82</f>
        <v>0</v>
      </c>
      <c r="M83" s="125">
        <f>Lista!L82</f>
        <v>0</v>
      </c>
      <c r="N83" s="125">
        <f>Lista!M82</f>
        <v>0</v>
      </c>
      <c r="O83" s="125">
        <f>Lista!N82</f>
        <v>0</v>
      </c>
      <c r="P83" s="125">
        <f>Lista!O82</f>
        <v>0</v>
      </c>
      <c r="Q83" s="125">
        <f>Lista!P82</f>
        <v>0</v>
      </c>
      <c r="R83" s="125">
        <f>Lista!Q82</f>
        <v>0</v>
      </c>
      <c r="S83" s="125">
        <f>Lista!R82</f>
        <v>0</v>
      </c>
      <c r="T83" s="81"/>
      <c r="U83" s="81"/>
      <c r="V83" s="81"/>
      <c r="W83" s="81"/>
      <c r="X83" s="81"/>
      <c r="Y83" s="8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  <c r="BA83" s="81"/>
      <c r="BB83" s="81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81"/>
      <c r="CF83" s="81"/>
      <c r="CG83" s="81"/>
      <c r="CH83" s="81"/>
      <c r="CI83" s="81"/>
      <c r="CJ83" s="81"/>
      <c r="CK83" s="81"/>
      <c r="CL83" s="81"/>
      <c r="CM83" s="81"/>
      <c r="CN83" s="81"/>
      <c r="CO83" s="81"/>
      <c r="CP83" s="81"/>
      <c r="CQ83" s="81"/>
      <c r="CR83" s="81"/>
      <c r="CS83" s="81"/>
      <c r="CT83" s="81"/>
      <c r="CU83" s="81"/>
      <c r="CV83" s="81"/>
      <c r="CW83" s="81"/>
      <c r="CX83" s="81"/>
      <c r="CY83" s="81"/>
      <c r="CZ83" s="81"/>
      <c r="DA83" s="81"/>
      <c r="DB83" s="81"/>
      <c r="DC83" s="81"/>
      <c r="DD83" s="81"/>
      <c r="DE83" s="81"/>
      <c r="DF83" s="81"/>
      <c r="DG83" s="81"/>
      <c r="DH83" s="81"/>
      <c r="DI83" s="81"/>
      <c r="DJ83" s="81"/>
      <c r="DK83" s="81"/>
      <c r="DL83" s="81"/>
      <c r="DM83" s="81"/>
      <c r="DN83" s="81"/>
      <c r="DO83" s="81"/>
      <c r="DP83" s="81"/>
      <c r="DQ83" s="81"/>
      <c r="DR83" s="81"/>
      <c r="DS83" s="81"/>
      <c r="DT83" s="81"/>
      <c r="DU83" s="81"/>
      <c r="DV83" s="81"/>
      <c r="DW83" s="121"/>
    </row>
    <row r="84" spans="1:127" x14ac:dyDescent="0.25">
      <c r="A84" s="2">
        <f>COUNTIF($D$2:D84,'Reporte de Nomina'!$E$2)</f>
        <v>0</v>
      </c>
      <c r="B84" s="125">
        <f>Lista!A83</f>
        <v>0</v>
      </c>
      <c r="C84" s="125">
        <f>Lista!B83</f>
        <v>0</v>
      </c>
      <c r="D84" s="125">
        <f>Lista!C83</f>
        <v>0</v>
      </c>
      <c r="E84" s="125">
        <f>Lista!D83</f>
        <v>0</v>
      </c>
      <c r="F84" s="125">
        <f>Lista!E83</f>
        <v>0</v>
      </c>
      <c r="G84" s="125">
        <f>Lista!F83</f>
        <v>0</v>
      </c>
      <c r="H84" s="125">
        <f>Lista!G83</f>
        <v>0</v>
      </c>
      <c r="I84" s="125">
        <f>Lista!H83</f>
        <v>0</v>
      </c>
      <c r="J84" s="125">
        <f>Lista!I83</f>
        <v>0</v>
      </c>
      <c r="K84" s="125">
        <f>Lista!J83</f>
        <v>0</v>
      </c>
      <c r="L84" s="125">
        <f>Lista!K83</f>
        <v>0</v>
      </c>
      <c r="M84" s="125">
        <f>Lista!L83</f>
        <v>0</v>
      </c>
      <c r="N84" s="125">
        <f>Lista!M83</f>
        <v>0</v>
      </c>
      <c r="O84" s="125">
        <f>Lista!N83</f>
        <v>0</v>
      </c>
      <c r="P84" s="125">
        <f>Lista!O83</f>
        <v>0</v>
      </c>
      <c r="Q84" s="125">
        <f>Lista!P83</f>
        <v>0</v>
      </c>
      <c r="R84" s="125">
        <f>Lista!Q83</f>
        <v>0</v>
      </c>
      <c r="S84" s="125">
        <f>Lista!R83</f>
        <v>0</v>
      </c>
      <c r="T84" s="81"/>
      <c r="U84" s="81"/>
      <c r="V84" s="81"/>
      <c r="W84" s="81"/>
      <c r="X84" s="81"/>
      <c r="Y84" s="8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AK84" s="81"/>
      <c r="AL84" s="81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  <c r="BA84" s="81"/>
      <c r="BB84" s="81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81"/>
      <c r="CF84" s="81"/>
      <c r="CG84" s="81"/>
      <c r="CH84" s="81"/>
      <c r="CI84" s="81"/>
      <c r="CJ84" s="81"/>
      <c r="CK84" s="81"/>
      <c r="CL84" s="81"/>
      <c r="CM84" s="81"/>
      <c r="CN84" s="81"/>
      <c r="CO84" s="81"/>
      <c r="CP84" s="81"/>
      <c r="CQ84" s="81"/>
      <c r="CR84" s="81"/>
      <c r="CS84" s="81"/>
      <c r="CT84" s="81"/>
      <c r="CU84" s="81"/>
      <c r="CV84" s="81"/>
      <c r="CW84" s="81"/>
      <c r="CX84" s="81"/>
      <c r="CY84" s="81"/>
      <c r="CZ84" s="81"/>
      <c r="DA84" s="81"/>
      <c r="DB84" s="81"/>
      <c r="DC84" s="81"/>
      <c r="DD84" s="81"/>
      <c r="DE84" s="81"/>
      <c r="DF84" s="81"/>
      <c r="DG84" s="81"/>
      <c r="DH84" s="81"/>
      <c r="DI84" s="81"/>
      <c r="DJ84" s="81"/>
      <c r="DK84" s="81"/>
      <c r="DL84" s="81"/>
      <c r="DM84" s="81"/>
      <c r="DN84" s="81"/>
      <c r="DO84" s="81"/>
      <c r="DP84" s="81"/>
      <c r="DQ84" s="81"/>
      <c r="DR84" s="81"/>
      <c r="DS84" s="81"/>
      <c r="DT84" s="81"/>
      <c r="DU84" s="81"/>
      <c r="DV84" s="81"/>
      <c r="DW84" s="121"/>
    </row>
    <row r="85" spans="1:127" x14ac:dyDescent="0.25">
      <c r="A85" s="2">
        <f>COUNTIF($D$2:D85,'Reporte de Nomina'!$E$2)</f>
        <v>0</v>
      </c>
      <c r="B85" s="125">
        <f>Lista!A84</f>
        <v>0</v>
      </c>
      <c r="C85" s="125">
        <f>Lista!B84</f>
        <v>0</v>
      </c>
      <c r="D85" s="125">
        <f>Lista!C84</f>
        <v>0</v>
      </c>
      <c r="E85" s="125">
        <f>Lista!D84</f>
        <v>0</v>
      </c>
      <c r="F85" s="125">
        <f>Lista!E84</f>
        <v>0</v>
      </c>
      <c r="G85" s="125">
        <f>Lista!F84</f>
        <v>0</v>
      </c>
      <c r="H85" s="125">
        <f>Lista!G84</f>
        <v>0</v>
      </c>
      <c r="I85" s="125">
        <f>Lista!H84</f>
        <v>0</v>
      </c>
      <c r="J85" s="125">
        <f>Lista!I84</f>
        <v>0</v>
      </c>
      <c r="K85" s="125">
        <f>Lista!J84</f>
        <v>0</v>
      </c>
      <c r="L85" s="125">
        <f>Lista!K84</f>
        <v>0</v>
      </c>
      <c r="M85" s="125">
        <f>Lista!L84</f>
        <v>0</v>
      </c>
      <c r="N85" s="125">
        <f>Lista!M84</f>
        <v>0</v>
      </c>
      <c r="O85" s="125">
        <f>Lista!N84</f>
        <v>0</v>
      </c>
      <c r="P85" s="125">
        <f>Lista!O84</f>
        <v>0</v>
      </c>
      <c r="Q85" s="125">
        <f>Lista!P84</f>
        <v>0</v>
      </c>
      <c r="R85" s="125">
        <f>Lista!Q84</f>
        <v>0</v>
      </c>
      <c r="S85" s="125">
        <f>Lista!R84</f>
        <v>0</v>
      </c>
      <c r="T85" s="81"/>
      <c r="U85" s="81"/>
      <c r="V85" s="81"/>
      <c r="W85" s="81"/>
      <c r="X85" s="81"/>
      <c r="Y85" s="81"/>
      <c r="Z85" s="81"/>
      <c r="AA85" s="81"/>
      <c r="AB85" s="81"/>
      <c r="AC85" s="81"/>
      <c r="AD85" s="81"/>
      <c r="AE85" s="81"/>
      <c r="AF85" s="81"/>
      <c r="AG85" s="81"/>
      <c r="AH85" s="81"/>
      <c r="AI85" s="81"/>
      <c r="AJ85" s="81"/>
      <c r="AK85" s="81"/>
      <c r="AL85" s="81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  <c r="BA85" s="81"/>
      <c r="BB85" s="81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81"/>
      <c r="CF85" s="81"/>
      <c r="CG85" s="81"/>
      <c r="CH85" s="81"/>
      <c r="CI85" s="81"/>
      <c r="CJ85" s="81"/>
      <c r="CK85" s="81"/>
      <c r="CL85" s="81"/>
      <c r="CM85" s="81"/>
      <c r="CN85" s="81"/>
      <c r="CO85" s="81"/>
      <c r="CP85" s="81"/>
      <c r="CQ85" s="81"/>
      <c r="CR85" s="81"/>
      <c r="CS85" s="81"/>
      <c r="CT85" s="81"/>
      <c r="CU85" s="81"/>
      <c r="CV85" s="81"/>
      <c r="CW85" s="81"/>
      <c r="CX85" s="81"/>
      <c r="CY85" s="81"/>
      <c r="CZ85" s="81"/>
      <c r="DA85" s="81"/>
      <c r="DB85" s="81"/>
      <c r="DC85" s="81"/>
      <c r="DD85" s="81"/>
      <c r="DE85" s="81"/>
      <c r="DF85" s="81"/>
      <c r="DG85" s="81"/>
      <c r="DH85" s="81"/>
      <c r="DI85" s="81"/>
      <c r="DJ85" s="81"/>
      <c r="DK85" s="81"/>
      <c r="DL85" s="81"/>
      <c r="DM85" s="81"/>
      <c r="DN85" s="81"/>
      <c r="DO85" s="81"/>
      <c r="DP85" s="81"/>
      <c r="DQ85" s="81"/>
      <c r="DR85" s="81"/>
      <c r="DS85" s="81"/>
      <c r="DT85" s="81"/>
      <c r="DU85" s="81"/>
      <c r="DV85" s="81"/>
      <c r="DW85" s="121"/>
    </row>
    <row r="86" spans="1:127" x14ac:dyDescent="0.25">
      <c r="A86" s="2">
        <f>COUNTIF($D$2:D86,'Reporte de Nomina'!$E$2)</f>
        <v>0</v>
      </c>
      <c r="B86" s="125">
        <f>Lista!A85</f>
        <v>0</v>
      </c>
      <c r="C86" s="125">
        <f>Lista!B85</f>
        <v>0</v>
      </c>
      <c r="D86" s="125">
        <f>Lista!C85</f>
        <v>0</v>
      </c>
      <c r="E86" s="125">
        <f>Lista!D85</f>
        <v>0</v>
      </c>
      <c r="F86" s="125">
        <f>Lista!E85</f>
        <v>0</v>
      </c>
      <c r="G86" s="125">
        <f>Lista!F85</f>
        <v>0</v>
      </c>
      <c r="H86" s="125">
        <f>Lista!G85</f>
        <v>0</v>
      </c>
      <c r="I86" s="125">
        <f>Lista!H85</f>
        <v>0</v>
      </c>
      <c r="J86" s="125">
        <f>Lista!I85</f>
        <v>0</v>
      </c>
      <c r="K86" s="125">
        <f>Lista!J85</f>
        <v>0</v>
      </c>
      <c r="L86" s="125">
        <f>Lista!K85</f>
        <v>0</v>
      </c>
      <c r="M86" s="125">
        <f>Lista!L85</f>
        <v>0</v>
      </c>
      <c r="N86" s="125">
        <f>Lista!M85</f>
        <v>0</v>
      </c>
      <c r="O86" s="125">
        <f>Lista!N85</f>
        <v>0</v>
      </c>
      <c r="P86" s="125">
        <f>Lista!O85</f>
        <v>0</v>
      </c>
      <c r="Q86" s="125">
        <f>Lista!P85</f>
        <v>0</v>
      </c>
      <c r="R86" s="125">
        <f>Lista!Q85</f>
        <v>0</v>
      </c>
      <c r="S86" s="125">
        <f>Lista!R85</f>
        <v>0</v>
      </c>
      <c r="T86" s="81"/>
      <c r="U86" s="81"/>
      <c r="V86" s="81"/>
      <c r="W86" s="81"/>
      <c r="X86" s="81"/>
      <c r="Y86" s="81"/>
      <c r="Z86" s="81"/>
      <c r="AA86" s="81"/>
      <c r="AB86" s="81"/>
      <c r="AC86" s="81"/>
      <c r="AD86" s="81"/>
      <c r="AE86" s="81"/>
      <c r="AF86" s="81"/>
      <c r="AG86" s="81"/>
      <c r="AH86" s="81"/>
      <c r="AI86" s="81"/>
      <c r="AJ86" s="81"/>
      <c r="AK86" s="81"/>
      <c r="AL86" s="81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  <c r="BA86" s="81"/>
      <c r="BB86" s="81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81"/>
      <c r="CF86" s="81"/>
      <c r="CG86" s="81"/>
      <c r="CH86" s="81"/>
      <c r="CI86" s="81"/>
      <c r="CJ86" s="81"/>
      <c r="CK86" s="81"/>
      <c r="CL86" s="81"/>
      <c r="CM86" s="81"/>
      <c r="CN86" s="81"/>
      <c r="CO86" s="81"/>
      <c r="CP86" s="81"/>
      <c r="CQ86" s="81"/>
      <c r="CR86" s="81"/>
      <c r="CS86" s="81"/>
      <c r="CT86" s="81"/>
      <c r="CU86" s="81"/>
      <c r="CV86" s="81"/>
      <c r="CW86" s="81"/>
      <c r="CX86" s="81"/>
      <c r="CY86" s="81"/>
      <c r="CZ86" s="81"/>
      <c r="DA86" s="81"/>
      <c r="DB86" s="81"/>
      <c r="DC86" s="81"/>
      <c r="DD86" s="81"/>
      <c r="DE86" s="81"/>
      <c r="DF86" s="81"/>
      <c r="DG86" s="81"/>
      <c r="DH86" s="81"/>
      <c r="DI86" s="81"/>
      <c r="DJ86" s="81"/>
      <c r="DK86" s="81"/>
      <c r="DL86" s="81"/>
      <c r="DM86" s="81"/>
      <c r="DN86" s="81"/>
      <c r="DO86" s="81"/>
      <c r="DP86" s="81"/>
      <c r="DQ86" s="81"/>
      <c r="DR86" s="81"/>
      <c r="DS86" s="81"/>
      <c r="DT86" s="81"/>
      <c r="DU86" s="81"/>
      <c r="DV86" s="81"/>
      <c r="DW86" s="121"/>
    </row>
    <row r="87" spans="1:127" x14ac:dyDescent="0.25">
      <c r="A87" s="2">
        <f>COUNTIF($D$2:D87,'Reporte de Nomina'!$E$2)</f>
        <v>0</v>
      </c>
      <c r="B87" s="125">
        <f>Lista!A86</f>
        <v>0</v>
      </c>
      <c r="C87" s="125">
        <f>Lista!B86</f>
        <v>0</v>
      </c>
      <c r="D87" s="125">
        <f>Lista!C86</f>
        <v>0</v>
      </c>
      <c r="E87" s="125">
        <f>Lista!D86</f>
        <v>0</v>
      </c>
      <c r="F87" s="125">
        <f>Lista!E86</f>
        <v>0</v>
      </c>
      <c r="G87" s="125">
        <f>Lista!F86</f>
        <v>0</v>
      </c>
      <c r="H87" s="125">
        <f>Lista!G86</f>
        <v>0</v>
      </c>
      <c r="I87" s="125">
        <f>Lista!H86</f>
        <v>0</v>
      </c>
      <c r="J87" s="125">
        <f>Lista!I86</f>
        <v>0</v>
      </c>
      <c r="K87" s="125">
        <f>Lista!J86</f>
        <v>0</v>
      </c>
      <c r="L87" s="125">
        <f>Lista!K86</f>
        <v>0</v>
      </c>
      <c r="M87" s="125">
        <f>Lista!L86</f>
        <v>0</v>
      </c>
      <c r="N87" s="125">
        <f>Lista!M86</f>
        <v>0</v>
      </c>
      <c r="O87" s="125">
        <f>Lista!N86</f>
        <v>0</v>
      </c>
      <c r="P87" s="125">
        <f>Lista!O86</f>
        <v>0</v>
      </c>
      <c r="Q87" s="125">
        <f>Lista!P86</f>
        <v>0</v>
      </c>
      <c r="R87" s="125">
        <f>Lista!Q86</f>
        <v>0</v>
      </c>
      <c r="S87" s="125">
        <f>Lista!R86</f>
        <v>0</v>
      </c>
      <c r="T87" s="81"/>
      <c r="U87" s="81"/>
      <c r="V87" s="81"/>
      <c r="W87" s="81"/>
      <c r="X87" s="81"/>
      <c r="Y87" s="81"/>
      <c r="Z87" s="81"/>
      <c r="AA87" s="81"/>
      <c r="AB87" s="81"/>
      <c r="AC87" s="81"/>
      <c r="AD87" s="81"/>
      <c r="AE87" s="81"/>
      <c r="AF87" s="81"/>
      <c r="AG87" s="81"/>
      <c r="AH87" s="81"/>
      <c r="AI87" s="81"/>
      <c r="AJ87" s="81"/>
      <c r="AK87" s="81"/>
      <c r="AL87" s="81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  <c r="BA87" s="81"/>
      <c r="BB87" s="81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81"/>
      <c r="CF87" s="81"/>
      <c r="CG87" s="81"/>
      <c r="CH87" s="81"/>
      <c r="CI87" s="81"/>
      <c r="CJ87" s="81"/>
      <c r="CK87" s="81"/>
      <c r="CL87" s="81"/>
      <c r="CM87" s="81"/>
      <c r="CN87" s="81"/>
      <c r="CO87" s="81"/>
      <c r="CP87" s="81"/>
      <c r="CQ87" s="81"/>
      <c r="CR87" s="81"/>
      <c r="CS87" s="81"/>
      <c r="CT87" s="81"/>
      <c r="CU87" s="81"/>
      <c r="CV87" s="81"/>
      <c r="CW87" s="81"/>
      <c r="CX87" s="81"/>
      <c r="CY87" s="81"/>
      <c r="CZ87" s="81"/>
      <c r="DA87" s="81"/>
      <c r="DB87" s="81"/>
      <c r="DC87" s="81"/>
      <c r="DD87" s="81"/>
      <c r="DE87" s="81"/>
      <c r="DF87" s="81"/>
      <c r="DG87" s="81"/>
      <c r="DH87" s="81"/>
      <c r="DI87" s="81"/>
      <c r="DJ87" s="81"/>
      <c r="DK87" s="81"/>
      <c r="DL87" s="81"/>
      <c r="DM87" s="81"/>
      <c r="DN87" s="81"/>
      <c r="DO87" s="81"/>
      <c r="DP87" s="81"/>
      <c r="DQ87" s="81"/>
      <c r="DR87" s="81"/>
      <c r="DS87" s="81"/>
      <c r="DT87" s="81"/>
      <c r="DU87" s="81"/>
      <c r="DV87" s="81"/>
      <c r="DW87" s="121"/>
    </row>
    <row r="88" spans="1:127" x14ac:dyDescent="0.25">
      <c r="A88" s="2">
        <f>COUNTIF($D$2:D88,'Reporte de Nomina'!$E$2)</f>
        <v>0</v>
      </c>
      <c r="B88" s="125">
        <f>Lista!A87</f>
        <v>0</v>
      </c>
      <c r="C88" s="125">
        <f>Lista!B87</f>
        <v>0</v>
      </c>
      <c r="D88" s="125">
        <f>Lista!C87</f>
        <v>0</v>
      </c>
      <c r="E88" s="125">
        <f>Lista!D87</f>
        <v>0</v>
      </c>
      <c r="F88" s="125">
        <f>Lista!E87</f>
        <v>0</v>
      </c>
      <c r="G88" s="125">
        <f>Lista!F87</f>
        <v>0</v>
      </c>
      <c r="H88" s="125">
        <f>Lista!G87</f>
        <v>0</v>
      </c>
      <c r="I88" s="125">
        <f>Lista!H87</f>
        <v>0</v>
      </c>
      <c r="J88" s="125">
        <f>Lista!I87</f>
        <v>0</v>
      </c>
      <c r="K88" s="125">
        <f>Lista!J87</f>
        <v>0</v>
      </c>
      <c r="L88" s="125">
        <f>Lista!K87</f>
        <v>0</v>
      </c>
      <c r="M88" s="125">
        <f>Lista!L87</f>
        <v>0</v>
      </c>
      <c r="N88" s="125">
        <f>Lista!M87</f>
        <v>0</v>
      </c>
      <c r="O88" s="125">
        <f>Lista!N87</f>
        <v>0</v>
      </c>
      <c r="P88" s="125">
        <f>Lista!O87</f>
        <v>0</v>
      </c>
      <c r="Q88" s="125">
        <f>Lista!P87</f>
        <v>0</v>
      </c>
      <c r="R88" s="125">
        <f>Lista!Q87</f>
        <v>0</v>
      </c>
      <c r="S88" s="125">
        <f>Lista!R87</f>
        <v>0</v>
      </c>
      <c r="T88" s="81"/>
      <c r="U88" s="81"/>
      <c r="V88" s="81"/>
      <c r="W88" s="81"/>
      <c r="X88" s="81"/>
      <c r="Y88" s="81"/>
      <c r="Z88" s="81"/>
      <c r="AA88" s="81"/>
      <c r="AB88" s="81"/>
      <c r="AC88" s="81"/>
      <c r="AD88" s="81"/>
      <c r="AE88" s="81"/>
      <c r="AF88" s="81"/>
      <c r="AG88" s="81"/>
      <c r="AH88" s="81"/>
      <c r="AI88" s="81"/>
      <c r="AJ88" s="81"/>
      <c r="AK88" s="81"/>
      <c r="AL88" s="81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  <c r="BA88" s="81"/>
      <c r="BB88" s="81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81"/>
      <c r="CF88" s="81"/>
      <c r="CG88" s="81"/>
      <c r="CH88" s="81"/>
      <c r="CI88" s="81"/>
      <c r="CJ88" s="81"/>
      <c r="CK88" s="81"/>
      <c r="CL88" s="81"/>
      <c r="CM88" s="81"/>
      <c r="CN88" s="81"/>
      <c r="CO88" s="81"/>
      <c r="CP88" s="81"/>
      <c r="CQ88" s="81"/>
      <c r="CR88" s="81"/>
      <c r="CS88" s="81"/>
      <c r="CT88" s="81"/>
      <c r="CU88" s="81"/>
      <c r="CV88" s="81"/>
      <c r="CW88" s="81"/>
      <c r="CX88" s="81"/>
      <c r="CY88" s="81"/>
      <c r="CZ88" s="81"/>
      <c r="DA88" s="81"/>
      <c r="DB88" s="81"/>
      <c r="DC88" s="81"/>
      <c r="DD88" s="81"/>
      <c r="DE88" s="81"/>
      <c r="DF88" s="81"/>
      <c r="DG88" s="81"/>
      <c r="DH88" s="81"/>
      <c r="DI88" s="81"/>
      <c r="DJ88" s="81"/>
      <c r="DK88" s="81"/>
      <c r="DL88" s="81"/>
      <c r="DM88" s="81"/>
      <c r="DN88" s="81"/>
      <c r="DO88" s="81"/>
      <c r="DP88" s="81"/>
      <c r="DQ88" s="81"/>
      <c r="DR88" s="81"/>
      <c r="DS88" s="81"/>
      <c r="DT88" s="81"/>
      <c r="DU88" s="81"/>
      <c r="DV88" s="81"/>
      <c r="DW88" s="121"/>
    </row>
    <row r="89" spans="1:127" x14ac:dyDescent="0.25">
      <c r="A89" s="2">
        <f>COUNTIF($D$2:D89,'Reporte de Nomina'!$E$2)</f>
        <v>0</v>
      </c>
      <c r="B89" s="125">
        <f>Lista!A88</f>
        <v>0</v>
      </c>
      <c r="C89" s="125">
        <f>Lista!B88</f>
        <v>0</v>
      </c>
      <c r="D89" s="125">
        <f>Lista!C88</f>
        <v>0</v>
      </c>
      <c r="E89" s="125">
        <f>Lista!D88</f>
        <v>0</v>
      </c>
      <c r="F89" s="125">
        <f>Lista!E88</f>
        <v>0</v>
      </c>
      <c r="G89" s="125">
        <f>Lista!F88</f>
        <v>0</v>
      </c>
      <c r="H89" s="125">
        <f>Lista!G88</f>
        <v>0</v>
      </c>
      <c r="I89" s="125">
        <f>Lista!H88</f>
        <v>0</v>
      </c>
      <c r="J89" s="125">
        <f>Lista!I88</f>
        <v>0</v>
      </c>
      <c r="K89" s="125">
        <f>Lista!J88</f>
        <v>0</v>
      </c>
      <c r="L89" s="125">
        <f>Lista!K88</f>
        <v>0</v>
      </c>
      <c r="M89" s="125">
        <f>Lista!L88</f>
        <v>0</v>
      </c>
      <c r="N89" s="125">
        <f>Lista!M88</f>
        <v>0</v>
      </c>
      <c r="O89" s="125">
        <f>Lista!N88</f>
        <v>0</v>
      </c>
      <c r="P89" s="125">
        <f>Lista!O88</f>
        <v>0</v>
      </c>
      <c r="Q89" s="125">
        <f>Lista!P88</f>
        <v>0</v>
      </c>
      <c r="R89" s="125">
        <f>Lista!Q88</f>
        <v>0</v>
      </c>
      <c r="S89" s="125">
        <f>Lista!R88</f>
        <v>0</v>
      </c>
      <c r="T89" s="81"/>
      <c r="U89" s="81"/>
      <c r="V89" s="81"/>
      <c r="W89" s="81"/>
      <c r="X89" s="81"/>
      <c r="Y89" s="81"/>
      <c r="Z89" s="81"/>
      <c r="AA89" s="81"/>
      <c r="AB89" s="81"/>
      <c r="AC89" s="81"/>
      <c r="AD89" s="81"/>
      <c r="AE89" s="81"/>
      <c r="AF89" s="81"/>
      <c r="AG89" s="81"/>
      <c r="AH89" s="81"/>
      <c r="AI89" s="81"/>
      <c r="AJ89" s="81"/>
      <c r="AK89" s="81"/>
      <c r="AL89" s="81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  <c r="BA89" s="81"/>
      <c r="BB89" s="81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81"/>
      <c r="CF89" s="81"/>
      <c r="CG89" s="81"/>
      <c r="CH89" s="81"/>
      <c r="CI89" s="81"/>
      <c r="CJ89" s="81"/>
      <c r="CK89" s="81"/>
      <c r="CL89" s="81"/>
      <c r="CM89" s="81"/>
      <c r="CN89" s="81"/>
      <c r="CO89" s="81"/>
      <c r="CP89" s="81"/>
      <c r="CQ89" s="81"/>
      <c r="CR89" s="81"/>
      <c r="CS89" s="81"/>
      <c r="CT89" s="81"/>
      <c r="CU89" s="81"/>
      <c r="CV89" s="81"/>
      <c r="CW89" s="81"/>
      <c r="CX89" s="81"/>
      <c r="CY89" s="81"/>
      <c r="CZ89" s="81"/>
      <c r="DA89" s="81"/>
      <c r="DB89" s="81"/>
      <c r="DC89" s="81"/>
      <c r="DD89" s="81"/>
      <c r="DE89" s="81"/>
      <c r="DF89" s="81"/>
      <c r="DG89" s="81"/>
      <c r="DH89" s="81"/>
      <c r="DI89" s="81"/>
      <c r="DJ89" s="81"/>
      <c r="DK89" s="81"/>
      <c r="DL89" s="81"/>
      <c r="DM89" s="81"/>
      <c r="DN89" s="81"/>
      <c r="DO89" s="81"/>
      <c r="DP89" s="81"/>
      <c r="DQ89" s="81"/>
      <c r="DR89" s="81"/>
      <c r="DS89" s="81"/>
      <c r="DT89" s="81"/>
      <c r="DU89" s="81"/>
      <c r="DV89" s="81"/>
      <c r="DW89" s="121"/>
    </row>
    <row r="90" spans="1:127" x14ac:dyDescent="0.25">
      <c r="A90" s="2">
        <f>COUNTIF($D$2:D90,'Reporte de Nomina'!$E$2)</f>
        <v>0</v>
      </c>
      <c r="B90" s="125">
        <f>Lista!A89</f>
        <v>0</v>
      </c>
      <c r="C90" s="125">
        <f>Lista!B89</f>
        <v>0</v>
      </c>
      <c r="D90" s="125">
        <f>Lista!C89</f>
        <v>0</v>
      </c>
      <c r="E90" s="125">
        <f>Lista!D89</f>
        <v>0</v>
      </c>
      <c r="F90" s="125">
        <f>Lista!E89</f>
        <v>0</v>
      </c>
      <c r="G90" s="125">
        <f>Lista!F89</f>
        <v>0</v>
      </c>
      <c r="H90" s="125">
        <f>Lista!G89</f>
        <v>0</v>
      </c>
      <c r="I90" s="125">
        <f>Lista!H89</f>
        <v>0</v>
      </c>
      <c r="J90" s="125">
        <f>Lista!I89</f>
        <v>0</v>
      </c>
      <c r="K90" s="125">
        <f>Lista!J89</f>
        <v>0</v>
      </c>
      <c r="L90" s="125">
        <f>Lista!K89</f>
        <v>0</v>
      </c>
      <c r="M90" s="125">
        <f>Lista!L89</f>
        <v>0</v>
      </c>
      <c r="N90" s="125">
        <f>Lista!M89</f>
        <v>0</v>
      </c>
      <c r="O90" s="125">
        <f>Lista!N89</f>
        <v>0</v>
      </c>
      <c r="P90" s="125">
        <f>Lista!O89</f>
        <v>0</v>
      </c>
      <c r="Q90" s="125">
        <f>Lista!P89</f>
        <v>0</v>
      </c>
      <c r="R90" s="125">
        <f>Lista!Q89</f>
        <v>0</v>
      </c>
      <c r="S90" s="125">
        <f>Lista!R89</f>
        <v>0</v>
      </c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  <c r="AF90" s="81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1"/>
      <c r="CI90" s="81"/>
      <c r="CJ90" s="81"/>
      <c r="CK90" s="81"/>
      <c r="CL90" s="81"/>
      <c r="CM90" s="81"/>
      <c r="CN90" s="81"/>
      <c r="CO90" s="81"/>
      <c r="CP90" s="81"/>
      <c r="CQ90" s="81"/>
      <c r="CR90" s="81"/>
      <c r="CS90" s="81"/>
      <c r="CT90" s="81"/>
      <c r="CU90" s="81"/>
      <c r="CV90" s="81"/>
      <c r="CW90" s="81"/>
      <c r="CX90" s="81"/>
      <c r="CY90" s="81"/>
      <c r="CZ90" s="81"/>
      <c r="DA90" s="81"/>
      <c r="DB90" s="81"/>
      <c r="DC90" s="81"/>
      <c r="DD90" s="81"/>
      <c r="DE90" s="81"/>
      <c r="DF90" s="81"/>
      <c r="DG90" s="81"/>
      <c r="DH90" s="81"/>
      <c r="DI90" s="81"/>
      <c r="DJ90" s="81"/>
      <c r="DK90" s="81"/>
      <c r="DL90" s="81"/>
      <c r="DM90" s="81"/>
      <c r="DN90" s="81"/>
      <c r="DO90" s="81"/>
      <c r="DP90" s="81"/>
      <c r="DQ90" s="81"/>
      <c r="DR90" s="81"/>
      <c r="DS90" s="81"/>
      <c r="DT90" s="81"/>
      <c r="DU90" s="81"/>
      <c r="DV90" s="81"/>
      <c r="DW90" s="121"/>
    </row>
    <row r="91" spans="1:127" x14ac:dyDescent="0.25">
      <c r="A91" s="2">
        <f>COUNTIF($D$2:D91,'Reporte de Nomina'!$E$2)</f>
        <v>0</v>
      </c>
      <c r="B91" s="125">
        <f>Lista!A90</f>
        <v>0</v>
      </c>
      <c r="C91" s="125">
        <f>Lista!B90</f>
        <v>0</v>
      </c>
      <c r="D91" s="125">
        <f>Lista!C90</f>
        <v>0</v>
      </c>
      <c r="E91" s="125">
        <f>Lista!D90</f>
        <v>0</v>
      </c>
      <c r="F91" s="125">
        <f>Lista!E90</f>
        <v>0</v>
      </c>
      <c r="G91" s="125">
        <f>Lista!F90</f>
        <v>0</v>
      </c>
      <c r="H91" s="125">
        <f>Lista!G90</f>
        <v>0</v>
      </c>
      <c r="I91" s="125">
        <f>Lista!H90</f>
        <v>0</v>
      </c>
      <c r="J91" s="125">
        <f>Lista!I90</f>
        <v>0</v>
      </c>
      <c r="K91" s="125">
        <f>Lista!J90</f>
        <v>0</v>
      </c>
      <c r="L91" s="125">
        <f>Lista!K90</f>
        <v>0</v>
      </c>
      <c r="M91" s="125">
        <f>Lista!L90</f>
        <v>0</v>
      </c>
      <c r="N91" s="125">
        <f>Lista!M90</f>
        <v>0</v>
      </c>
      <c r="O91" s="125">
        <f>Lista!N90</f>
        <v>0</v>
      </c>
      <c r="P91" s="125">
        <f>Lista!O90</f>
        <v>0</v>
      </c>
      <c r="Q91" s="125">
        <f>Lista!P90</f>
        <v>0</v>
      </c>
      <c r="R91" s="125">
        <f>Lista!Q90</f>
        <v>0</v>
      </c>
      <c r="S91" s="125">
        <f>Lista!R90</f>
        <v>0</v>
      </c>
      <c r="T91" s="81"/>
      <c r="U91" s="81"/>
      <c r="V91" s="81"/>
      <c r="W91" s="81"/>
      <c r="X91" s="81"/>
      <c r="Y91" s="81"/>
      <c r="Z91" s="81"/>
      <c r="AA91" s="81"/>
      <c r="AB91" s="81"/>
      <c r="AC91" s="81"/>
      <c r="AD91" s="81"/>
      <c r="AE91" s="81"/>
      <c r="AF91" s="81"/>
      <c r="AG91" s="81"/>
      <c r="AH91" s="81"/>
      <c r="AI91" s="81"/>
      <c r="AJ91" s="81"/>
      <c r="AK91" s="81"/>
      <c r="AL91" s="81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  <c r="BA91" s="81"/>
      <c r="BB91" s="81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81"/>
      <c r="CF91" s="81"/>
      <c r="CG91" s="81"/>
      <c r="CH91" s="81"/>
      <c r="CI91" s="81"/>
      <c r="CJ91" s="81"/>
      <c r="CK91" s="81"/>
      <c r="CL91" s="81"/>
      <c r="CM91" s="81"/>
      <c r="CN91" s="81"/>
      <c r="CO91" s="81"/>
      <c r="CP91" s="81"/>
      <c r="CQ91" s="81"/>
      <c r="CR91" s="81"/>
      <c r="CS91" s="81"/>
      <c r="CT91" s="81"/>
      <c r="CU91" s="81"/>
      <c r="CV91" s="81"/>
      <c r="CW91" s="81"/>
      <c r="CX91" s="81"/>
      <c r="CY91" s="81"/>
      <c r="CZ91" s="81"/>
      <c r="DA91" s="81"/>
      <c r="DB91" s="81"/>
      <c r="DC91" s="81"/>
      <c r="DD91" s="81"/>
      <c r="DE91" s="81"/>
      <c r="DF91" s="81"/>
      <c r="DG91" s="81"/>
      <c r="DH91" s="81"/>
      <c r="DI91" s="81"/>
      <c r="DJ91" s="81"/>
      <c r="DK91" s="81"/>
      <c r="DL91" s="81"/>
      <c r="DM91" s="81"/>
      <c r="DN91" s="81"/>
      <c r="DO91" s="81"/>
      <c r="DP91" s="81"/>
      <c r="DQ91" s="81"/>
      <c r="DR91" s="81"/>
      <c r="DS91" s="81"/>
      <c r="DT91" s="81"/>
      <c r="DU91" s="81"/>
      <c r="DV91" s="81"/>
      <c r="DW91" s="121"/>
    </row>
    <row r="92" spans="1:127" x14ac:dyDescent="0.25">
      <c r="A92" s="2">
        <f>COUNTIF($D$2:D92,'Reporte de Nomina'!$E$2)</f>
        <v>0</v>
      </c>
      <c r="B92" s="125">
        <f>Lista!A91</f>
        <v>0</v>
      </c>
      <c r="C92" s="125">
        <f>Lista!B91</f>
        <v>0</v>
      </c>
      <c r="D92" s="125">
        <f>Lista!C91</f>
        <v>0</v>
      </c>
      <c r="E92" s="125">
        <f>Lista!D91</f>
        <v>0</v>
      </c>
      <c r="F92" s="125">
        <f>Lista!E91</f>
        <v>0</v>
      </c>
      <c r="G92" s="125">
        <f>Lista!F91</f>
        <v>0</v>
      </c>
      <c r="H92" s="125">
        <f>Lista!G91</f>
        <v>0</v>
      </c>
      <c r="I92" s="125">
        <f>Lista!H91</f>
        <v>0</v>
      </c>
      <c r="J92" s="125">
        <f>Lista!I91</f>
        <v>0</v>
      </c>
      <c r="K92" s="125">
        <f>Lista!J91</f>
        <v>0</v>
      </c>
      <c r="L92" s="125">
        <f>Lista!K91</f>
        <v>0</v>
      </c>
      <c r="M92" s="125">
        <f>Lista!L91</f>
        <v>0</v>
      </c>
      <c r="N92" s="125">
        <f>Lista!M91</f>
        <v>0</v>
      </c>
      <c r="O92" s="125">
        <f>Lista!N91</f>
        <v>0</v>
      </c>
      <c r="P92" s="125">
        <f>Lista!O91</f>
        <v>0</v>
      </c>
      <c r="Q92" s="125">
        <f>Lista!P91</f>
        <v>0</v>
      </c>
      <c r="R92" s="125">
        <f>Lista!Q91</f>
        <v>0</v>
      </c>
      <c r="S92" s="125">
        <f>Lista!R91</f>
        <v>0</v>
      </c>
      <c r="T92" s="81"/>
      <c r="U92" s="81"/>
      <c r="V92" s="81"/>
      <c r="W92" s="81"/>
      <c r="X92" s="81"/>
      <c r="Y92" s="81"/>
      <c r="Z92" s="81"/>
      <c r="AA92" s="81"/>
      <c r="AB92" s="81"/>
      <c r="AC92" s="81"/>
      <c r="AD92" s="81"/>
      <c r="AE92" s="81"/>
      <c r="AF92" s="81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81"/>
      <c r="CF92" s="81"/>
      <c r="CG92" s="81"/>
      <c r="CH92" s="81"/>
      <c r="CI92" s="81"/>
      <c r="CJ92" s="81"/>
      <c r="CK92" s="81"/>
      <c r="CL92" s="81"/>
      <c r="CM92" s="81"/>
      <c r="CN92" s="81"/>
      <c r="CO92" s="81"/>
      <c r="CP92" s="81"/>
      <c r="CQ92" s="81"/>
      <c r="CR92" s="81"/>
      <c r="CS92" s="81"/>
      <c r="CT92" s="81"/>
      <c r="CU92" s="81"/>
      <c r="CV92" s="81"/>
      <c r="CW92" s="81"/>
      <c r="CX92" s="81"/>
      <c r="CY92" s="81"/>
      <c r="CZ92" s="81"/>
      <c r="DA92" s="81"/>
      <c r="DB92" s="81"/>
      <c r="DC92" s="81"/>
      <c r="DD92" s="81"/>
      <c r="DE92" s="81"/>
      <c r="DF92" s="81"/>
      <c r="DG92" s="81"/>
      <c r="DH92" s="81"/>
      <c r="DI92" s="81"/>
      <c r="DJ92" s="81"/>
      <c r="DK92" s="81"/>
      <c r="DL92" s="81"/>
      <c r="DM92" s="81"/>
      <c r="DN92" s="81"/>
      <c r="DO92" s="81"/>
      <c r="DP92" s="81"/>
      <c r="DQ92" s="81"/>
      <c r="DR92" s="81"/>
      <c r="DS92" s="81"/>
      <c r="DT92" s="81"/>
      <c r="DU92" s="81"/>
      <c r="DV92" s="81"/>
      <c r="DW92" s="121"/>
    </row>
    <row r="93" spans="1:127" x14ac:dyDescent="0.25">
      <c r="A93" s="2">
        <f>COUNTIF($D$2:D93,'Reporte de Nomina'!$E$2)</f>
        <v>0</v>
      </c>
      <c r="B93" s="125">
        <f>Lista!A92</f>
        <v>0</v>
      </c>
      <c r="C93" s="125">
        <f>Lista!B92</f>
        <v>0</v>
      </c>
      <c r="D93" s="125">
        <f>Lista!C92</f>
        <v>0</v>
      </c>
      <c r="E93" s="125">
        <f>Lista!D92</f>
        <v>0</v>
      </c>
      <c r="F93" s="125">
        <f>Lista!E92</f>
        <v>0</v>
      </c>
      <c r="G93" s="125">
        <f>Lista!F92</f>
        <v>0</v>
      </c>
      <c r="H93" s="125">
        <f>Lista!G92</f>
        <v>0</v>
      </c>
      <c r="I93" s="125">
        <f>Lista!H92</f>
        <v>0</v>
      </c>
      <c r="J93" s="125">
        <f>Lista!I92</f>
        <v>0</v>
      </c>
      <c r="K93" s="125">
        <f>Lista!J92</f>
        <v>0</v>
      </c>
      <c r="L93" s="125">
        <f>Lista!K92</f>
        <v>0</v>
      </c>
      <c r="M93" s="125">
        <f>Lista!L92</f>
        <v>0</v>
      </c>
      <c r="N93" s="125">
        <f>Lista!M92</f>
        <v>0</v>
      </c>
      <c r="O93" s="125">
        <f>Lista!N92</f>
        <v>0</v>
      </c>
      <c r="P93" s="125">
        <f>Lista!O92</f>
        <v>0</v>
      </c>
      <c r="Q93" s="125">
        <f>Lista!P92</f>
        <v>0</v>
      </c>
      <c r="R93" s="125">
        <f>Lista!Q92</f>
        <v>0</v>
      </c>
      <c r="S93" s="125">
        <f>Lista!R92</f>
        <v>0</v>
      </c>
      <c r="T93" s="81"/>
      <c r="U93" s="81"/>
      <c r="V93" s="81"/>
      <c r="W93" s="81"/>
      <c r="X93" s="81"/>
      <c r="Y93" s="81"/>
      <c r="Z93" s="81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81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  <c r="BA93" s="81"/>
      <c r="BB93" s="81"/>
      <c r="BC93" s="81"/>
      <c r="BD93" s="81"/>
      <c r="BE93" s="81"/>
      <c r="BF93" s="81"/>
      <c r="BG93" s="81"/>
      <c r="BH93" s="81"/>
      <c r="BI93" s="81"/>
      <c r="BJ93" s="81"/>
      <c r="BK93" s="81"/>
      <c r="BL93" s="81"/>
      <c r="BM93" s="81"/>
      <c r="BN93" s="81"/>
      <c r="BO93" s="81"/>
      <c r="BP93" s="81"/>
      <c r="BQ93" s="81"/>
      <c r="BR93" s="81"/>
      <c r="BS93" s="81"/>
      <c r="BT93" s="81"/>
      <c r="BU93" s="81"/>
      <c r="BV93" s="81"/>
      <c r="BW93" s="81"/>
      <c r="BX93" s="81"/>
      <c r="BY93" s="81"/>
      <c r="BZ93" s="81"/>
      <c r="CA93" s="81"/>
      <c r="CB93" s="81"/>
      <c r="CC93" s="81"/>
      <c r="CD93" s="81"/>
      <c r="CE93" s="81"/>
      <c r="CF93" s="81"/>
      <c r="CG93" s="81"/>
      <c r="CH93" s="81"/>
      <c r="CI93" s="81"/>
      <c r="CJ93" s="81"/>
      <c r="CK93" s="81"/>
      <c r="CL93" s="81"/>
      <c r="CM93" s="81"/>
      <c r="CN93" s="81"/>
      <c r="CO93" s="81"/>
      <c r="CP93" s="81"/>
      <c r="CQ93" s="81"/>
      <c r="CR93" s="81"/>
      <c r="CS93" s="81"/>
      <c r="CT93" s="81"/>
      <c r="CU93" s="81"/>
      <c r="CV93" s="81"/>
      <c r="CW93" s="81"/>
      <c r="CX93" s="81"/>
      <c r="CY93" s="81"/>
      <c r="CZ93" s="81"/>
      <c r="DA93" s="81"/>
      <c r="DB93" s="81"/>
      <c r="DC93" s="81"/>
      <c r="DD93" s="81"/>
      <c r="DE93" s="81"/>
      <c r="DF93" s="81"/>
      <c r="DG93" s="81"/>
      <c r="DH93" s="81"/>
      <c r="DI93" s="81"/>
      <c r="DJ93" s="81"/>
      <c r="DK93" s="81"/>
      <c r="DL93" s="81"/>
      <c r="DM93" s="81"/>
      <c r="DN93" s="81"/>
      <c r="DO93" s="81"/>
      <c r="DP93" s="81"/>
      <c r="DQ93" s="81"/>
      <c r="DR93" s="81"/>
      <c r="DS93" s="81"/>
      <c r="DT93" s="81"/>
      <c r="DU93" s="81"/>
      <c r="DV93" s="81"/>
      <c r="DW93" s="121"/>
    </row>
    <row r="94" spans="1:127" x14ac:dyDescent="0.25">
      <c r="A94" s="2">
        <f>COUNTIF($D$2:D94,'Reporte de Nomina'!$E$2)</f>
        <v>0</v>
      </c>
      <c r="B94" s="125">
        <f>Lista!A93</f>
        <v>0</v>
      </c>
      <c r="C94" s="125">
        <f>Lista!B93</f>
        <v>0</v>
      </c>
      <c r="D94" s="125">
        <f>Lista!C93</f>
        <v>0</v>
      </c>
      <c r="E94" s="125">
        <f>Lista!D93</f>
        <v>0</v>
      </c>
      <c r="F94" s="125">
        <f>Lista!E93</f>
        <v>0</v>
      </c>
      <c r="G94" s="125">
        <f>Lista!F93</f>
        <v>0</v>
      </c>
      <c r="H94" s="125">
        <f>Lista!G93</f>
        <v>0</v>
      </c>
      <c r="I94" s="125">
        <f>Lista!H93</f>
        <v>0</v>
      </c>
      <c r="J94" s="125">
        <f>Lista!I93</f>
        <v>0</v>
      </c>
      <c r="K94" s="125">
        <f>Lista!J93</f>
        <v>0</v>
      </c>
      <c r="L94" s="125">
        <f>Lista!K93</f>
        <v>0</v>
      </c>
      <c r="M94" s="125">
        <f>Lista!L93</f>
        <v>0</v>
      </c>
      <c r="N94" s="125">
        <f>Lista!M93</f>
        <v>0</v>
      </c>
      <c r="O94" s="125">
        <f>Lista!N93</f>
        <v>0</v>
      </c>
      <c r="P94" s="125">
        <f>Lista!O93</f>
        <v>0</v>
      </c>
      <c r="Q94" s="125">
        <f>Lista!P93</f>
        <v>0</v>
      </c>
      <c r="R94" s="125">
        <f>Lista!Q93</f>
        <v>0</v>
      </c>
      <c r="S94" s="125">
        <f>Lista!R93</f>
        <v>0</v>
      </c>
      <c r="T94" s="81"/>
      <c r="U94" s="81"/>
      <c r="V94" s="81"/>
      <c r="W94" s="81"/>
      <c r="X94" s="81"/>
      <c r="Y94" s="81"/>
      <c r="Z94" s="81"/>
      <c r="AA94" s="81"/>
      <c r="AB94" s="81"/>
      <c r="AC94" s="81"/>
      <c r="AD94" s="81"/>
      <c r="AE94" s="81"/>
      <c r="AF94" s="81"/>
      <c r="AG94" s="81"/>
      <c r="AH94" s="81"/>
      <c r="AI94" s="81"/>
      <c r="AJ94" s="81"/>
      <c r="AK94" s="81"/>
      <c r="AL94" s="81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  <c r="BA94" s="81"/>
      <c r="BB94" s="81"/>
      <c r="BC94" s="81"/>
      <c r="BD94" s="81"/>
      <c r="BE94" s="81"/>
      <c r="BF94" s="81"/>
      <c r="BG94" s="81"/>
      <c r="BH94" s="81"/>
      <c r="BI94" s="81"/>
      <c r="BJ94" s="81"/>
      <c r="BK94" s="81"/>
      <c r="BL94" s="81"/>
      <c r="BM94" s="81"/>
      <c r="BN94" s="81"/>
      <c r="BO94" s="81"/>
      <c r="BP94" s="81"/>
      <c r="BQ94" s="81"/>
      <c r="BR94" s="81"/>
      <c r="BS94" s="81"/>
      <c r="BT94" s="81"/>
      <c r="BU94" s="81"/>
      <c r="BV94" s="81"/>
      <c r="BW94" s="81"/>
      <c r="BX94" s="81"/>
      <c r="BY94" s="81"/>
      <c r="BZ94" s="81"/>
      <c r="CA94" s="81"/>
      <c r="CB94" s="81"/>
      <c r="CC94" s="81"/>
      <c r="CD94" s="81"/>
      <c r="CE94" s="81"/>
      <c r="CF94" s="81"/>
      <c r="CG94" s="81"/>
      <c r="CH94" s="81"/>
      <c r="CI94" s="81"/>
      <c r="CJ94" s="81"/>
      <c r="CK94" s="81"/>
      <c r="CL94" s="81"/>
      <c r="CM94" s="81"/>
      <c r="CN94" s="81"/>
      <c r="CO94" s="81"/>
      <c r="CP94" s="81"/>
      <c r="CQ94" s="81"/>
      <c r="CR94" s="81"/>
      <c r="CS94" s="81"/>
      <c r="CT94" s="81"/>
      <c r="CU94" s="81"/>
      <c r="CV94" s="81"/>
      <c r="CW94" s="81"/>
      <c r="CX94" s="81"/>
      <c r="CY94" s="81"/>
      <c r="CZ94" s="81"/>
      <c r="DA94" s="81"/>
      <c r="DB94" s="81"/>
      <c r="DC94" s="81"/>
      <c r="DD94" s="81"/>
      <c r="DE94" s="81"/>
      <c r="DF94" s="81"/>
      <c r="DG94" s="81"/>
      <c r="DH94" s="81"/>
      <c r="DI94" s="81"/>
      <c r="DJ94" s="81"/>
      <c r="DK94" s="81"/>
      <c r="DL94" s="81"/>
      <c r="DM94" s="81"/>
      <c r="DN94" s="81"/>
      <c r="DO94" s="81"/>
      <c r="DP94" s="81"/>
      <c r="DQ94" s="81"/>
      <c r="DR94" s="81"/>
      <c r="DS94" s="81"/>
      <c r="DT94" s="81"/>
      <c r="DU94" s="81"/>
      <c r="DV94" s="81"/>
      <c r="DW94" s="121"/>
    </row>
    <row r="95" spans="1:127" x14ac:dyDescent="0.25">
      <c r="A95" s="2">
        <f>COUNTIF($D$2:D95,'Reporte de Nomina'!$E$2)</f>
        <v>0</v>
      </c>
      <c r="B95" s="125">
        <f>Lista!A94</f>
        <v>0</v>
      </c>
      <c r="C95" s="125">
        <f>Lista!B94</f>
        <v>0</v>
      </c>
      <c r="D95" s="125">
        <f>Lista!C94</f>
        <v>0</v>
      </c>
      <c r="E95" s="125">
        <f>Lista!D94</f>
        <v>0</v>
      </c>
      <c r="F95" s="125">
        <f>Lista!E94</f>
        <v>0</v>
      </c>
      <c r="G95" s="125">
        <f>Lista!F94</f>
        <v>0</v>
      </c>
      <c r="H95" s="125">
        <f>Lista!G94</f>
        <v>0</v>
      </c>
      <c r="I95" s="125">
        <f>Lista!H94</f>
        <v>0</v>
      </c>
      <c r="J95" s="125">
        <f>Lista!I94</f>
        <v>0</v>
      </c>
      <c r="K95" s="125">
        <f>Lista!J94</f>
        <v>0</v>
      </c>
      <c r="L95" s="125">
        <f>Lista!K94</f>
        <v>0</v>
      </c>
      <c r="M95" s="125">
        <f>Lista!L94</f>
        <v>0</v>
      </c>
      <c r="N95" s="125">
        <f>Lista!M94</f>
        <v>0</v>
      </c>
      <c r="O95" s="125">
        <f>Lista!N94</f>
        <v>0</v>
      </c>
      <c r="P95" s="125">
        <f>Lista!O94</f>
        <v>0</v>
      </c>
      <c r="Q95" s="125">
        <f>Lista!P94</f>
        <v>0</v>
      </c>
      <c r="R95" s="125">
        <f>Lista!Q94</f>
        <v>0</v>
      </c>
      <c r="S95" s="125">
        <f>Lista!R94</f>
        <v>0</v>
      </c>
      <c r="T95" s="81"/>
      <c r="U95" s="81"/>
      <c r="V95" s="81"/>
      <c r="W95" s="81"/>
      <c r="X95" s="81"/>
      <c r="Y95" s="81"/>
      <c r="Z95" s="81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  <c r="BA95" s="81"/>
      <c r="BB95" s="81"/>
      <c r="BC95" s="81"/>
      <c r="BD95" s="81"/>
      <c r="BE95" s="81"/>
      <c r="BF95" s="81"/>
      <c r="BG95" s="81"/>
      <c r="BH95" s="81"/>
      <c r="BI95" s="81"/>
      <c r="BJ95" s="81"/>
      <c r="BK95" s="81"/>
      <c r="BL95" s="81"/>
      <c r="BM95" s="81"/>
      <c r="BN95" s="81"/>
      <c r="BO95" s="81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81"/>
      <c r="CC95" s="81"/>
      <c r="CD95" s="81"/>
      <c r="CE95" s="81"/>
      <c r="CF95" s="81"/>
      <c r="CG95" s="81"/>
      <c r="CH95" s="81"/>
      <c r="CI95" s="81"/>
      <c r="CJ95" s="81"/>
      <c r="CK95" s="81"/>
      <c r="CL95" s="81"/>
      <c r="CM95" s="81"/>
      <c r="CN95" s="81"/>
      <c r="CO95" s="81"/>
      <c r="CP95" s="81"/>
      <c r="CQ95" s="81"/>
      <c r="CR95" s="81"/>
      <c r="CS95" s="81"/>
      <c r="CT95" s="81"/>
      <c r="CU95" s="81"/>
      <c r="CV95" s="81"/>
      <c r="CW95" s="81"/>
      <c r="CX95" s="81"/>
      <c r="CY95" s="81"/>
      <c r="CZ95" s="81"/>
      <c r="DA95" s="81"/>
      <c r="DB95" s="81"/>
      <c r="DC95" s="81"/>
      <c r="DD95" s="81"/>
      <c r="DE95" s="81"/>
      <c r="DF95" s="81"/>
      <c r="DG95" s="81"/>
      <c r="DH95" s="81"/>
      <c r="DI95" s="81"/>
      <c r="DJ95" s="81"/>
      <c r="DK95" s="81"/>
      <c r="DL95" s="81"/>
      <c r="DM95" s="81"/>
      <c r="DN95" s="81"/>
      <c r="DO95" s="81"/>
      <c r="DP95" s="81"/>
      <c r="DQ95" s="81"/>
      <c r="DR95" s="81"/>
      <c r="DS95" s="81"/>
      <c r="DT95" s="81"/>
      <c r="DU95" s="81"/>
      <c r="DV95" s="81"/>
      <c r="DW95" s="121"/>
    </row>
    <row r="96" spans="1:127" x14ac:dyDescent="0.25">
      <c r="A96" s="2">
        <f>COUNTIF($D$2:D96,'Reporte de Nomina'!$E$2)</f>
        <v>0</v>
      </c>
      <c r="B96" s="125">
        <f>Lista!A95</f>
        <v>0</v>
      </c>
      <c r="C96" s="125">
        <f>Lista!B95</f>
        <v>0</v>
      </c>
      <c r="D96" s="125">
        <f>Lista!C95</f>
        <v>0</v>
      </c>
      <c r="E96" s="125">
        <f>Lista!D95</f>
        <v>0</v>
      </c>
      <c r="F96" s="125">
        <f>Lista!E95</f>
        <v>0</v>
      </c>
      <c r="G96" s="125">
        <f>Lista!F95</f>
        <v>0</v>
      </c>
      <c r="H96" s="125">
        <f>Lista!G95</f>
        <v>0</v>
      </c>
      <c r="I96" s="125">
        <f>Lista!H95</f>
        <v>0</v>
      </c>
      <c r="J96" s="125">
        <f>Lista!I95</f>
        <v>0</v>
      </c>
      <c r="K96" s="125">
        <f>Lista!J95</f>
        <v>0</v>
      </c>
      <c r="L96" s="125">
        <f>Lista!K95</f>
        <v>0</v>
      </c>
      <c r="M96" s="125">
        <f>Lista!L95</f>
        <v>0</v>
      </c>
      <c r="N96" s="125">
        <f>Lista!M95</f>
        <v>0</v>
      </c>
      <c r="O96" s="125">
        <f>Lista!N95</f>
        <v>0</v>
      </c>
      <c r="P96" s="125">
        <f>Lista!O95</f>
        <v>0</v>
      </c>
      <c r="Q96" s="125">
        <f>Lista!P95</f>
        <v>0</v>
      </c>
      <c r="R96" s="125">
        <f>Lista!Q95</f>
        <v>0</v>
      </c>
      <c r="S96" s="125">
        <f>Lista!R95</f>
        <v>0</v>
      </c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1"/>
      <c r="AF96" s="81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1"/>
      <c r="CI96" s="81"/>
      <c r="CJ96" s="81"/>
      <c r="CK96" s="81"/>
      <c r="CL96" s="81"/>
      <c r="CM96" s="81"/>
      <c r="CN96" s="81"/>
      <c r="CO96" s="81"/>
      <c r="CP96" s="81"/>
      <c r="CQ96" s="81"/>
      <c r="CR96" s="81"/>
      <c r="CS96" s="81"/>
      <c r="CT96" s="81"/>
      <c r="CU96" s="81"/>
      <c r="CV96" s="81"/>
      <c r="CW96" s="81"/>
      <c r="CX96" s="81"/>
      <c r="CY96" s="81"/>
      <c r="CZ96" s="81"/>
      <c r="DA96" s="81"/>
      <c r="DB96" s="81"/>
      <c r="DC96" s="81"/>
      <c r="DD96" s="81"/>
      <c r="DE96" s="81"/>
      <c r="DF96" s="81"/>
      <c r="DG96" s="81"/>
      <c r="DH96" s="81"/>
      <c r="DI96" s="81"/>
      <c r="DJ96" s="81"/>
      <c r="DK96" s="81"/>
      <c r="DL96" s="81"/>
      <c r="DM96" s="81"/>
      <c r="DN96" s="81"/>
      <c r="DO96" s="81"/>
      <c r="DP96" s="81"/>
      <c r="DQ96" s="81"/>
      <c r="DR96" s="81"/>
      <c r="DS96" s="81"/>
      <c r="DT96" s="81"/>
      <c r="DU96" s="81"/>
      <c r="DV96" s="81"/>
      <c r="DW96" s="121"/>
    </row>
    <row r="97" spans="1:127" x14ac:dyDescent="0.25">
      <c r="A97" s="2">
        <f>COUNTIF($D$2:D97,'Reporte de Nomina'!$E$2)</f>
        <v>0</v>
      </c>
      <c r="B97" s="125">
        <f>Lista!A96</f>
        <v>0</v>
      </c>
      <c r="C97" s="125">
        <f>Lista!B96</f>
        <v>0</v>
      </c>
      <c r="D97" s="125">
        <f>Lista!C96</f>
        <v>0</v>
      </c>
      <c r="E97" s="125">
        <f>Lista!D96</f>
        <v>0</v>
      </c>
      <c r="F97" s="125">
        <f>Lista!E96</f>
        <v>0</v>
      </c>
      <c r="G97" s="125">
        <f>Lista!F96</f>
        <v>0</v>
      </c>
      <c r="H97" s="125">
        <f>Lista!G96</f>
        <v>0</v>
      </c>
      <c r="I97" s="125">
        <f>Lista!H96</f>
        <v>0</v>
      </c>
      <c r="J97" s="125">
        <f>Lista!I96</f>
        <v>0</v>
      </c>
      <c r="K97" s="125">
        <f>Lista!J96</f>
        <v>0</v>
      </c>
      <c r="L97" s="125">
        <f>Lista!K96</f>
        <v>0</v>
      </c>
      <c r="M97" s="125">
        <f>Lista!L96</f>
        <v>0</v>
      </c>
      <c r="N97" s="125">
        <f>Lista!M96</f>
        <v>0</v>
      </c>
      <c r="O97" s="125">
        <f>Lista!N96</f>
        <v>0</v>
      </c>
      <c r="P97" s="125">
        <f>Lista!O96</f>
        <v>0</v>
      </c>
      <c r="Q97" s="125">
        <f>Lista!P96</f>
        <v>0</v>
      </c>
      <c r="R97" s="125">
        <f>Lista!Q96</f>
        <v>0</v>
      </c>
      <c r="S97" s="125">
        <f>Lista!R96</f>
        <v>0</v>
      </c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81"/>
      <c r="CN97" s="81"/>
      <c r="CO97" s="81"/>
      <c r="CP97" s="81"/>
      <c r="CQ97" s="81"/>
      <c r="CR97" s="81"/>
      <c r="CS97" s="81"/>
      <c r="CT97" s="81"/>
      <c r="CU97" s="81"/>
      <c r="CV97" s="81"/>
      <c r="CW97" s="81"/>
      <c r="CX97" s="81"/>
      <c r="CY97" s="81"/>
      <c r="CZ97" s="81"/>
      <c r="DA97" s="81"/>
      <c r="DB97" s="81"/>
      <c r="DC97" s="81"/>
      <c r="DD97" s="81"/>
      <c r="DE97" s="81"/>
      <c r="DF97" s="81"/>
      <c r="DG97" s="81"/>
      <c r="DH97" s="81"/>
      <c r="DI97" s="81"/>
      <c r="DJ97" s="81"/>
      <c r="DK97" s="81"/>
      <c r="DL97" s="81"/>
      <c r="DM97" s="81"/>
      <c r="DN97" s="81"/>
      <c r="DO97" s="81"/>
      <c r="DP97" s="81"/>
      <c r="DQ97" s="81"/>
      <c r="DR97" s="81"/>
      <c r="DS97" s="81"/>
      <c r="DT97" s="81"/>
      <c r="DU97" s="81"/>
      <c r="DV97" s="81"/>
      <c r="DW97" s="121"/>
    </row>
    <row r="98" spans="1:127" x14ac:dyDescent="0.25">
      <c r="A98" s="2">
        <f>COUNTIF($D$2:D98,'Reporte de Nomina'!$E$2)</f>
        <v>0</v>
      </c>
      <c r="B98" s="125">
        <f>Lista!A97</f>
        <v>0</v>
      </c>
      <c r="C98" s="125">
        <f>Lista!B97</f>
        <v>0</v>
      </c>
      <c r="D98" s="125">
        <f>Lista!C97</f>
        <v>0</v>
      </c>
      <c r="E98" s="125">
        <f>Lista!D97</f>
        <v>0</v>
      </c>
      <c r="F98" s="125">
        <f>Lista!E97</f>
        <v>0</v>
      </c>
      <c r="G98" s="125">
        <f>Lista!F97</f>
        <v>0</v>
      </c>
      <c r="H98" s="125">
        <f>Lista!G97</f>
        <v>0</v>
      </c>
      <c r="I98" s="125">
        <f>Lista!H97</f>
        <v>0</v>
      </c>
      <c r="J98" s="125">
        <f>Lista!I97</f>
        <v>0</v>
      </c>
      <c r="K98" s="125">
        <f>Lista!J97</f>
        <v>0</v>
      </c>
      <c r="L98" s="125">
        <f>Lista!K97</f>
        <v>0</v>
      </c>
      <c r="M98" s="125">
        <f>Lista!L97</f>
        <v>0</v>
      </c>
      <c r="N98" s="125">
        <f>Lista!M97</f>
        <v>0</v>
      </c>
      <c r="O98" s="125">
        <f>Lista!N97</f>
        <v>0</v>
      </c>
      <c r="P98" s="125">
        <f>Lista!O97</f>
        <v>0</v>
      </c>
      <c r="Q98" s="125">
        <f>Lista!P97</f>
        <v>0</v>
      </c>
      <c r="R98" s="125">
        <f>Lista!Q97</f>
        <v>0</v>
      </c>
      <c r="S98" s="125">
        <f>Lista!R97</f>
        <v>0</v>
      </c>
      <c r="T98" s="81"/>
      <c r="U98" s="81"/>
      <c r="V98" s="81"/>
      <c r="W98" s="81"/>
      <c r="X98" s="81"/>
      <c r="Y98" s="81"/>
      <c r="Z98" s="81"/>
      <c r="AA98" s="81"/>
      <c r="AB98" s="81"/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81"/>
      <c r="CN98" s="81"/>
      <c r="CO98" s="81"/>
      <c r="CP98" s="81"/>
      <c r="CQ98" s="81"/>
      <c r="CR98" s="81"/>
      <c r="CS98" s="81"/>
      <c r="CT98" s="81"/>
      <c r="CU98" s="81"/>
      <c r="CV98" s="81"/>
      <c r="CW98" s="81"/>
      <c r="CX98" s="81"/>
      <c r="CY98" s="81"/>
      <c r="CZ98" s="81"/>
      <c r="DA98" s="81"/>
      <c r="DB98" s="81"/>
      <c r="DC98" s="81"/>
      <c r="DD98" s="81"/>
      <c r="DE98" s="81"/>
      <c r="DF98" s="81"/>
      <c r="DG98" s="81"/>
      <c r="DH98" s="81"/>
      <c r="DI98" s="81"/>
      <c r="DJ98" s="81"/>
      <c r="DK98" s="81"/>
      <c r="DL98" s="81"/>
      <c r="DM98" s="81"/>
      <c r="DN98" s="81"/>
      <c r="DO98" s="81"/>
      <c r="DP98" s="81"/>
      <c r="DQ98" s="81"/>
      <c r="DR98" s="81"/>
      <c r="DS98" s="81"/>
      <c r="DT98" s="81"/>
      <c r="DU98" s="81"/>
      <c r="DV98" s="81"/>
      <c r="DW98" s="121"/>
    </row>
    <row r="99" spans="1:127" x14ac:dyDescent="0.25">
      <c r="A99" s="2">
        <f>COUNTIF($D$2:D99,'Reporte de Nomina'!$E$2)</f>
        <v>0</v>
      </c>
      <c r="B99" s="125">
        <f>Lista!A98</f>
        <v>0</v>
      </c>
      <c r="C99" s="125">
        <f>Lista!B98</f>
        <v>0</v>
      </c>
      <c r="D99" s="125">
        <f>Lista!C98</f>
        <v>0</v>
      </c>
      <c r="E99" s="125">
        <f>Lista!D98</f>
        <v>0</v>
      </c>
      <c r="F99" s="125">
        <f>Lista!E98</f>
        <v>0</v>
      </c>
      <c r="G99" s="125">
        <f>Lista!F98</f>
        <v>0</v>
      </c>
      <c r="H99" s="125">
        <f>Lista!G98</f>
        <v>0</v>
      </c>
      <c r="I99" s="125">
        <f>Lista!H98</f>
        <v>0</v>
      </c>
      <c r="J99" s="125">
        <f>Lista!I98</f>
        <v>0</v>
      </c>
      <c r="K99" s="125">
        <f>Lista!J98</f>
        <v>0</v>
      </c>
      <c r="L99" s="125">
        <f>Lista!K98</f>
        <v>0</v>
      </c>
      <c r="M99" s="125">
        <f>Lista!L98</f>
        <v>0</v>
      </c>
      <c r="N99" s="125">
        <f>Lista!M98</f>
        <v>0</v>
      </c>
      <c r="O99" s="125">
        <f>Lista!N98</f>
        <v>0</v>
      </c>
      <c r="P99" s="125">
        <f>Lista!O98</f>
        <v>0</v>
      </c>
      <c r="Q99" s="125">
        <f>Lista!P98</f>
        <v>0</v>
      </c>
      <c r="R99" s="125">
        <f>Lista!Q98</f>
        <v>0</v>
      </c>
      <c r="S99" s="125">
        <f>Lista!R98</f>
        <v>0</v>
      </c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81"/>
      <c r="CK99" s="81"/>
      <c r="CL99" s="81"/>
      <c r="CM99" s="81"/>
      <c r="CN99" s="81"/>
      <c r="CO99" s="81"/>
      <c r="CP99" s="81"/>
      <c r="CQ99" s="81"/>
      <c r="CR99" s="81"/>
      <c r="CS99" s="81"/>
      <c r="CT99" s="81"/>
      <c r="CU99" s="81"/>
      <c r="CV99" s="81"/>
      <c r="CW99" s="81"/>
      <c r="CX99" s="81"/>
      <c r="CY99" s="81"/>
      <c r="CZ99" s="81"/>
      <c r="DA99" s="81"/>
      <c r="DB99" s="81"/>
      <c r="DC99" s="81"/>
      <c r="DD99" s="81"/>
      <c r="DE99" s="81"/>
      <c r="DF99" s="81"/>
      <c r="DG99" s="81"/>
      <c r="DH99" s="81"/>
      <c r="DI99" s="81"/>
      <c r="DJ99" s="81"/>
      <c r="DK99" s="81"/>
      <c r="DL99" s="81"/>
      <c r="DM99" s="81"/>
      <c r="DN99" s="81"/>
      <c r="DO99" s="81"/>
      <c r="DP99" s="81"/>
      <c r="DQ99" s="81"/>
      <c r="DR99" s="81"/>
      <c r="DS99" s="81"/>
      <c r="DT99" s="81"/>
      <c r="DU99" s="81"/>
      <c r="DV99" s="81"/>
      <c r="DW99" s="121"/>
    </row>
    <row r="100" spans="1:127" x14ac:dyDescent="0.25">
      <c r="A100" s="2">
        <f>COUNTIF($D$2:D100,'Reporte de Nomina'!$E$2)</f>
        <v>0</v>
      </c>
      <c r="B100" s="125">
        <f>Lista!A99</f>
        <v>0</v>
      </c>
      <c r="C100" s="125">
        <f>Lista!B99</f>
        <v>0</v>
      </c>
      <c r="D100" s="125">
        <f>Lista!C99</f>
        <v>0</v>
      </c>
      <c r="E100" s="125">
        <f>Lista!D99</f>
        <v>0</v>
      </c>
      <c r="F100" s="125">
        <f>Lista!E99</f>
        <v>0</v>
      </c>
      <c r="G100" s="125">
        <f>Lista!F99</f>
        <v>0</v>
      </c>
      <c r="H100" s="125">
        <f>Lista!G99</f>
        <v>0</v>
      </c>
      <c r="I100" s="125">
        <f>Lista!H99</f>
        <v>0</v>
      </c>
      <c r="J100" s="125">
        <f>Lista!I99</f>
        <v>0</v>
      </c>
      <c r="K100" s="125">
        <f>Lista!J99</f>
        <v>0</v>
      </c>
      <c r="L100" s="125">
        <f>Lista!K99</f>
        <v>0</v>
      </c>
      <c r="M100" s="125">
        <f>Lista!L99</f>
        <v>0</v>
      </c>
      <c r="N100" s="125">
        <f>Lista!M99</f>
        <v>0</v>
      </c>
      <c r="O100" s="125">
        <f>Lista!N99</f>
        <v>0</v>
      </c>
      <c r="P100" s="125">
        <f>Lista!O99</f>
        <v>0</v>
      </c>
      <c r="Q100" s="125">
        <f>Lista!P99</f>
        <v>0</v>
      </c>
      <c r="R100" s="125">
        <f>Lista!Q99</f>
        <v>0</v>
      </c>
      <c r="S100" s="125">
        <f>Lista!R99</f>
        <v>0</v>
      </c>
      <c r="T100" s="81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81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  <c r="BA100" s="81"/>
      <c r="BB100" s="81"/>
      <c r="BC100" s="81"/>
      <c r="BD100" s="81"/>
      <c r="BE100" s="81"/>
      <c r="BF100" s="81"/>
      <c r="BG100" s="81"/>
      <c r="BH100" s="81"/>
      <c r="BI100" s="81"/>
      <c r="BJ100" s="81"/>
      <c r="BK100" s="81"/>
      <c r="BL100" s="81"/>
      <c r="BM100" s="81"/>
      <c r="BN100" s="81"/>
      <c r="BO100" s="81"/>
      <c r="BP100" s="81"/>
      <c r="BQ100" s="81"/>
      <c r="BR100" s="81"/>
      <c r="BS100" s="81"/>
      <c r="BT100" s="81"/>
      <c r="BU100" s="81"/>
      <c r="BV100" s="81"/>
      <c r="BW100" s="81"/>
      <c r="BX100" s="81"/>
      <c r="BY100" s="81"/>
      <c r="BZ100" s="81"/>
      <c r="CA100" s="81"/>
      <c r="CB100" s="81"/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  <c r="CM100" s="81"/>
      <c r="CN100" s="81"/>
      <c r="CO100" s="81"/>
      <c r="CP100" s="81"/>
      <c r="CQ100" s="81"/>
      <c r="CR100" s="81"/>
      <c r="CS100" s="81"/>
      <c r="CT100" s="81"/>
      <c r="CU100" s="81"/>
      <c r="CV100" s="81"/>
      <c r="CW100" s="81"/>
      <c r="CX100" s="81"/>
      <c r="CY100" s="81"/>
      <c r="CZ100" s="81"/>
      <c r="DA100" s="81"/>
      <c r="DB100" s="81"/>
      <c r="DC100" s="81"/>
      <c r="DD100" s="81"/>
      <c r="DE100" s="81"/>
      <c r="DF100" s="81"/>
      <c r="DG100" s="81"/>
      <c r="DH100" s="81"/>
      <c r="DI100" s="81"/>
      <c r="DJ100" s="81"/>
      <c r="DK100" s="81"/>
      <c r="DL100" s="81"/>
      <c r="DM100" s="81"/>
      <c r="DN100" s="81"/>
      <c r="DO100" s="81"/>
      <c r="DP100" s="81"/>
      <c r="DQ100" s="81"/>
      <c r="DR100" s="81"/>
      <c r="DS100" s="81"/>
      <c r="DT100" s="81"/>
      <c r="DU100" s="81"/>
      <c r="DV100" s="81"/>
      <c r="DW100" s="121"/>
    </row>
    <row r="101" spans="1:127" x14ac:dyDescent="0.25">
      <c r="A101" s="2">
        <f>COUNTIF($D$2:D101,'Reporte de Nomina'!$E$2)</f>
        <v>0</v>
      </c>
      <c r="B101" s="125">
        <f>Lista!A100</f>
        <v>0</v>
      </c>
      <c r="C101" s="125">
        <f>Lista!B100</f>
        <v>0</v>
      </c>
      <c r="D101" s="125">
        <f>Lista!C100</f>
        <v>0</v>
      </c>
      <c r="E101" s="125">
        <f>Lista!D100</f>
        <v>0</v>
      </c>
      <c r="F101" s="125">
        <f>Lista!E100</f>
        <v>0</v>
      </c>
      <c r="G101" s="125">
        <f>Lista!F100</f>
        <v>0</v>
      </c>
      <c r="H101" s="125">
        <f>Lista!G100</f>
        <v>0</v>
      </c>
      <c r="I101" s="125">
        <f>Lista!H100</f>
        <v>0</v>
      </c>
      <c r="J101" s="125">
        <f>Lista!I100</f>
        <v>0</v>
      </c>
      <c r="K101" s="125">
        <f>Lista!J100</f>
        <v>0</v>
      </c>
      <c r="L101" s="125">
        <f>Lista!K100</f>
        <v>0</v>
      </c>
      <c r="M101" s="125">
        <f>Lista!L100</f>
        <v>0</v>
      </c>
      <c r="N101" s="125">
        <f>Lista!M100</f>
        <v>0</v>
      </c>
      <c r="O101" s="125">
        <f>Lista!N100</f>
        <v>0</v>
      </c>
      <c r="P101" s="125">
        <f>Lista!O100</f>
        <v>0</v>
      </c>
      <c r="Q101" s="125">
        <f>Lista!P100</f>
        <v>0</v>
      </c>
      <c r="R101" s="125">
        <f>Lista!Q100</f>
        <v>0</v>
      </c>
      <c r="S101" s="125">
        <f>Lista!R100</f>
        <v>0</v>
      </c>
      <c r="T101" s="81"/>
      <c r="U101" s="81"/>
      <c r="V101" s="81"/>
      <c r="W101" s="81"/>
      <c r="X101" s="81"/>
      <c r="Y101" s="81"/>
      <c r="Z101" s="81"/>
      <c r="AA101" s="81"/>
      <c r="AB101" s="81"/>
      <c r="AC101" s="81"/>
      <c r="AD101" s="81"/>
      <c r="AE101" s="81"/>
      <c r="AF101" s="81"/>
      <c r="AG101" s="81"/>
      <c r="AH101" s="81"/>
      <c r="AI101" s="81"/>
      <c r="AJ101" s="81"/>
      <c r="AK101" s="81"/>
      <c r="AL101" s="81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  <c r="BA101" s="81"/>
      <c r="BB101" s="81"/>
      <c r="BC101" s="81"/>
      <c r="BD101" s="81"/>
      <c r="BE101" s="81"/>
      <c r="BF101" s="81"/>
      <c r="BG101" s="81"/>
      <c r="BH101" s="81"/>
      <c r="BI101" s="81"/>
      <c r="BJ101" s="81"/>
      <c r="BK101" s="81"/>
      <c r="BL101" s="81"/>
      <c r="BM101" s="81"/>
      <c r="BN101" s="81"/>
      <c r="BO101" s="81"/>
      <c r="BP101" s="81"/>
      <c r="BQ101" s="81"/>
      <c r="BR101" s="81"/>
      <c r="BS101" s="81"/>
      <c r="BT101" s="81"/>
      <c r="BU101" s="81"/>
      <c r="BV101" s="81"/>
      <c r="BW101" s="81"/>
      <c r="BX101" s="81"/>
      <c r="BY101" s="81"/>
      <c r="BZ101" s="81"/>
      <c r="CA101" s="81"/>
      <c r="CB101" s="81"/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  <c r="CM101" s="81"/>
      <c r="CN101" s="81"/>
      <c r="CO101" s="81"/>
      <c r="CP101" s="81"/>
      <c r="CQ101" s="81"/>
      <c r="CR101" s="81"/>
      <c r="CS101" s="81"/>
      <c r="CT101" s="81"/>
      <c r="CU101" s="81"/>
      <c r="CV101" s="81"/>
      <c r="CW101" s="81"/>
      <c r="CX101" s="81"/>
      <c r="CY101" s="81"/>
      <c r="CZ101" s="81"/>
      <c r="DA101" s="81"/>
      <c r="DB101" s="81"/>
      <c r="DC101" s="81"/>
      <c r="DD101" s="81"/>
      <c r="DE101" s="81"/>
      <c r="DF101" s="81"/>
      <c r="DG101" s="81"/>
      <c r="DH101" s="81"/>
      <c r="DI101" s="81"/>
      <c r="DJ101" s="81"/>
      <c r="DK101" s="81"/>
      <c r="DL101" s="81"/>
      <c r="DM101" s="81"/>
      <c r="DN101" s="81"/>
      <c r="DO101" s="81"/>
      <c r="DP101" s="81"/>
      <c r="DQ101" s="81"/>
      <c r="DR101" s="81"/>
      <c r="DS101" s="81"/>
      <c r="DT101" s="81"/>
      <c r="DU101" s="81"/>
      <c r="DV101" s="81"/>
      <c r="DW101" s="121"/>
    </row>
    <row r="102" spans="1:127" x14ac:dyDescent="0.25">
      <c r="A102" s="2">
        <f>COUNTIF($D$2:D102,'Reporte de Nomina'!$E$2)</f>
        <v>0</v>
      </c>
      <c r="B102" s="125">
        <f>Lista!A101</f>
        <v>0</v>
      </c>
      <c r="C102" s="125">
        <f>Lista!B101</f>
        <v>0</v>
      </c>
      <c r="D102" s="125">
        <f>Lista!C101</f>
        <v>0</v>
      </c>
      <c r="E102" s="125">
        <f>Lista!D101</f>
        <v>0</v>
      </c>
      <c r="F102" s="125">
        <f>Lista!E101</f>
        <v>0</v>
      </c>
      <c r="G102" s="125">
        <f>Lista!F101</f>
        <v>0</v>
      </c>
      <c r="H102" s="125">
        <f>Lista!G101</f>
        <v>0</v>
      </c>
      <c r="I102" s="125">
        <f>Lista!H101</f>
        <v>0</v>
      </c>
      <c r="J102" s="125">
        <f>Lista!I101</f>
        <v>0</v>
      </c>
      <c r="K102" s="125">
        <f>Lista!J101</f>
        <v>0</v>
      </c>
      <c r="L102" s="125">
        <f>Lista!K101</f>
        <v>0</v>
      </c>
      <c r="M102" s="125">
        <f>Lista!L101</f>
        <v>0</v>
      </c>
      <c r="N102" s="125">
        <f>Lista!M101</f>
        <v>0</v>
      </c>
      <c r="O102" s="125">
        <f>Lista!N101</f>
        <v>0</v>
      </c>
      <c r="P102" s="125">
        <f>Lista!O101</f>
        <v>0</v>
      </c>
      <c r="Q102" s="125">
        <f>Lista!P101</f>
        <v>0</v>
      </c>
      <c r="R102" s="125">
        <f>Lista!Q101</f>
        <v>0</v>
      </c>
      <c r="S102" s="125">
        <f>Lista!R101</f>
        <v>0</v>
      </c>
      <c r="T102" s="81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81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  <c r="BA102" s="81"/>
      <c r="BB102" s="81"/>
      <c r="BC102" s="81"/>
      <c r="BD102" s="81"/>
      <c r="BE102" s="81"/>
      <c r="BF102" s="81"/>
      <c r="BG102" s="81"/>
      <c r="BH102" s="81"/>
      <c r="BI102" s="81"/>
      <c r="BJ102" s="81"/>
      <c r="BK102" s="81"/>
      <c r="BL102" s="81"/>
      <c r="BM102" s="81"/>
      <c r="BN102" s="81"/>
      <c r="BO102" s="81"/>
      <c r="BP102" s="81"/>
      <c r="BQ102" s="81"/>
      <c r="BR102" s="81"/>
      <c r="BS102" s="81"/>
      <c r="BT102" s="81"/>
      <c r="BU102" s="81"/>
      <c r="BV102" s="81"/>
      <c r="BW102" s="81"/>
      <c r="BX102" s="81"/>
      <c r="BY102" s="81"/>
      <c r="BZ102" s="81"/>
      <c r="CA102" s="81"/>
      <c r="CB102" s="81"/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  <c r="CM102" s="81"/>
      <c r="CN102" s="81"/>
      <c r="CO102" s="81"/>
      <c r="CP102" s="81"/>
      <c r="CQ102" s="81"/>
      <c r="CR102" s="81"/>
      <c r="CS102" s="81"/>
      <c r="CT102" s="81"/>
      <c r="CU102" s="81"/>
      <c r="CV102" s="81"/>
      <c r="CW102" s="81"/>
      <c r="CX102" s="81"/>
      <c r="CY102" s="81"/>
      <c r="CZ102" s="81"/>
      <c r="DA102" s="81"/>
      <c r="DB102" s="81"/>
      <c r="DC102" s="81"/>
      <c r="DD102" s="81"/>
      <c r="DE102" s="81"/>
      <c r="DF102" s="81"/>
      <c r="DG102" s="81"/>
      <c r="DH102" s="81"/>
      <c r="DI102" s="81"/>
      <c r="DJ102" s="81"/>
      <c r="DK102" s="81"/>
      <c r="DL102" s="81"/>
      <c r="DM102" s="81"/>
      <c r="DN102" s="81"/>
      <c r="DO102" s="81"/>
      <c r="DP102" s="81"/>
      <c r="DQ102" s="81"/>
      <c r="DR102" s="81"/>
      <c r="DS102" s="81"/>
      <c r="DT102" s="81"/>
      <c r="DU102" s="81"/>
      <c r="DV102" s="81"/>
      <c r="DW102" s="121"/>
    </row>
    <row r="103" spans="1:127" x14ac:dyDescent="0.25">
      <c r="A103" s="2">
        <f>COUNTIF($D$2:D103,'Reporte de Nomina'!$E$2)</f>
        <v>0</v>
      </c>
      <c r="B103" s="125">
        <f>Lista!A102</f>
        <v>0</v>
      </c>
      <c r="C103" s="125">
        <f>Lista!B102</f>
        <v>0</v>
      </c>
      <c r="D103" s="125">
        <f>Lista!C102</f>
        <v>0</v>
      </c>
      <c r="E103" s="125">
        <f>Lista!D102</f>
        <v>0</v>
      </c>
      <c r="F103" s="125">
        <f>Lista!E102</f>
        <v>0</v>
      </c>
      <c r="G103" s="125">
        <f>Lista!F102</f>
        <v>0</v>
      </c>
      <c r="H103" s="125">
        <f>Lista!G102</f>
        <v>0</v>
      </c>
      <c r="I103" s="125">
        <f>Lista!H102</f>
        <v>0</v>
      </c>
      <c r="J103" s="125">
        <f>Lista!I102</f>
        <v>0</v>
      </c>
      <c r="K103" s="125">
        <f>Lista!J102</f>
        <v>0</v>
      </c>
      <c r="L103" s="125">
        <f>Lista!K102</f>
        <v>0</v>
      </c>
      <c r="M103" s="125">
        <f>Lista!L102</f>
        <v>0</v>
      </c>
      <c r="N103" s="125">
        <f>Lista!M102</f>
        <v>0</v>
      </c>
      <c r="O103" s="125">
        <f>Lista!N102</f>
        <v>0</v>
      </c>
      <c r="P103" s="125">
        <f>Lista!O102</f>
        <v>0</v>
      </c>
      <c r="Q103" s="125">
        <f>Lista!P102</f>
        <v>0</v>
      </c>
      <c r="R103" s="125">
        <f>Lista!Q102</f>
        <v>0</v>
      </c>
      <c r="S103" s="125">
        <f>Lista!R102</f>
        <v>0</v>
      </c>
      <c r="T103" s="81"/>
      <c r="U103" s="81"/>
      <c r="V103" s="81"/>
      <c r="W103" s="81"/>
      <c r="X103" s="81"/>
      <c r="Y103" s="81"/>
      <c r="Z103" s="81"/>
      <c r="AA103" s="81"/>
      <c r="AB103" s="81"/>
      <c r="AC103" s="81"/>
      <c r="AD103" s="81"/>
      <c r="AE103" s="81"/>
      <c r="AF103" s="81"/>
      <c r="AG103" s="81"/>
      <c r="AH103" s="81"/>
      <c r="AI103" s="81"/>
      <c r="AJ103" s="81"/>
      <c r="AK103" s="81"/>
      <c r="AL103" s="81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  <c r="BA103" s="81"/>
      <c r="BB103" s="81"/>
      <c r="BC103" s="81"/>
      <c r="BD103" s="81"/>
      <c r="BE103" s="81"/>
      <c r="BF103" s="81"/>
      <c r="BG103" s="81"/>
      <c r="BH103" s="81"/>
      <c r="BI103" s="81"/>
      <c r="BJ103" s="81"/>
      <c r="BK103" s="81"/>
      <c r="BL103" s="81"/>
      <c r="BM103" s="81"/>
      <c r="BN103" s="81"/>
      <c r="BO103" s="81"/>
      <c r="BP103" s="81"/>
      <c r="BQ103" s="81"/>
      <c r="BR103" s="81"/>
      <c r="BS103" s="81"/>
      <c r="BT103" s="81"/>
      <c r="BU103" s="81"/>
      <c r="BV103" s="81"/>
      <c r="BW103" s="81"/>
      <c r="BX103" s="81"/>
      <c r="BY103" s="81"/>
      <c r="BZ103" s="81"/>
      <c r="CA103" s="81"/>
      <c r="CB103" s="81"/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  <c r="CM103" s="81"/>
      <c r="CN103" s="81"/>
      <c r="CO103" s="81"/>
      <c r="CP103" s="81"/>
      <c r="CQ103" s="81"/>
      <c r="CR103" s="81"/>
      <c r="CS103" s="81"/>
      <c r="CT103" s="81"/>
      <c r="CU103" s="81"/>
      <c r="CV103" s="81"/>
      <c r="CW103" s="81"/>
      <c r="CX103" s="81"/>
      <c r="CY103" s="81"/>
      <c r="CZ103" s="81"/>
      <c r="DA103" s="81"/>
      <c r="DB103" s="81"/>
      <c r="DC103" s="81"/>
      <c r="DD103" s="81"/>
      <c r="DE103" s="81"/>
      <c r="DF103" s="81"/>
      <c r="DG103" s="81"/>
      <c r="DH103" s="81"/>
      <c r="DI103" s="81"/>
      <c r="DJ103" s="81"/>
      <c r="DK103" s="81"/>
      <c r="DL103" s="81"/>
      <c r="DM103" s="81"/>
      <c r="DN103" s="81"/>
      <c r="DO103" s="81"/>
      <c r="DP103" s="81"/>
      <c r="DQ103" s="81"/>
      <c r="DR103" s="81"/>
      <c r="DS103" s="81"/>
      <c r="DT103" s="81"/>
      <c r="DU103" s="81"/>
      <c r="DV103" s="81"/>
      <c r="DW103" s="121"/>
    </row>
    <row r="104" spans="1:127" x14ac:dyDescent="0.25">
      <c r="A104" s="2">
        <f>COUNTIF($D$2:D104,'Reporte de Nomina'!$E$2)</f>
        <v>0</v>
      </c>
      <c r="B104" s="125">
        <f>Lista!A103</f>
        <v>0</v>
      </c>
      <c r="C104" s="125">
        <f>Lista!B103</f>
        <v>0</v>
      </c>
      <c r="D104" s="125">
        <f>Lista!C103</f>
        <v>0</v>
      </c>
      <c r="E104" s="125">
        <f>Lista!D103</f>
        <v>0</v>
      </c>
      <c r="F104" s="125">
        <f>Lista!E103</f>
        <v>0</v>
      </c>
      <c r="G104" s="125">
        <f>Lista!F103</f>
        <v>0</v>
      </c>
      <c r="H104" s="125">
        <f>Lista!G103</f>
        <v>0</v>
      </c>
      <c r="I104" s="125">
        <f>Lista!H103</f>
        <v>0</v>
      </c>
      <c r="J104" s="125">
        <f>Lista!I103</f>
        <v>0</v>
      </c>
      <c r="K104" s="125">
        <f>Lista!J103</f>
        <v>0</v>
      </c>
      <c r="L104" s="125">
        <f>Lista!K103</f>
        <v>0</v>
      </c>
      <c r="M104" s="125">
        <f>Lista!L103</f>
        <v>0</v>
      </c>
      <c r="N104" s="125">
        <f>Lista!M103</f>
        <v>0</v>
      </c>
      <c r="O104" s="125">
        <f>Lista!N103</f>
        <v>0</v>
      </c>
      <c r="P104" s="125">
        <f>Lista!O103</f>
        <v>0</v>
      </c>
      <c r="Q104" s="125">
        <f>Lista!P103</f>
        <v>0</v>
      </c>
      <c r="R104" s="125">
        <f>Lista!Q103</f>
        <v>0</v>
      </c>
      <c r="S104" s="125">
        <f>Lista!R103</f>
        <v>0</v>
      </c>
      <c r="T104" s="81"/>
      <c r="U104" s="81"/>
      <c r="V104" s="81"/>
      <c r="W104" s="81"/>
      <c r="X104" s="81"/>
      <c r="Y104" s="81"/>
      <c r="Z104" s="81"/>
      <c r="AA104" s="81"/>
      <c r="AB104" s="81"/>
      <c r="AC104" s="81"/>
      <c r="AD104" s="81"/>
      <c r="AE104" s="81"/>
      <c r="AF104" s="81"/>
      <c r="AG104" s="81"/>
      <c r="AH104" s="81"/>
      <c r="AI104" s="81"/>
      <c r="AJ104" s="81"/>
      <c r="AK104" s="81"/>
      <c r="AL104" s="81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  <c r="BA104" s="81"/>
      <c r="BB104" s="81"/>
      <c r="BC104" s="81"/>
      <c r="BD104" s="81"/>
      <c r="BE104" s="81"/>
      <c r="BF104" s="81"/>
      <c r="BG104" s="81"/>
      <c r="BH104" s="81"/>
      <c r="BI104" s="81"/>
      <c r="BJ104" s="81"/>
      <c r="BK104" s="81"/>
      <c r="BL104" s="81"/>
      <c r="BM104" s="81"/>
      <c r="BN104" s="81"/>
      <c r="BO104" s="81"/>
      <c r="BP104" s="81"/>
      <c r="BQ104" s="81"/>
      <c r="BR104" s="81"/>
      <c r="BS104" s="81"/>
      <c r="BT104" s="81"/>
      <c r="BU104" s="81"/>
      <c r="BV104" s="81"/>
      <c r="BW104" s="81"/>
      <c r="BX104" s="81"/>
      <c r="BY104" s="81"/>
      <c r="BZ104" s="81"/>
      <c r="CA104" s="81"/>
      <c r="CB104" s="81"/>
      <c r="CC104" s="81"/>
      <c r="CD104" s="81"/>
      <c r="CE104" s="81"/>
      <c r="CF104" s="81"/>
      <c r="CG104" s="81"/>
      <c r="CH104" s="81"/>
      <c r="CI104" s="81"/>
      <c r="CJ104" s="81"/>
      <c r="CK104" s="81"/>
      <c r="CL104" s="81"/>
      <c r="CM104" s="81"/>
      <c r="CN104" s="81"/>
      <c r="CO104" s="81"/>
      <c r="CP104" s="81"/>
      <c r="CQ104" s="81"/>
      <c r="CR104" s="81"/>
      <c r="CS104" s="81"/>
      <c r="CT104" s="81"/>
      <c r="CU104" s="81"/>
      <c r="CV104" s="81"/>
      <c r="CW104" s="81"/>
      <c r="CX104" s="81"/>
      <c r="CY104" s="81"/>
      <c r="CZ104" s="81"/>
      <c r="DA104" s="81"/>
      <c r="DB104" s="81"/>
      <c r="DC104" s="81"/>
      <c r="DD104" s="81"/>
      <c r="DE104" s="81"/>
      <c r="DF104" s="81"/>
      <c r="DG104" s="81"/>
      <c r="DH104" s="81"/>
      <c r="DI104" s="81"/>
      <c r="DJ104" s="81"/>
      <c r="DK104" s="81"/>
      <c r="DL104" s="81"/>
      <c r="DM104" s="81"/>
      <c r="DN104" s="81"/>
      <c r="DO104" s="81"/>
      <c r="DP104" s="81"/>
      <c r="DQ104" s="81"/>
      <c r="DR104" s="81"/>
      <c r="DS104" s="81"/>
      <c r="DT104" s="81"/>
      <c r="DU104" s="81"/>
      <c r="DV104" s="81"/>
      <c r="DW104" s="121"/>
    </row>
    <row r="105" spans="1:127" x14ac:dyDescent="0.25">
      <c r="A105" s="2">
        <f>COUNTIF($D$2:D105,'Reporte de Nomina'!$E$2)</f>
        <v>0</v>
      </c>
      <c r="B105" s="125">
        <f>Lista!A104</f>
        <v>0</v>
      </c>
      <c r="C105" s="125">
        <f>Lista!B104</f>
        <v>0</v>
      </c>
      <c r="D105" s="125">
        <f>Lista!C104</f>
        <v>0</v>
      </c>
      <c r="E105" s="125">
        <f>Lista!D104</f>
        <v>0</v>
      </c>
      <c r="F105" s="125">
        <f>Lista!E104</f>
        <v>0</v>
      </c>
      <c r="G105" s="125">
        <f>Lista!F104</f>
        <v>0</v>
      </c>
      <c r="H105" s="125">
        <f>Lista!G104</f>
        <v>0</v>
      </c>
      <c r="I105" s="125">
        <f>Lista!H104</f>
        <v>0</v>
      </c>
      <c r="J105" s="125">
        <f>Lista!I104</f>
        <v>0</v>
      </c>
      <c r="K105" s="125">
        <f>Lista!J104</f>
        <v>0</v>
      </c>
      <c r="L105" s="125">
        <f>Lista!K104</f>
        <v>0</v>
      </c>
      <c r="M105" s="125">
        <f>Lista!L104</f>
        <v>0</v>
      </c>
      <c r="N105" s="125">
        <f>Lista!M104</f>
        <v>0</v>
      </c>
      <c r="O105" s="125">
        <f>Lista!N104</f>
        <v>0</v>
      </c>
      <c r="P105" s="125">
        <f>Lista!O104</f>
        <v>0</v>
      </c>
      <c r="Q105" s="125">
        <f>Lista!P104</f>
        <v>0</v>
      </c>
      <c r="R105" s="125">
        <f>Lista!Q104</f>
        <v>0</v>
      </c>
      <c r="S105" s="125">
        <f>Lista!R104</f>
        <v>0</v>
      </c>
      <c r="T105" s="81"/>
      <c r="U105" s="81"/>
      <c r="V105" s="81"/>
      <c r="W105" s="81"/>
      <c r="X105" s="81"/>
      <c r="Y105" s="81"/>
      <c r="Z105" s="81"/>
      <c r="AA105" s="81"/>
      <c r="AB105" s="81"/>
      <c r="AC105" s="81"/>
      <c r="AD105" s="81"/>
      <c r="AE105" s="81"/>
      <c r="AF105" s="81"/>
      <c r="AG105" s="81"/>
      <c r="AH105" s="81"/>
      <c r="AI105" s="81"/>
      <c r="AJ105" s="81"/>
      <c r="AK105" s="81"/>
      <c r="AL105" s="81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  <c r="BA105" s="81"/>
      <c r="BB105" s="81"/>
      <c r="BC105" s="81"/>
      <c r="BD105" s="81"/>
      <c r="BE105" s="81"/>
      <c r="BF105" s="81"/>
      <c r="BG105" s="81"/>
      <c r="BH105" s="81"/>
      <c r="BI105" s="81"/>
      <c r="BJ105" s="81"/>
      <c r="BK105" s="81"/>
      <c r="BL105" s="81"/>
      <c r="BM105" s="81"/>
      <c r="BN105" s="81"/>
      <c r="BO105" s="81"/>
      <c r="BP105" s="81"/>
      <c r="BQ105" s="81"/>
      <c r="BR105" s="81"/>
      <c r="BS105" s="81"/>
      <c r="BT105" s="81"/>
      <c r="BU105" s="81"/>
      <c r="BV105" s="81"/>
      <c r="BW105" s="81"/>
      <c r="BX105" s="81"/>
      <c r="BY105" s="81"/>
      <c r="BZ105" s="81"/>
      <c r="CA105" s="81"/>
      <c r="CB105" s="81"/>
      <c r="CC105" s="81"/>
      <c r="CD105" s="81"/>
      <c r="CE105" s="81"/>
      <c r="CF105" s="81"/>
      <c r="CG105" s="81"/>
      <c r="CH105" s="81"/>
      <c r="CI105" s="81"/>
      <c r="CJ105" s="81"/>
      <c r="CK105" s="81"/>
      <c r="CL105" s="81"/>
      <c r="CM105" s="81"/>
      <c r="CN105" s="81"/>
      <c r="CO105" s="81"/>
      <c r="CP105" s="81"/>
      <c r="CQ105" s="81"/>
      <c r="CR105" s="81"/>
      <c r="CS105" s="81"/>
      <c r="CT105" s="81"/>
      <c r="CU105" s="81"/>
      <c r="CV105" s="81"/>
      <c r="CW105" s="81"/>
      <c r="CX105" s="81"/>
      <c r="CY105" s="81"/>
      <c r="CZ105" s="81"/>
      <c r="DA105" s="81"/>
      <c r="DB105" s="81"/>
      <c r="DC105" s="81"/>
      <c r="DD105" s="81"/>
      <c r="DE105" s="81"/>
      <c r="DF105" s="81"/>
      <c r="DG105" s="81"/>
      <c r="DH105" s="81"/>
      <c r="DI105" s="81"/>
      <c r="DJ105" s="81"/>
      <c r="DK105" s="81"/>
      <c r="DL105" s="81"/>
      <c r="DM105" s="81"/>
      <c r="DN105" s="81"/>
      <c r="DO105" s="81"/>
      <c r="DP105" s="81"/>
      <c r="DQ105" s="81"/>
      <c r="DR105" s="81"/>
      <c r="DS105" s="81"/>
      <c r="DT105" s="81"/>
      <c r="DU105" s="81"/>
      <c r="DV105" s="81"/>
      <c r="DW105" s="121"/>
    </row>
    <row r="106" spans="1:127" x14ac:dyDescent="0.25">
      <c r="A106" s="2">
        <f>COUNTIF($D$2:D106,'Reporte de Nomina'!$E$2)</f>
        <v>0</v>
      </c>
      <c r="B106" s="125">
        <f>Lista!A105</f>
        <v>0</v>
      </c>
      <c r="C106" s="125">
        <f>Lista!B105</f>
        <v>0</v>
      </c>
      <c r="D106" s="125">
        <f>Lista!C105</f>
        <v>0</v>
      </c>
      <c r="E106" s="125">
        <f>Lista!D105</f>
        <v>0</v>
      </c>
      <c r="F106" s="125">
        <f>Lista!E105</f>
        <v>0</v>
      </c>
      <c r="G106" s="125">
        <f>Lista!F105</f>
        <v>0</v>
      </c>
      <c r="H106" s="125">
        <f>Lista!G105</f>
        <v>0</v>
      </c>
      <c r="I106" s="125">
        <f>Lista!H105</f>
        <v>0</v>
      </c>
      <c r="J106" s="125">
        <f>Lista!I105</f>
        <v>0</v>
      </c>
      <c r="K106" s="125">
        <f>Lista!J105</f>
        <v>0</v>
      </c>
      <c r="L106" s="125">
        <f>Lista!K105</f>
        <v>0</v>
      </c>
      <c r="M106" s="125">
        <f>Lista!L105</f>
        <v>0</v>
      </c>
      <c r="N106" s="125">
        <f>Lista!M105</f>
        <v>0</v>
      </c>
      <c r="O106" s="125">
        <f>Lista!N105</f>
        <v>0</v>
      </c>
      <c r="P106" s="125">
        <f>Lista!O105</f>
        <v>0</v>
      </c>
      <c r="Q106" s="125">
        <f>Lista!P105</f>
        <v>0</v>
      </c>
      <c r="R106" s="125">
        <f>Lista!Q105</f>
        <v>0</v>
      </c>
      <c r="S106" s="125">
        <f>Lista!R105</f>
        <v>0</v>
      </c>
      <c r="T106" s="81"/>
      <c r="U106" s="81"/>
      <c r="V106" s="81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81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  <c r="BA106" s="81"/>
      <c r="BB106" s="81"/>
      <c r="BC106" s="81"/>
      <c r="BD106" s="81"/>
      <c r="BE106" s="81"/>
      <c r="BF106" s="81"/>
      <c r="BG106" s="81"/>
      <c r="BH106" s="81"/>
      <c r="BI106" s="81"/>
      <c r="BJ106" s="81"/>
      <c r="BK106" s="81"/>
      <c r="BL106" s="81"/>
      <c r="BM106" s="81"/>
      <c r="BN106" s="81"/>
      <c r="BO106" s="81"/>
      <c r="BP106" s="81"/>
      <c r="BQ106" s="81"/>
      <c r="BR106" s="81"/>
      <c r="BS106" s="81"/>
      <c r="BT106" s="81"/>
      <c r="BU106" s="81"/>
      <c r="BV106" s="81"/>
      <c r="BW106" s="81"/>
      <c r="BX106" s="81"/>
      <c r="BY106" s="81"/>
      <c r="BZ106" s="81"/>
      <c r="CA106" s="81"/>
      <c r="CB106" s="81"/>
      <c r="CC106" s="81"/>
      <c r="CD106" s="81"/>
      <c r="CE106" s="81"/>
      <c r="CF106" s="81"/>
      <c r="CG106" s="81"/>
      <c r="CH106" s="81"/>
      <c r="CI106" s="81"/>
      <c r="CJ106" s="81"/>
      <c r="CK106" s="81"/>
      <c r="CL106" s="81"/>
      <c r="CM106" s="81"/>
      <c r="CN106" s="81"/>
      <c r="CO106" s="81"/>
      <c r="CP106" s="81"/>
      <c r="CQ106" s="81"/>
      <c r="CR106" s="81"/>
      <c r="CS106" s="81"/>
      <c r="CT106" s="81"/>
      <c r="CU106" s="81"/>
      <c r="CV106" s="81"/>
      <c r="CW106" s="81"/>
      <c r="CX106" s="81"/>
      <c r="CY106" s="81"/>
      <c r="CZ106" s="81"/>
      <c r="DA106" s="81"/>
      <c r="DB106" s="81"/>
      <c r="DC106" s="81"/>
      <c r="DD106" s="81"/>
      <c r="DE106" s="81"/>
      <c r="DF106" s="81"/>
      <c r="DG106" s="81"/>
      <c r="DH106" s="81"/>
      <c r="DI106" s="81"/>
      <c r="DJ106" s="81"/>
      <c r="DK106" s="81"/>
      <c r="DL106" s="81"/>
      <c r="DM106" s="81"/>
      <c r="DN106" s="81"/>
      <c r="DO106" s="81"/>
      <c r="DP106" s="81"/>
      <c r="DQ106" s="81"/>
      <c r="DR106" s="81"/>
      <c r="DS106" s="81"/>
      <c r="DT106" s="81"/>
      <c r="DU106" s="81"/>
      <c r="DV106" s="81"/>
      <c r="DW106" s="121"/>
    </row>
    <row r="107" spans="1:127" x14ac:dyDescent="0.25">
      <c r="A107" s="2">
        <f>COUNTIF($D$2:D107,'Reporte de Nomina'!$E$2)</f>
        <v>0</v>
      </c>
      <c r="B107" s="125">
        <f>Lista!A106</f>
        <v>0</v>
      </c>
      <c r="C107" s="125">
        <f>Lista!B106</f>
        <v>0</v>
      </c>
      <c r="D107" s="125">
        <f>Lista!C106</f>
        <v>0</v>
      </c>
      <c r="E107" s="125">
        <f>Lista!D106</f>
        <v>0</v>
      </c>
      <c r="F107" s="125">
        <f>Lista!E106</f>
        <v>0</v>
      </c>
      <c r="G107" s="125">
        <f>Lista!F106</f>
        <v>0</v>
      </c>
      <c r="H107" s="125">
        <f>Lista!G106</f>
        <v>0</v>
      </c>
      <c r="I107" s="125">
        <f>Lista!H106</f>
        <v>0</v>
      </c>
      <c r="J107" s="125">
        <f>Lista!I106</f>
        <v>0</v>
      </c>
      <c r="K107" s="125">
        <f>Lista!J106</f>
        <v>0</v>
      </c>
      <c r="L107" s="125">
        <f>Lista!K106</f>
        <v>0</v>
      </c>
      <c r="M107" s="125">
        <f>Lista!L106</f>
        <v>0</v>
      </c>
      <c r="N107" s="125">
        <f>Lista!M106</f>
        <v>0</v>
      </c>
      <c r="O107" s="125">
        <f>Lista!N106</f>
        <v>0</v>
      </c>
      <c r="P107" s="125">
        <f>Lista!O106</f>
        <v>0</v>
      </c>
      <c r="Q107" s="125">
        <f>Lista!P106</f>
        <v>0</v>
      </c>
      <c r="R107" s="125">
        <f>Lista!Q106</f>
        <v>0</v>
      </c>
      <c r="S107" s="125">
        <f>Lista!R106</f>
        <v>0</v>
      </c>
      <c r="T107" s="81"/>
      <c r="U107" s="81"/>
      <c r="V107" s="81"/>
      <c r="W107" s="81"/>
      <c r="X107" s="81"/>
      <c r="Y107" s="81"/>
      <c r="Z107" s="81"/>
      <c r="AA107" s="81"/>
      <c r="AB107" s="81"/>
      <c r="AC107" s="81"/>
      <c r="AD107" s="81"/>
      <c r="AE107" s="81"/>
      <c r="AF107" s="81"/>
      <c r="AG107" s="81"/>
      <c r="AH107" s="81"/>
      <c r="AI107" s="81"/>
      <c r="AJ107" s="81"/>
      <c r="AK107" s="81"/>
      <c r="AL107" s="81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  <c r="BA107" s="81"/>
      <c r="BB107" s="81"/>
      <c r="BC107" s="81"/>
      <c r="BD107" s="81"/>
      <c r="BE107" s="81"/>
      <c r="BF107" s="81"/>
      <c r="BG107" s="81"/>
      <c r="BH107" s="81"/>
      <c r="BI107" s="81"/>
      <c r="BJ107" s="81"/>
      <c r="BK107" s="81"/>
      <c r="BL107" s="81"/>
      <c r="BM107" s="81"/>
      <c r="BN107" s="81"/>
      <c r="BO107" s="81"/>
      <c r="BP107" s="81"/>
      <c r="BQ107" s="81"/>
      <c r="BR107" s="81"/>
      <c r="BS107" s="81"/>
      <c r="BT107" s="81"/>
      <c r="BU107" s="81"/>
      <c r="BV107" s="81"/>
      <c r="BW107" s="81"/>
      <c r="BX107" s="81"/>
      <c r="BY107" s="81"/>
      <c r="BZ107" s="81"/>
      <c r="CA107" s="81"/>
      <c r="CB107" s="81"/>
      <c r="CC107" s="81"/>
      <c r="CD107" s="81"/>
      <c r="CE107" s="81"/>
      <c r="CF107" s="81"/>
      <c r="CG107" s="81"/>
      <c r="CH107" s="81"/>
      <c r="CI107" s="81"/>
      <c r="CJ107" s="81"/>
      <c r="CK107" s="81"/>
      <c r="CL107" s="81"/>
      <c r="CM107" s="81"/>
      <c r="CN107" s="81"/>
      <c r="CO107" s="81"/>
      <c r="CP107" s="81"/>
      <c r="CQ107" s="81"/>
      <c r="CR107" s="81"/>
      <c r="CS107" s="81"/>
      <c r="CT107" s="81"/>
      <c r="CU107" s="81"/>
      <c r="CV107" s="81"/>
      <c r="CW107" s="81"/>
      <c r="CX107" s="81"/>
      <c r="CY107" s="81"/>
      <c r="CZ107" s="81"/>
      <c r="DA107" s="81"/>
      <c r="DB107" s="81"/>
      <c r="DC107" s="81"/>
      <c r="DD107" s="81"/>
      <c r="DE107" s="81"/>
      <c r="DF107" s="81"/>
      <c r="DG107" s="81"/>
      <c r="DH107" s="81"/>
      <c r="DI107" s="81"/>
      <c r="DJ107" s="81"/>
      <c r="DK107" s="81"/>
      <c r="DL107" s="81"/>
      <c r="DM107" s="81"/>
      <c r="DN107" s="81"/>
      <c r="DO107" s="81"/>
      <c r="DP107" s="81"/>
      <c r="DQ107" s="81"/>
      <c r="DR107" s="81"/>
      <c r="DS107" s="81"/>
      <c r="DT107" s="81"/>
      <c r="DU107" s="81"/>
      <c r="DV107" s="81"/>
      <c r="DW107" s="121"/>
    </row>
    <row r="108" spans="1:127" x14ac:dyDescent="0.25">
      <c r="A108" s="2">
        <f>COUNTIF($D$2:D108,'Reporte de Nomina'!$E$2)</f>
        <v>0</v>
      </c>
      <c r="B108" s="125">
        <f>Lista!A107</f>
        <v>0</v>
      </c>
      <c r="C108" s="125">
        <f>Lista!B107</f>
        <v>0</v>
      </c>
      <c r="D108" s="125">
        <f>Lista!C107</f>
        <v>0</v>
      </c>
      <c r="E108" s="125">
        <f>Lista!D107</f>
        <v>0</v>
      </c>
      <c r="F108" s="125">
        <f>Lista!E107</f>
        <v>0</v>
      </c>
      <c r="G108" s="125">
        <f>Lista!F107</f>
        <v>0</v>
      </c>
      <c r="H108" s="125">
        <f>Lista!G107</f>
        <v>0</v>
      </c>
      <c r="I108" s="125">
        <f>Lista!H107</f>
        <v>0</v>
      </c>
      <c r="J108" s="125">
        <f>Lista!I107</f>
        <v>0</v>
      </c>
      <c r="K108" s="125">
        <f>Lista!J107</f>
        <v>0</v>
      </c>
      <c r="L108" s="125">
        <f>Lista!K107</f>
        <v>0</v>
      </c>
      <c r="M108" s="125">
        <f>Lista!L107</f>
        <v>0</v>
      </c>
      <c r="N108" s="125">
        <f>Lista!M107</f>
        <v>0</v>
      </c>
      <c r="O108" s="125">
        <f>Lista!N107</f>
        <v>0</v>
      </c>
      <c r="P108" s="125">
        <f>Lista!O107</f>
        <v>0</v>
      </c>
      <c r="Q108" s="125">
        <f>Lista!P107</f>
        <v>0</v>
      </c>
      <c r="R108" s="125">
        <f>Lista!Q107</f>
        <v>0</v>
      </c>
      <c r="S108" s="125">
        <f>Lista!R107</f>
        <v>0</v>
      </c>
      <c r="T108" s="81"/>
      <c r="U108" s="81"/>
      <c r="V108" s="81"/>
      <c r="W108" s="81"/>
      <c r="X108" s="81"/>
      <c r="Y108" s="81"/>
      <c r="Z108" s="81"/>
      <c r="AA108" s="81"/>
      <c r="AB108" s="81"/>
      <c r="AC108" s="81"/>
      <c r="AD108" s="81"/>
      <c r="AE108" s="81"/>
      <c r="AF108" s="81"/>
      <c r="AG108" s="81"/>
      <c r="AH108" s="81"/>
      <c r="AI108" s="81"/>
      <c r="AJ108" s="81"/>
      <c r="AK108" s="81"/>
      <c r="AL108" s="81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  <c r="BA108" s="81"/>
      <c r="BB108" s="81"/>
      <c r="BC108" s="81"/>
      <c r="BD108" s="81"/>
      <c r="BE108" s="81"/>
      <c r="BF108" s="81"/>
      <c r="BG108" s="81"/>
      <c r="BH108" s="81"/>
      <c r="BI108" s="81"/>
      <c r="BJ108" s="81"/>
      <c r="BK108" s="81"/>
      <c r="BL108" s="81"/>
      <c r="BM108" s="81"/>
      <c r="BN108" s="81"/>
      <c r="BO108" s="81"/>
      <c r="BP108" s="81"/>
      <c r="BQ108" s="81"/>
      <c r="BR108" s="81"/>
      <c r="BS108" s="81"/>
      <c r="BT108" s="81"/>
      <c r="BU108" s="81"/>
      <c r="BV108" s="81"/>
      <c r="BW108" s="81"/>
      <c r="BX108" s="81"/>
      <c r="BY108" s="81"/>
      <c r="BZ108" s="81"/>
      <c r="CA108" s="81"/>
      <c r="CB108" s="81"/>
      <c r="CC108" s="81"/>
      <c r="CD108" s="81"/>
      <c r="CE108" s="81"/>
      <c r="CF108" s="81"/>
      <c r="CG108" s="81"/>
      <c r="CH108" s="81"/>
      <c r="CI108" s="81"/>
      <c r="CJ108" s="81"/>
      <c r="CK108" s="81"/>
      <c r="CL108" s="81"/>
      <c r="CM108" s="81"/>
      <c r="CN108" s="81"/>
      <c r="CO108" s="81"/>
      <c r="CP108" s="81"/>
      <c r="CQ108" s="81"/>
      <c r="CR108" s="81"/>
      <c r="CS108" s="81"/>
      <c r="CT108" s="81"/>
      <c r="CU108" s="81"/>
      <c r="CV108" s="81"/>
      <c r="CW108" s="81"/>
      <c r="CX108" s="81"/>
      <c r="CY108" s="81"/>
      <c r="CZ108" s="81"/>
      <c r="DA108" s="81"/>
      <c r="DB108" s="81"/>
      <c r="DC108" s="81"/>
      <c r="DD108" s="81"/>
      <c r="DE108" s="81"/>
      <c r="DF108" s="81"/>
      <c r="DG108" s="81"/>
      <c r="DH108" s="81"/>
      <c r="DI108" s="81"/>
      <c r="DJ108" s="81"/>
      <c r="DK108" s="81"/>
      <c r="DL108" s="81"/>
      <c r="DM108" s="81"/>
      <c r="DN108" s="81"/>
      <c r="DO108" s="81"/>
      <c r="DP108" s="81"/>
      <c r="DQ108" s="81"/>
      <c r="DR108" s="81"/>
      <c r="DS108" s="81"/>
      <c r="DT108" s="81"/>
      <c r="DU108" s="81"/>
      <c r="DV108" s="81"/>
      <c r="DW108" s="121"/>
    </row>
    <row r="109" spans="1:127" x14ac:dyDescent="0.25">
      <c r="A109" s="2">
        <f>COUNTIF($D$2:D109,'Reporte de Nomina'!$E$2)</f>
        <v>0</v>
      </c>
      <c r="B109" s="125">
        <f>Lista!A108</f>
        <v>0</v>
      </c>
      <c r="C109" s="125">
        <f>Lista!B108</f>
        <v>0</v>
      </c>
      <c r="D109" s="125">
        <f>Lista!C108</f>
        <v>0</v>
      </c>
      <c r="E109" s="125">
        <f>Lista!D108</f>
        <v>0</v>
      </c>
      <c r="F109" s="125">
        <f>Lista!E108</f>
        <v>0</v>
      </c>
      <c r="G109" s="125">
        <f>Lista!F108</f>
        <v>0</v>
      </c>
      <c r="H109" s="125">
        <f>Lista!G108</f>
        <v>0</v>
      </c>
      <c r="I109" s="125">
        <f>Lista!H108</f>
        <v>0</v>
      </c>
      <c r="J109" s="125">
        <f>Lista!I108</f>
        <v>0</v>
      </c>
      <c r="K109" s="125">
        <f>Lista!J108</f>
        <v>0</v>
      </c>
      <c r="L109" s="125">
        <f>Lista!K108</f>
        <v>0</v>
      </c>
      <c r="M109" s="125">
        <f>Lista!L108</f>
        <v>0</v>
      </c>
      <c r="N109" s="125">
        <f>Lista!M108</f>
        <v>0</v>
      </c>
      <c r="O109" s="125">
        <f>Lista!N108</f>
        <v>0</v>
      </c>
      <c r="P109" s="125">
        <f>Lista!O108</f>
        <v>0</v>
      </c>
      <c r="Q109" s="125">
        <f>Lista!P108</f>
        <v>0</v>
      </c>
      <c r="R109" s="125">
        <f>Lista!Q108</f>
        <v>0</v>
      </c>
      <c r="S109" s="125">
        <f>Lista!R108</f>
        <v>0</v>
      </c>
      <c r="T109" s="81"/>
      <c r="U109" s="81"/>
      <c r="V109" s="81"/>
      <c r="W109" s="81"/>
      <c r="X109" s="81"/>
      <c r="Y109" s="81"/>
      <c r="Z109" s="81"/>
      <c r="AA109" s="81"/>
      <c r="AB109" s="81"/>
      <c r="AC109" s="81"/>
      <c r="AD109" s="81"/>
      <c r="AE109" s="81"/>
      <c r="AF109" s="81"/>
      <c r="AG109" s="81"/>
      <c r="AH109" s="81"/>
      <c r="AI109" s="81"/>
      <c r="AJ109" s="81"/>
      <c r="AK109" s="81"/>
      <c r="AL109" s="81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  <c r="BA109" s="81"/>
      <c r="BB109" s="81"/>
      <c r="BC109" s="81"/>
      <c r="BD109" s="81"/>
      <c r="BE109" s="81"/>
      <c r="BF109" s="81"/>
      <c r="BG109" s="81"/>
      <c r="BH109" s="81"/>
      <c r="BI109" s="81"/>
      <c r="BJ109" s="81"/>
      <c r="BK109" s="81"/>
      <c r="BL109" s="81"/>
      <c r="BM109" s="81"/>
      <c r="BN109" s="81"/>
      <c r="BO109" s="81"/>
      <c r="BP109" s="81"/>
      <c r="BQ109" s="81"/>
      <c r="BR109" s="81"/>
      <c r="BS109" s="81"/>
      <c r="BT109" s="81"/>
      <c r="BU109" s="81"/>
      <c r="BV109" s="81"/>
      <c r="BW109" s="81"/>
      <c r="BX109" s="81"/>
      <c r="BY109" s="81"/>
      <c r="BZ109" s="81"/>
      <c r="CA109" s="81"/>
      <c r="CB109" s="81"/>
      <c r="CC109" s="81"/>
      <c r="CD109" s="81"/>
      <c r="CE109" s="81"/>
      <c r="CF109" s="81"/>
      <c r="CG109" s="81"/>
      <c r="CH109" s="81"/>
      <c r="CI109" s="81"/>
      <c r="CJ109" s="81"/>
      <c r="CK109" s="81"/>
      <c r="CL109" s="81"/>
      <c r="CM109" s="81"/>
      <c r="CN109" s="81"/>
      <c r="CO109" s="81"/>
      <c r="CP109" s="81"/>
      <c r="CQ109" s="81"/>
      <c r="CR109" s="81"/>
      <c r="CS109" s="81"/>
      <c r="CT109" s="81"/>
      <c r="CU109" s="81"/>
      <c r="CV109" s="81"/>
      <c r="CW109" s="81"/>
      <c r="CX109" s="81"/>
      <c r="CY109" s="81"/>
      <c r="CZ109" s="81"/>
      <c r="DA109" s="81"/>
      <c r="DB109" s="81"/>
      <c r="DC109" s="81"/>
      <c r="DD109" s="81"/>
      <c r="DE109" s="81"/>
      <c r="DF109" s="81"/>
      <c r="DG109" s="81"/>
      <c r="DH109" s="81"/>
      <c r="DI109" s="81"/>
      <c r="DJ109" s="81"/>
      <c r="DK109" s="81"/>
      <c r="DL109" s="81"/>
      <c r="DM109" s="81"/>
      <c r="DN109" s="81"/>
      <c r="DO109" s="81"/>
      <c r="DP109" s="81"/>
      <c r="DQ109" s="81"/>
      <c r="DR109" s="81"/>
      <c r="DS109" s="81"/>
      <c r="DT109" s="81"/>
      <c r="DU109" s="81"/>
      <c r="DV109" s="81"/>
      <c r="DW109" s="121"/>
    </row>
    <row r="110" spans="1:127" x14ac:dyDescent="0.25">
      <c r="A110" s="2">
        <f>COUNTIF($D$2:D110,'Reporte de Nomina'!$E$2)</f>
        <v>0</v>
      </c>
      <c r="B110" s="125">
        <f>Lista!A109</f>
        <v>0</v>
      </c>
      <c r="C110" s="125">
        <f>Lista!B109</f>
        <v>0</v>
      </c>
      <c r="D110" s="125">
        <f>Lista!C109</f>
        <v>0</v>
      </c>
      <c r="E110" s="125">
        <f>Lista!D109</f>
        <v>0</v>
      </c>
      <c r="F110" s="125">
        <f>Lista!E109</f>
        <v>0</v>
      </c>
      <c r="G110" s="125">
        <f>Lista!F109</f>
        <v>0</v>
      </c>
      <c r="H110" s="125">
        <f>Lista!G109</f>
        <v>0</v>
      </c>
      <c r="I110" s="125">
        <f>Lista!H109</f>
        <v>0</v>
      </c>
      <c r="J110" s="125">
        <f>Lista!I109</f>
        <v>0</v>
      </c>
      <c r="K110" s="125">
        <f>Lista!J109</f>
        <v>0</v>
      </c>
      <c r="L110" s="125">
        <f>Lista!K109</f>
        <v>0</v>
      </c>
      <c r="M110" s="125">
        <f>Lista!L109</f>
        <v>0</v>
      </c>
      <c r="N110" s="125">
        <f>Lista!M109</f>
        <v>0</v>
      </c>
      <c r="O110" s="125">
        <f>Lista!N109</f>
        <v>0</v>
      </c>
      <c r="P110" s="125">
        <f>Lista!O109</f>
        <v>0</v>
      </c>
      <c r="Q110" s="125">
        <f>Lista!P109</f>
        <v>0</v>
      </c>
      <c r="R110" s="125">
        <f>Lista!Q109</f>
        <v>0</v>
      </c>
      <c r="S110" s="125">
        <f>Lista!R109</f>
        <v>0</v>
      </c>
      <c r="T110" s="81"/>
      <c r="U110" s="81"/>
      <c r="V110" s="81"/>
      <c r="W110" s="81"/>
      <c r="X110" s="81"/>
      <c r="Y110" s="81"/>
      <c r="Z110" s="81"/>
      <c r="AA110" s="81"/>
      <c r="AB110" s="81"/>
      <c r="AC110" s="81"/>
      <c r="AD110" s="81"/>
      <c r="AE110" s="81"/>
      <c r="AF110" s="81"/>
      <c r="AG110" s="81"/>
      <c r="AH110" s="81"/>
      <c r="AI110" s="81"/>
      <c r="AJ110" s="81"/>
      <c r="AK110" s="81"/>
      <c r="AL110" s="81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  <c r="BA110" s="81"/>
      <c r="BB110" s="81"/>
      <c r="BC110" s="81"/>
      <c r="BD110" s="81"/>
      <c r="BE110" s="81"/>
      <c r="BF110" s="81"/>
      <c r="BG110" s="81"/>
      <c r="BH110" s="81"/>
      <c r="BI110" s="81"/>
      <c r="BJ110" s="81"/>
      <c r="BK110" s="81"/>
      <c r="BL110" s="81"/>
      <c r="BM110" s="81"/>
      <c r="BN110" s="81"/>
      <c r="BO110" s="81"/>
      <c r="BP110" s="81"/>
      <c r="BQ110" s="81"/>
      <c r="BR110" s="81"/>
      <c r="BS110" s="81"/>
      <c r="BT110" s="81"/>
      <c r="BU110" s="81"/>
      <c r="BV110" s="81"/>
      <c r="BW110" s="81"/>
      <c r="BX110" s="81"/>
      <c r="BY110" s="81"/>
      <c r="BZ110" s="81"/>
      <c r="CA110" s="81"/>
      <c r="CB110" s="81"/>
      <c r="CC110" s="81"/>
      <c r="CD110" s="81"/>
      <c r="CE110" s="81"/>
      <c r="CF110" s="81"/>
      <c r="CG110" s="81"/>
      <c r="CH110" s="81"/>
      <c r="CI110" s="81"/>
      <c r="CJ110" s="81"/>
      <c r="CK110" s="81"/>
      <c r="CL110" s="81"/>
      <c r="CM110" s="81"/>
      <c r="CN110" s="81"/>
      <c r="CO110" s="81"/>
      <c r="CP110" s="81"/>
      <c r="CQ110" s="81"/>
      <c r="CR110" s="81"/>
      <c r="CS110" s="81"/>
      <c r="CT110" s="81"/>
      <c r="CU110" s="81"/>
      <c r="CV110" s="81"/>
      <c r="CW110" s="81"/>
      <c r="CX110" s="81"/>
      <c r="CY110" s="81"/>
      <c r="CZ110" s="81"/>
      <c r="DA110" s="81"/>
      <c r="DB110" s="81"/>
      <c r="DC110" s="81"/>
      <c r="DD110" s="81"/>
      <c r="DE110" s="81"/>
      <c r="DF110" s="81"/>
      <c r="DG110" s="81"/>
      <c r="DH110" s="81"/>
      <c r="DI110" s="81"/>
      <c r="DJ110" s="81"/>
      <c r="DK110" s="81"/>
      <c r="DL110" s="81"/>
      <c r="DM110" s="81"/>
      <c r="DN110" s="81"/>
      <c r="DO110" s="81"/>
      <c r="DP110" s="81"/>
      <c r="DQ110" s="81"/>
      <c r="DR110" s="81"/>
      <c r="DS110" s="81"/>
      <c r="DT110" s="81"/>
      <c r="DU110" s="81"/>
      <c r="DV110" s="81"/>
      <c r="DW110" s="121"/>
    </row>
    <row r="111" spans="1:127" x14ac:dyDescent="0.25">
      <c r="A111" s="2">
        <f>COUNTIF($D$2:D111,'Reporte de Nomina'!$E$2)</f>
        <v>0</v>
      </c>
      <c r="B111" s="125">
        <f>Lista!A110</f>
        <v>0</v>
      </c>
      <c r="C111" s="125">
        <f>Lista!B110</f>
        <v>0</v>
      </c>
      <c r="D111" s="125">
        <f>Lista!C110</f>
        <v>0</v>
      </c>
      <c r="E111" s="125">
        <f>Lista!D110</f>
        <v>0</v>
      </c>
      <c r="F111" s="125">
        <f>Lista!E110</f>
        <v>0</v>
      </c>
      <c r="G111" s="125">
        <f>Lista!F110</f>
        <v>0</v>
      </c>
      <c r="H111" s="125">
        <f>Lista!G110</f>
        <v>0</v>
      </c>
      <c r="I111" s="125">
        <f>Lista!H110</f>
        <v>0</v>
      </c>
      <c r="J111" s="125">
        <f>Lista!I110</f>
        <v>0</v>
      </c>
      <c r="K111" s="125">
        <f>Lista!J110</f>
        <v>0</v>
      </c>
      <c r="L111" s="125">
        <f>Lista!K110</f>
        <v>0</v>
      </c>
      <c r="M111" s="125">
        <f>Lista!L110</f>
        <v>0</v>
      </c>
      <c r="N111" s="125">
        <f>Lista!M110</f>
        <v>0</v>
      </c>
      <c r="O111" s="125">
        <f>Lista!N110</f>
        <v>0</v>
      </c>
      <c r="P111" s="125">
        <f>Lista!O110</f>
        <v>0</v>
      </c>
      <c r="Q111" s="125">
        <f>Lista!P110</f>
        <v>0</v>
      </c>
      <c r="R111" s="125">
        <f>Lista!Q110</f>
        <v>0</v>
      </c>
      <c r="S111" s="125">
        <f>Lista!R110</f>
        <v>0</v>
      </c>
      <c r="T111" s="81"/>
      <c r="U111" s="81"/>
      <c r="V111" s="81"/>
      <c r="W111" s="81"/>
      <c r="X111" s="81"/>
      <c r="Y111" s="81"/>
      <c r="Z111" s="81"/>
      <c r="AA111" s="81"/>
      <c r="AB111" s="81"/>
      <c r="AC111" s="81"/>
      <c r="AD111" s="81"/>
      <c r="AE111" s="81"/>
      <c r="AF111" s="81"/>
      <c r="AG111" s="81"/>
      <c r="AH111" s="81"/>
      <c r="AI111" s="81"/>
      <c r="AJ111" s="81"/>
      <c r="AK111" s="81"/>
      <c r="AL111" s="81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  <c r="BA111" s="81"/>
      <c r="BB111" s="81"/>
      <c r="BC111" s="81"/>
      <c r="BD111" s="81"/>
      <c r="BE111" s="81"/>
      <c r="BF111" s="81"/>
      <c r="BG111" s="81"/>
      <c r="BH111" s="81"/>
      <c r="BI111" s="81"/>
      <c r="BJ111" s="81"/>
      <c r="BK111" s="81"/>
      <c r="BL111" s="81"/>
      <c r="BM111" s="81"/>
      <c r="BN111" s="81"/>
      <c r="BO111" s="81"/>
      <c r="BP111" s="81"/>
      <c r="BQ111" s="81"/>
      <c r="BR111" s="81"/>
      <c r="BS111" s="81"/>
      <c r="BT111" s="81"/>
      <c r="BU111" s="81"/>
      <c r="BV111" s="81"/>
      <c r="BW111" s="81"/>
      <c r="BX111" s="81"/>
      <c r="BY111" s="81"/>
      <c r="BZ111" s="81"/>
      <c r="CA111" s="81"/>
      <c r="CB111" s="81"/>
      <c r="CC111" s="81"/>
      <c r="CD111" s="81"/>
      <c r="CE111" s="81"/>
      <c r="CF111" s="81"/>
      <c r="CG111" s="81"/>
      <c r="CH111" s="81"/>
      <c r="CI111" s="81"/>
      <c r="CJ111" s="81"/>
      <c r="CK111" s="81"/>
      <c r="CL111" s="81"/>
      <c r="CM111" s="81"/>
      <c r="CN111" s="81"/>
      <c r="CO111" s="81"/>
      <c r="CP111" s="81"/>
      <c r="CQ111" s="81"/>
      <c r="CR111" s="81"/>
      <c r="CS111" s="81"/>
      <c r="CT111" s="81"/>
      <c r="CU111" s="81"/>
      <c r="CV111" s="81"/>
      <c r="CW111" s="81"/>
      <c r="CX111" s="81"/>
      <c r="CY111" s="81"/>
      <c r="CZ111" s="81"/>
      <c r="DA111" s="81"/>
      <c r="DB111" s="81"/>
      <c r="DC111" s="81"/>
      <c r="DD111" s="81"/>
      <c r="DE111" s="81"/>
      <c r="DF111" s="81"/>
      <c r="DG111" s="81"/>
      <c r="DH111" s="81"/>
      <c r="DI111" s="81"/>
      <c r="DJ111" s="81"/>
      <c r="DK111" s="81"/>
      <c r="DL111" s="81"/>
      <c r="DM111" s="81"/>
      <c r="DN111" s="81"/>
      <c r="DO111" s="81"/>
      <c r="DP111" s="81"/>
      <c r="DQ111" s="81"/>
      <c r="DR111" s="81"/>
      <c r="DS111" s="81"/>
      <c r="DT111" s="81"/>
      <c r="DU111" s="81"/>
      <c r="DV111" s="81"/>
      <c r="DW111" s="121"/>
    </row>
    <row r="112" spans="1:127" x14ac:dyDescent="0.25">
      <c r="A112" s="2">
        <f>COUNTIF($D$2:D112,'Reporte de Nomina'!$E$2)</f>
        <v>0</v>
      </c>
      <c r="B112" s="125">
        <f>Lista!A111</f>
        <v>0</v>
      </c>
      <c r="C112" s="125">
        <f>Lista!B111</f>
        <v>0</v>
      </c>
      <c r="D112" s="125">
        <f>Lista!C111</f>
        <v>0</v>
      </c>
      <c r="E112" s="125">
        <f>Lista!D111</f>
        <v>0</v>
      </c>
      <c r="F112" s="125">
        <f>Lista!E111</f>
        <v>0</v>
      </c>
      <c r="G112" s="125">
        <f>Lista!F111</f>
        <v>0</v>
      </c>
      <c r="H112" s="125">
        <f>Lista!G111</f>
        <v>0</v>
      </c>
      <c r="I112" s="125">
        <f>Lista!H111</f>
        <v>0</v>
      </c>
      <c r="J112" s="125">
        <f>Lista!I111</f>
        <v>0</v>
      </c>
      <c r="K112" s="125">
        <f>Lista!J111</f>
        <v>0</v>
      </c>
      <c r="L112" s="125">
        <f>Lista!K111</f>
        <v>0</v>
      </c>
      <c r="M112" s="125">
        <f>Lista!L111</f>
        <v>0</v>
      </c>
      <c r="N112" s="125">
        <f>Lista!M111</f>
        <v>0</v>
      </c>
      <c r="O112" s="125">
        <f>Lista!N111</f>
        <v>0</v>
      </c>
      <c r="P112" s="125">
        <f>Lista!O111</f>
        <v>0</v>
      </c>
      <c r="Q112" s="125">
        <f>Lista!P111</f>
        <v>0</v>
      </c>
      <c r="R112" s="125">
        <f>Lista!Q111</f>
        <v>0</v>
      </c>
      <c r="S112" s="125">
        <f>Lista!R111</f>
        <v>0</v>
      </c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  <c r="AF112" s="81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81"/>
      <c r="CF112" s="81"/>
      <c r="CG112" s="81"/>
      <c r="CH112" s="81"/>
      <c r="CI112" s="81"/>
      <c r="CJ112" s="81"/>
      <c r="CK112" s="81"/>
      <c r="CL112" s="81"/>
      <c r="CM112" s="81"/>
      <c r="CN112" s="81"/>
      <c r="CO112" s="81"/>
      <c r="CP112" s="81"/>
      <c r="CQ112" s="81"/>
      <c r="CR112" s="81"/>
      <c r="CS112" s="81"/>
      <c r="CT112" s="81"/>
      <c r="CU112" s="81"/>
      <c r="CV112" s="81"/>
      <c r="CW112" s="81"/>
      <c r="CX112" s="81"/>
      <c r="CY112" s="81"/>
      <c r="CZ112" s="81"/>
      <c r="DA112" s="81"/>
      <c r="DB112" s="81"/>
      <c r="DC112" s="81"/>
      <c r="DD112" s="81"/>
      <c r="DE112" s="81"/>
      <c r="DF112" s="81"/>
      <c r="DG112" s="81"/>
      <c r="DH112" s="81"/>
      <c r="DI112" s="81"/>
      <c r="DJ112" s="81"/>
      <c r="DK112" s="81"/>
      <c r="DL112" s="81"/>
      <c r="DM112" s="81"/>
      <c r="DN112" s="81"/>
      <c r="DO112" s="81"/>
      <c r="DP112" s="81"/>
      <c r="DQ112" s="81"/>
      <c r="DR112" s="81"/>
      <c r="DS112" s="81"/>
      <c r="DT112" s="81"/>
      <c r="DU112" s="81"/>
      <c r="DV112" s="81"/>
      <c r="DW112" s="121"/>
    </row>
    <row r="113" spans="1:127" x14ac:dyDescent="0.25">
      <c r="A113" s="2">
        <f>COUNTIF($D$2:D113,'Reporte de Nomina'!$E$2)</f>
        <v>0</v>
      </c>
      <c r="B113" s="125">
        <f>Lista!A112</f>
        <v>0</v>
      </c>
      <c r="C113" s="125">
        <f>Lista!B112</f>
        <v>0</v>
      </c>
      <c r="D113" s="125">
        <f>Lista!C112</f>
        <v>0</v>
      </c>
      <c r="E113" s="125">
        <f>Lista!D112</f>
        <v>0</v>
      </c>
      <c r="F113" s="125">
        <f>Lista!E112</f>
        <v>0</v>
      </c>
      <c r="G113" s="125">
        <f>Lista!F112</f>
        <v>0</v>
      </c>
      <c r="H113" s="125">
        <f>Lista!G112</f>
        <v>0</v>
      </c>
      <c r="I113" s="125">
        <f>Lista!H112</f>
        <v>0</v>
      </c>
      <c r="J113" s="125">
        <f>Lista!I112</f>
        <v>0</v>
      </c>
      <c r="K113" s="125">
        <f>Lista!J112</f>
        <v>0</v>
      </c>
      <c r="L113" s="125">
        <f>Lista!K112</f>
        <v>0</v>
      </c>
      <c r="M113" s="125">
        <f>Lista!L112</f>
        <v>0</v>
      </c>
      <c r="N113" s="125">
        <f>Lista!M112</f>
        <v>0</v>
      </c>
      <c r="O113" s="125">
        <f>Lista!N112</f>
        <v>0</v>
      </c>
      <c r="P113" s="125">
        <f>Lista!O112</f>
        <v>0</v>
      </c>
      <c r="Q113" s="125">
        <f>Lista!P112</f>
        <v>0</v>
      </c>
      <c r="R113" s="125">
        <f>Lista!Q112</f>
        <v>0</v>
      </c>
      <c r="S113" s="125">
        <f>Lista!R112</f>
        <v>0</v>
      </c>
      <c r="T113" s="81"/>
      <c r="U113" s="81"/>
      <c r="V113" s="81"/>
      <c r="W113" s="81"/>
      <c r="X113" s="81"/>
      <c r="Y113" s="81"/>
      <c r="Z113" s="81"/>
      <c r="AA113" s="81"/>
      <c r="AB113" s="81"/>
      <c r="AC113" s="81"/>
      <c r="AD113" s="81"/>
      <c r="AE113" s="81"/>
      <c r="AF113" s="81"/>
      <c r="AG113" s="81"/>
      <c r="AH113" s="81"/>
      <c r="AI113" s="81"/>
      <c r="AJ113" s="81"/>
      <c r="AK113" s="81"/>
      <c r="AL113" s="81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  <c r="BA113" s="81"/>
      <c r="BB113" s="81"/>
      <c r="BC113" s="81"/>
      <c r="BD113" s="81"/>
      <c r="BE113" s="81"/>
      <c r="BF113" s="81"/>
      <c r="BG113" s="81"/>
      <c r="BH113" s="81"/>
      <c r="BI113" s="81"/>
      <c r="BJ113" s="81"/>
      <c r="BK113" s="81"/>
      <c r="BL113" s="81"/>
      <c r="BM113" s="81"/>
      <c r="BN113" s="81"/>
      <c r="BO113" s="81"/>
      <c r="BP113" s="81"/>
      <c r="BQ113" s="81"/>
      <c r="BR113" s="81"/>
      <c r="BS113" s="81"/>
      <c r="BT113" s="81"/>
      <c r="BU113" s="81"/>
      <c r="BV113" s="81"/>
      <c r="BW113" s="81"/>
      <c r="BX113" s="81"/>
      <c r="BY113" s="81"/>
      <c r="BZ113" s="81"/>
      <c r="CA113" s="81"/>
      <c r="CB113" s="81"/>
      <c r="CC113" s="81"/>
      <c r="CD113" s="81"/>
      <c r="CE113" s="81"/>
      <c r="CF113" s="81"/>
      <c r="CG113" s="81"/>
      <c r="CH113" s="81"/>
      <c r="CI113" s="81"/>
      <c r="CJ113" s="81"/>
      <c r="CK113" s="81"/>
      <c r="CL113" s="81"/>
      <c r="CM113" s="81"/>
      <c r="CN113" s="81"/>
      <c r="CO113" s="81"/>
      <c r="CP113" s="81"/>
      <c r="CQ113" s="81"/>
      <c r="CR113" s="81"/>
      <c r="CS113" s="81"/>
      <c r="CT113" s="81"/>
      <c r="CU113" s="81"/>
      <c r="CV113" s="81"/>
      <c r="CW113" s="81"/>
      <c r="CX113" s="81"/>
      <c r="CY113" s="81"/>
      <c r="CZ113" s="81"/>
      <c r="DA113" s="81"/>
      <c r="DB113" s="81"/>
      <c r="DC113" s="81"/>
      <c r="DD113" s="81"/>
      <c r="DE113" s="81"/>
      <c r="DF113" s="81"/>
      <c r="DG113" s="81"/>
      <c r="DH113" s="81"/>
      <c r="DI113" s="81"/>
      <c r="DJ113" s="81"/>
      <c r="DK113" s="81"/>
      <c r="DL113" s="81"/>
      <c r="DM113" s="81"/>
      <c r="DN113" s="81"/>
      <c r="DO113" s="81"/>
      <c r="DP113" s="81"/>
      <c r="DQ113" s="81"/>
      <c r="DR113" s="81"/>
      <c r="DS113" s="81"/>
      <c r="DT113" s="81"/>
      <c r="DU113" s="81"/>
      <c r="DV113" s="81"/>
      <c r="DW113" s="121"/>
    </row>
    <row r="114" spans="1:127" x14ac:dyDescent="0.25">
      <c r="A114" s="2">
        <f>COUNTIF($D$2:D114,'Reporte de Nomina'!$E$2)</f>
        <v>0</v>
      </c>
      <c r="B114" s="125">
        <f>Lista!A113</f>
        <v>0</v>
      </c>
      <c r="C114" s="125">
        <f>Lista!B113</f>
        <v>0</v>
      </c>
      <c r="D114" s="125">
        <f>Lista!C113</f>
        <v>0</v>
      </c>
      <c r="E114" s="125">
        <f>Lista!D113</f>
        <v>0</v>
      </c>
      <c r="F114" s="125">
        <f>Lista!E113</f>
        <v>0</v>
      </c>
      <c r="G114" s="125">
        <f>Lista!F113</f>
        <v>0</v>
      </c>
      <c r="H114" s="125">
        <f>Lista!G113</f>
        <v>0</v>
      </c>
      <c r="I114" s="125">
        <f>Lista!H113</f>
        <v>0</v>
      </c>
      <c r="J114" s="125">
        <f>Lista!I113</f>
        <v>0</v>
      </c>
      <c r="K114" s="125">
        <f>Lista!J113</f>
        <v>0</v>
      </c>
      <c r="L114" s="125">
        <f>Lista!K113</f>
        <v>0</v>
      </c>
      <c r="M114" s="125">
        <f>Lista!L113</f>
        <v>0</v>
      </c>
      <c r="N114" s="125">
        <f>Lista!M113</f>
        <v>0</v>
      </c>
      <c r="O114" s="125">
        <f>Lista!N113</f>
        <v>0</v>
      </c>
      <c r="P114" s="125">
        <f>Lista!O113</f>
        <v>0</v>
      </c>
      <c r="Q114" s="125">
        <f>Lista!P113</f>
        <v>0</v>
      </c>
      <c r="R114" s="125">
        <f>Lista!Q113</f>
        <v>0</v>
      </c>
      <c r="S114" s="125">
        <f>Lista!R113</f>
        <v>0</v>
      </c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81"/>
      <c r="CF114" s="81"/>
      <c r="CG114" s="81"/>
      <c r="CH114" s="81"/>
      <c r="CI114" s="81"/>
      <c r="CJ114" s="81"/>
      <c r="CK114" s="81"/>
      <c r="CL114" s="81"/>
      <c r="CM114" s="81"/>
      <c r="CN114" s="81"/>
      <c r="CO114" s="81"/>
      <c r="CP114" s="81"/>
      <c r="CQ114" s="81"/>
      <c r="CR114" s="81"/>
      <c r="CS114" s="81"/>
      <c r="CT114" s="81"/>
      <c r="CU114" s="81"/>
      <c r="CV114" s="81"/>
      <c r="CW114" s="81"/>
      <c r="CX114" s="81"/>
      <c r="CY114" s="81"/>
      <c r="CZ114" s="81"/>
      <c r="DA114" s="81"/>
      <c r="DB114" s="81"/>
      <c r="DC114" s="81"/>
      <c r="DD114" s="81"/>
      <c r="DE114" s="81"/>
      <c r="DF114" s="81"/>
      <c r="DG114" s="81"/>
      <c r="DH114" s="81"/>
      <c r="DI114" s="81"/>
      <c r="DJ114" s="81"/>
      <c r="DK114" s="81"/>
      <c r="DL114" s="81"/>
      <c r="DM114" s="81"/>
      <c r="DN114" s="81"/>
      <c r="DO114" s="81"/>
      <c r="DP114" s="81"/>
      <c r="DQ114" s="81"/>
      <c r="DR114" s="81"/>
      <c r="DS114" s="81"/>
      <c r="DT114" s="81"/>
      <c r="DU114" s="81"/>
      <c r="DV114" s="81"/>
      <c r="DW114" s="121"/>
    </row>
    <row r="115" spans="1:127" x14ac:dyDescent="0.25">
      <c r="A115" s="2">
        <f>COUNTIF($D$2:D115,'Reporte de Nomina'!$E$2)</f>
        <v>0</v>
      </c>
      <c r="B115" s="125">
        <f>Lista!A114</f>
        <v>0</v>
      </c>
      <c r="C115" s="125">
        <f>Lista!B114</f>
        <v>0</v>
      </c>
      <c r="D115" s="125">
        <f>Lista!C114</f>
        <v>0</v>
      </c>
      <c r="E115" s="125">
        <f>Lista!D114</f>
        <v>0</v>
      </c>
      <c r="F115" s="125">
        <f>Lista!E114</f>
        <v>0</v>
      </c>
      <c r="G115" s="125">
        <f>Lista!F114</f>
        <v>0</v>
      </c>
      <c r="H115" s="125">
        <f>Lista!G114</f>
        <v>0</v>
      </c>
      <c r="I115" s="125">
        <f>Lista!H114</f>
        <v>0</v>
      </c>
      <c r="J115" s="125">
        <f>Lista!I114</f>
        <v>0</v>
      </c>
      <c r="K115" s="125">
        <f>Lista!J114</f>
        <v>0</v>
      </c>
      <c r="L115" s="125">
        <f>Lista!K114</f>
        <v>0</v>
      </c>
      <c r="M115" s="125">
        <f>Lista!L114</f>
        <v>0</v>
      </c>
      <c r="N115" s="125">
        <f>Lista!M114</f>
        <v>0</v>
      </c>
      <c r="O115" s="125">
        <f>Lista!N114</f>
        <v>0</v>
      </c>
      <c r="P115" s="125">
        <f>Lista!O114</f>
        <v>0</v>
      </c>
      <c r="Q115" s="125">
        <f>Lista!P114</f>
        <v>0</v>
      </c>
      <c r="R115" s="125">
        <f>Lista!Q114</f>
        <v>0</v>
      </c>
      <c r="S115" s="125">
        <f>Lista!R114</f>
        <v>0</v>
      </c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  <c r="AI115" s="81"/>
      <c r="AJ115" s="81"/>
      <c r="AK115" s="81"/>
      <c r="AL115" s="81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  <c r="BA115" s="81"/>
      <c r="BB115" s="81"/>
      <c r="BC115" s="81"/>
      <c r="BD115" s="81"/>
      <c r="BE115" s="81"/>
      <c r="BF115" s="81"/>
      <c r="BG115" s="81"/>
      <c r="BH115" s="81"/>
      <c r="BI115" s="81"/>
      <c r="BJ115" s="81"/>
      <c r="BK115" s="81"/>
      <c r="BL115" s="81"/>
      <c r="BM115" s="81"/>
      <c r="BN115" s="81"/>
      <c r="BO115" s="81"/>
      <c r="BP115" s="81"/>
      <c r="BQ115" s="81"/>
      <c r="BR115" s="81"/>
      <c r="BS115" s="81"/>
      <c r="BT115" s="81"/>
      <c r="BU115" s="81"/>
      <c r="BV115" s="81"/>
      <c r="BW115" s="81"/>
      <c r="BX115" s="81"/>
      <c r="BY115" s="81"/>
      <c r="BZ115" s="81"/>
      <c r="CA115" s="81"/>
      <c r="CB115" s="81"/>
      <c r="CC115" s="81"/>
      <c r="CD115" s="81"/>
      <c r="CE115" s="81"/>
      <c r="CF115" s="81"/>
      <c r="CG115" s="81"/>
      <c r="CH115" s="81"/>
      <c r="CI115" s="81"/>
      <c r="CJ115" s="81"/>
      <c r="CK115" s="81"/>
      <c r="CL115" s="81"/>
      <c r="CM115" s="81"/>
      <c r="CN115" s="81"/>
      <c r="CO115" s="81"/>
      <c r="CP115" s="81"/>
      <c r="CQ115" s="81"/>
      <c r="CR115" s="81"/>
      <c r="CS115" s="81"/>
      <c r="CT115" s="81"/>
      <c r="CU115" s="81"/>
      <c r="CV115" s="81"/>
      <c r="CW115" s="81"/>
      <c r="CX115" s="81"/>
      <c r="CY115" s="81"/>
      <c r="CZ115" s="81"/>
      <c r="DA115" s="81"/>
      <c r="DB115" s="81"/>
      <c r="DC115" s="81"/>
      <c r="DD115" s="81"/>
      <c r="DE115" s="81"/>
      <c r="DF115" s="81"/>
      <c r="DG115" s="81"/>
      <c r="DH115" s="81"/>
      <c r="DI115" s="81"/>
      <c r="DJ115" s="81"/>
      <c r="DK115" s="81"/>
      <c r="DL115" s="81"/>
      <c r="DM115" s="81"/>
      <c r="DN115" s="81"/>
      <c r="DO115" s="81"/>
      <c r="DP115" s="81"/>
      <c r="DQ115" s="81"/>
      <c r="DR115" s="81"/>
      <c r="DS115" s="81"/>
      <c r="DT115" s="81"/>
      <c r="DU115" s="81"/>
      <c r="DV115" s="81"/>
      <c r="DW115" s="121"/>
    </row>
    <row r="116" spans="1:127" x14ac:dyDescent="0.25">
      <c r="A116" s="2">
        <f>COUNTIF($D$2:D116,'Reporte de Nomina'!$E$2)</f>
        <v>0</v>
      </c>
      <c r="B116" s="125">
        <f>Lista!A115</f>
        <v>0</v>
      </c>
      <c r="C116" s="125">
        <f>Lista!B115</f>
        <v>0</v>
      </c>
      <c r="D116" s="125">
        <f>Lista!C115</f>
        <v>0</v>
      </c>
      <c r="E116" s="125">
        <f>Lista!D115</f>
        <v>0</v>
      </c>
      <c r="F116" s="125">
        <f>Lista!E115</f>
        <v>0</v>
      </c>
      <c r="G116" s="125">
        <f>Lista!F115</f>
        <v>0</v>
      </c>
      <c r="H116" s="125">
        <f>Lista!G115</f>
        <v>0</v>
      </c>
      <c r="I116" s="125">
        <f>Lista!H115</f>
        <v>0</v>
      </c>
      <c r="J116" s="125">
        <f>Lista!I115</f>
        <v>0</v>
      </c>
      <c r="K116" s="125">
        <f>Lista!J115</f>
        <v>0</v>
      </c>
      <c r="L116" s="125">
        <f>Lista!K115</f>
        <v>0</v>
      </c>
      <c r="M116" s="125">
        <f>Lista!L115</f>
        <v>0</v>
      </c>
      <c r="N116" s="125">
        <f>Lista!M115</f>
        <v>0</v>
      </c>
      <c r="O116" s="125">
        <f>Lista!N115</f>
        <v>0</v>
      </c>
      <c r="P116" s="125">
        <f>Lista!O115</f>
        <v>0</v>
      </c>
      <c r="Q116" s="125">
        <f>Lista!P115</f>
        <v>0</v>
      </c>
      <c r="R116" s="125">
        <f>Lista!Q115</f>
        <v>0</v>
      </c>
      <c r="S116" s="125">
        <f>Lista!R115</f>
        <v>0</v>
      </c>
      <c r="T116" s="81"/>
      <c r="U116" s="81"/>
      <c r="V116" s="81"/>
      <c r="W116" s="81"/>
      <c r="X116" s="81"/>
      <c r="Y116" s="81"/>
      <c r="Z116" s="81"/>
      <c r="AA116" s="81"/>
      <c r="AB116" s="81"/>
      <c r="AC116" s="81"/>
      <c r="AD116" s="81"/>
      <c r="AE116" s="81"/>
      <c r="AF116" s="81"/>
      <c r="AG116" s="81"/>
      <c r="AH116" s="81"/>
      <c r="AI116" s="81"/>
      <c r="AJ116" s="81"/>
      <c r="AK116" s="81"/>
      <c r="AL116" s="81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  <c r="BA116" s="81"/>
      <c r="BB116" s="81"/>
      <c r="BC116" s="81"/>
      <c r="BD116" s="81"/>
      <c r="BE116" s="81"/>
      <c r="BF116" s="81"/>
      <c r="BG116" s="81"/>
      <c r="BH116" s="81"/>
      <c r="BI116" s="81"/>
      <c r="BJ116" s="81"/>
      <c r="BK116" s="81"/>
      <c r="BL116" s="81"/>
      <c r="BM116" s="81"/>
      <c r="BN116" s="81"/>
      <c r="BO116" s="81"/>
      <c r="BP116" s="81"/>
      <c r="BQ116" s="81"/>
      <c r="BR116" s="81"/>
      <c r="BS116" s="81"/>
      <c r="BT116" s="81"/>
      <c r="BU116" s="81"/>
      <c r="BV116" s="81"/>
      <c r="BW116" s="81"/>
      <c r="BX116" s="81"/>
      <c r="BY116" s="81"/>
      <c r="BZ116" s="81"/>
      <c r="CA116" s="81"/>
      <c r="CB116" s="81"/>
      <c r="CC116" s="81"/>
      <c r="CD116" s="81"/>
      <c r="CE116" s="81"/>
      <c r="CF116" s="81"/>
      <c r="CG116" s="81"/>
      <c r="CH116" s="81"/>
      <c r="CI116" s="81"/>
      <c r="CJ116" s="81"/>
      <c r="CK116" s="81"/>
      <c r="CL116" s="81"/>
      <c r="CM116" s="81"/>
      <c r="CN116" s="81"/>
      <c r="CO116" s="81"/>
      <c r="CP116" s="81"/>
      <c r="CQ116" s="81"/>
      <c r="CR116" s="81"/>
      <c r="CS116" s="81"/>
      <c r="CT116" s="81"/>
      <c r="CU116" s="81"/>
      <c r="CV116" s="81"/>
      <c r="CW116" s="81"/>
      <c r="CX116" s="81"/>
      <c r="CY116" s="81"/>
      <c r="CZ116" s="81"/>
      <c r="DA116" s="81"/>
      <c r="DB116" s="81"/>
      <c r="DC116" s="81"/>
      <c r="DD116" s="81"/>
      <c r="DE116" s="81"/>
      <c r="DF116" s="81"/>
      <c r="DG116" s="81"/>
      <c r="DH116" s="81"/>
      <c r="DI116" s="81"/>
      <c r="DJ116" s="81"/>
      <c r="DK116" s="81"/>
      <c r="DL116" s="81"/>
      <c r="DM116" s="81"/>
      <c r="DN116" s="81"/>
      <c r="DO116" s="81"/>
      <c r="DP116" s="81"/>
      <c r="DQ116" s="81"/>
      <c r="DR116" s="81"/>
      <c r="DS116" s="81"/>
      <c r="DT116" s="81"/>
      <c r="DU116" s="81"/>
      <c r="DV116" s="81"/>
      <c r="DW116" s="121"/>
    </row>
    <row r="117" spans="1:127" x14ac:dyDescent="0.25">
      <c r="A117" s="2">
        <f>COUNTIF($D$2:D117,'Reporte de Nomina'!$E$2)</f>
        <v>0</v>
      </c>
      <c r="B117" s="125">
        <f>Lista!A116</f>
        <v>0</v>
      </c>
      <c r="C117" s="125">
        <f>Lista!B116</f>
        <v>0</v>
      </c>
      <c r="D117" s="125">
        <f>Lista!C116</f>
        <v>0</v>
      </c>
      <c r="E117" s="125">
        <f>Lista!D116</f>
        <v>0</v>
      </c>
      <c r="F117" s="125">
        <f>Lista!E116</f>
        <v>0</v>
      </c>
      <c r="G117" s="125">
        <f>Lista!F116</f>
        <v>0</v>
      </c>
      <c r="H117" s="125">
        <f>Lista!G116</f>
        <v>0</v>
      </c>
      <c r="I117" s="125">
        <f>Lista!H116</f>
        <v>0</v>
      </c>
      <c r="J117" s="125">
        <f>Lista!I116</f>
        <v>0</v>
      </c>
      <c r="K117" s="125">
        <f>Lista!J116</f>
        <v>0</v>
      </c>
      <c r="L117" s="125">
        <f>Lista!K116</f>
        <v>0</v>
      </c>
      <c r="M117" s="125">
        <f>Lista!L116</f>
        <v>0</v>
      </c>
      <c r="N117" s="125">
        <f>Lista!M116</f>
        <v>0</v>
      </c>
      <c r="O117" s="125">
        <f>Lista!N116</f>
        <v>0</v>
      </c>
      <c r="P117" s="125">
        <f>Lista!O116</f>
        <v>0</v>
      </c>
      <c r="Q117" s="125">
        <f>Lista!P116</f>
        <v>0</v>
      </c>
      <c r="R117" s="125">
        <f>Lista!Q116</f>
        <v>0</v>
      </c>
      <c r="S117" s="125">
        <f>Lista!R116</f>
        <v>0</v>
      </c>
      <c r="T117" s="81"/>
      <c r="U117" s="81"/>
      <c r="V117" s="81"/>
      <c r="W117" s="81"/>
      <c r="X117" s="81"/>
      <c r="Y117" s="81"/>
      <c r="Z117" s="81"/>
      <c r="AA117" s="81"/>
      <c r="AB117" s="81"/>
      <c r="AC117" s="81"/>
      <c r="AD117" s="81"/>
      <c r="AE117" s="81"/>
      <c r="AF117" s="81"/>
      <c r="AG117" s="81"/>
      <c r="AH117" s="81"/>
      <c r="AI117" s="81"/>
      <c r="AJ117" s="81"/>
      <c r="AK117" s="81"/>
      <c r="AL117" s="81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  <c r="BA117" s="81"/>
      <c r="BB117" s="81"/>
      <c r="BC117" s="81"/>
      <c r="BD117" s="81"/>
      <c r="BE117" s="81"/>
      <c r="BF117" s="81"/>
      <c r="BG117" s="81"/>
      <c r="BH117" s="81"/>
      <c r="BI117" s="81"/>
      <c r="BJ117" s="81"/>
      <c r="BK117" s="81"/>
      <c r="BL117" s="81"/>
      <c r="BM117" s="81"/>
      <c r="BN117" s="81"/>
      <c r="BO117" s="81"/>
      <c r="BP117" s="81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  <c r="CF117" s="81"/>
      <c r="CG117" s="81"/>
      <c r="CH117" s="81"/>
      <c r="CI117" s="81"/>
      <c r="CJ117" s="81"/>
      <c r="CK117" s="81"/>
      <c r="CL117" s="81"/>
      <c r="CM117" s="81"/>
      <c r="CN117" s="81"/>
      <c r="CO117" s="81"/>
      <c r="CP117" s="81"/>
      <c r="CQ117" s="81"/>
      <c r="CR117" s="81"/>
      <c r="CS117" s="81"/>
      <c r="CT117" s="81"/>
      <c r="CU117" s="81"/>
      <c r="CV117" s="81"/>
      <c r="CW117" s="81"/>
      <c r="CX117" s="81"/>
      <c r="CY117" s="81"/>
      <c r="CZ117" s="81"/>
      <c r="DA117" s="81"/>
      <c r="DB117" s="81"/>
      <c r="DC117" s="81"/>
      <c r="DD117" s="81"/>
      <c r="DE117" s="81"/>
      <c r="DF117" s="81"/>
      <c r="DG117" s="81"/>
      <c r="DH117" s="81"/>
      <c r="DI117" s="81"/>
      <c r="DJ117" s="81"/>
      <c r="DK117" s="81"/>
      <c r="DL117" s="81"/>
      <c r="DM117" s="81"/>
      <c r="DN117" s="81"/>
      <c r="DO117" s="81"/>
      <c r="DP117" s="81"/>
      <c r="DQ117" s="81"/>
      <c r="DR117" s="81"/>
      <c r="DS117" s="81"/>
      <c r="DT117" s="81"/>
      <c r="DU117" s="81"/>
      <c r="DV117" s="81"/>
      <c r="DW117" s="121"/>
    </row>
    <row r="118" spans="1:127" x14ac:dyDescent="0.25">
      <c r="A118" s="2">
        <f>COUNTIF($D$2:D118,'Reporte de Nomina'!$E$2)</f>
        <v>0</v>
      </c>
      <c r="B118" s="125">
        <f>Lista!A117</f>
        <v>0</v>
      </c>
      <c r="C118" s="125">
        <f>Lista!B117</f>
        <v>0</v>
      </c>
      <c r="D118" s="125">
        <f>Lista!C117</f>
        <v>0</v>
      </c>
      <c r="E118" s="125">
        <f>Lista!D117</f>
        <v>0</v>
      </c>
      <c r="F118" s="125">
        <f>Lista!E117</f>
        <v>0</v>
      </c>
      <c r="G118" s="125">
        <f>Lista!F117</f>
        <v>0</v>
      </c>
      <c r="H118" s="125">
        <f>Lista!G117</f>
        <v>0</v>
      </c>
      <c r="I118" s="125">
        <f>Lista!H117</f>
        <v>0</v>
      </c>
      <c r="J118" s="125">
        <f>Lista!I117</f>
        <v>0</v>
      </c>
      <c r="K118" s="125">
        <f>Lista!J117</f>
        <v>0</v>
      </c>
      <c r="L118" s="125">
        <f>Lista!K117</f>
        <v>0</v>
      </c>
      <c r="M118" s="125">
        <f>Lista!L117</f>
        <v>0</v>
      </c>
      <c r="N118" s="125">
        <f>Lista!M117</f>
        <v>0</v>
      </c>
      <c r="O118" s="125">
        <f>Lista!N117</f>
        <v>0</v>
      </c>
      <c r="P118" s="125">
        <f>Lista!O117</f>
        <v>0</v>
      </c>
      <c r="Q118" s="125">
        <f>Lista!P117</f>
        <v>0</v>
      </c>
      <c r="R118" s="125">
        <f>Lista!Q117</f>
        <v>0</v>
      </c>
      <c r="S118" s="125">
        <f>Lista!R117</f>
        <v>0</v>
      </c>
      <c r="T118" s="81"/>
      <c r="U118" s="81"/>
      <c r="V118" s="81"/>
      <c r="W118" s="81"/>
      <c r="X118" s="81"/>
      <c r="Y118" s="81"/>
      <c r="Z118" s="81"/>
      <c r="AA118" s="81"/>
      <c r="AB118" s="81"/>
      <c r="AC118" s="81"/>
      <c r="AD118" s="81"/>
      <c r="AE118" s="81"/>
      <c r="AF118" s="81"/>
      <c r="AG118" s="81"/>
      <c r="AH118" s="81"/>
      <c r="AI118" s="81"/>
      <c r="AJ118" s="81"/>
      <c r="AK118" s="81"/>
      <c r="AL118" s="81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  <c r="BA118" s="81"/>
      <c r="BB118" s="81"/>
      <c r="BC118" s="81"/>
      <c r="BD118" s="81"/>
      <c r="BE118" s="81"/>
      <c r="BF118" s="81"/>
      <c r="BG118" s="81"/>
      <c r="BH118" s="81"/>
      <c r="BI118" s="81"/>
      <c r="BJ118" s="81"/>
      <c r="BK118" s="81"/>
      <c r="BL118" s="81"/>
      <c r="BM118" s="81"/>
      <c r="BN118" s="81"/>
      <c r="BO118" s="81"/>
      <c r="BP118" s="81"/>
      <c r="BQ118" s="81"/>
      <c r="BR118" s="81"/>
      <c r="BS118" s="81"/>
      <c r="BT118" s="81"/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  <c r="CF118" s="81"/>
      <c r="CG118" s="81"/>
      <c r="CH118" s="81"/>
      <c r="CI118" s="81"/>
      <c r="CJ118" s="81"/>
      <c r="CK118" s="81"/>
      <c r="CL118" s="81"/>
      <c r="CM118" s="81"/>
      <c r="CN118" s="81"/>
      <c r="CO118" s="81"/>
      <c r="CP118" s="81"/>
      <c r="CQ118" s="81"/>
      <c r="CR118" s="81"/>
      <c r="CS118" s="81"/>
      <c r="CT118" s="81"/>
      <c r="CU118" s="81"/>
      <c r="CV118" s="81"/>
      <c r="CW118" s="81"/>
      <c r="CX118" s="81"/>
      <c r="CY118" s="81"/>
      <c r="CZ118" s="81"/>
      <c r="DA118" s="81"/>
      <c r="DB118" s="81"/>
      <c r="DC118" s="81"/>
      <c r="DD118" s="81"/>
      <c r="DE118" s="81"/>
      <c r="DF118" s="81"/>
      <c r="DG118" s="81"/>
      <c r="DH118" s="81"/>
      <c r="DI118" s="81"/>
      <c r="DJ118" s="81"/>
      <c r="DK118" s="81"/>
      <c r="DL118" s="81"/>
      <c r="DM118" s="81"/>
      <c r="DN118" s="81"/>
      <c r="DO118" s="81"/>
      <c r="DP118" s="81"/>
      <c r="DQ118" s="81"/>
      <c r="DR118" s="81"/>
      <c r="DS118" s="81"/>
      <c r="DT118" s="81"/>
      <c r="DU118" s="81"/>
      <c r="DV118" s="81"/>
      <c r="DW118" s="121"/>
    </row>
    <row r="119" spans="1:127" x14ac:dyDescent="0.25">
      <c r="A119" s="2">
        <f>COUNTIF($D$2:D119,'Reporte de Nomina'!$E$2)</f>
        <v>0</v>
      </c>
      <c r="B119" s="125">
        <f>Lista!A118</f>
        <v>0</v>
      </c>
      <c r="C119" s="125">
        <f>Lista!B118</f>
        <v>0</v>
      </c>
      <c r="D119" s="125">
        <f>Lista!C118</f>
        <v>0</v>
      </c>
      <c r="E119" s="125">
        <f>Lista!D118</f>
        <v>0</v>
      </c>
      <c r="F119" s="125">
        <f>Lista!E118</f>
        <v>0</v>
      </c>
      <c r="G119" s="125">
        <f>Lista!F118</f>
        <v>0</v>
      </c>
      <c r="H119" s="125">
        <f>Lista!G118</f>
        <v>0</v>
      </c>
      <c r="I119" s="125">
        <f>Lista!H118</f>
        <v>0</v>
      </c>
      <c r="J119" s="125">
        <f>Lista!I118</f>
        <v>0</v>
      </c>
      <c r="K119" s="125">
        <f>Lista!J118</f>
        <v>0</v>
      </c>
      <c r="L119" s="125">
        <f>Lista!K118</f>
        <v>0</v>
      </c>
      <c r="M119" s="125">
        <f>Lista!L118</f>
        <v>0</v>
      </c>
      <c r="N119" s="125">
        <f>Lista!M118</f>
        <v>0</v>
      </c>
      <c r="O119" s="125">
        <f>Lista!N118</f>
        <v>0</v>
      </c>
      <c r="P119" s="125">
        <f>Lista!O118</f>
        <v>0</v>
      </c>
      <c r="Q119" s="125">
        <f>Lista!P118</f>
        <v>0</v>
      </c>
      <c r="R119" s="125">
        <f>Lista!Q118</f>
        <v>0</v>
      </c>
      <c r="S119" s="125">
        <f>Lista!R118</f>
        <v>0</v>
      </c>
      <c r="T119" s="81"/>
      <c r="U119" s="81"/>
      <c r="V119" s="81"/>
      <c r="W119" s="81"/>
      <c r="X119" s="81"/>
      <c r="Y119" s="81"/>
      <c r="Z119" s="81"/>
      <c r="AA119" s="81"/>
      <c r="AB119" s="81"/>
      <c r="AC119" s="81"/>
      <c r="AD119" s="81"/>
      <c r="AE119" s="81"/>
      <c r="AF119" s="81"/>
      <c r="AG119" s="81"/>
      <c r="AH119" s="81"/>
      <c r="AI119" s="81"/>
      <c r="AJ119" s="81"/>
      <c r="AK119" s="81"/>
      <c r="AL119" s="81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  <c r="BA119" s="81"/>
      <c r="BB119" s="81"/>
      <c r="BC119" s="81"/>
      <c r="BD119" s="81"/>
      <c r="BE119" s="81"/>
      <c r="BF119" s="81"/>
      <c r="BG119" s="81"/>
      <c r="BH119" s="81"/>
      <c r="BI119" s="81"/>
      <c r="BJ119" s="81"/>
      <c r="BK119" s="81"/>
      <c r="BL119" s="81"/>
      <c r="BM119" s="81"/>
      <c r="BN119" s="81"/>
      <c r="BO119" s="81"/>
      <c r="BP119" s="8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  <c r="CF119" s="81"/>
      <c r="CG119" s="81"/>
      <c r="CH119" s="81"/>
      <c r="CI119" s="81"/>
      <c r="CJ119" s="81"/>
      <c r="CK119" s="81"/>
      <c r="CL119" s="81"/>
      <c r="CM119" s="81"/>
      <c r="CN119" s="81"/>
      <c r="CO119" s="81"/>
      <c r="CP119" s="81"/>
      <c r="CQ119" s="81"/>
      <c r="CR119" s="81"/>
      <c r="CS119" s="81"/>
      <c r="CT119" s="81"/>
      <c r="CU119" s="81"/>
      <c r="CV119" s="81"/>
      <c r="CW119" s="81"/>
      <c r="CX119" s="81"/>
      <c r="CY119" s="81"/>
      <c r="CZ119" s="81"/>
      <c r="DA119" s="81"/>
      <c r="DB119" s="81"/>
      <c r="DC119" s="81"/>
      <c r="DD119" s="81"/>
      <c r="DE119" s="81"/>
      <c r="DF119" s="81"/>
      <c r="DG119" s="81"/>
      <c r="DH119" s="81"/>
      <c r="DI119" s="81"/>
      <c r="DJ119" s="81"/>
      <c r="DK119" s="81"/>
      <c r="DL119" s="81"/>
      <c r="DM119" s="81"/>
      <c r="DN119" s="81"/>
      <c r="DO119" s="81"/>
      <c r="DP119" s="81"/>
      <c r="DQ119" s="81"/>
      <c r="DR119" s="81"/>
      <c r="DS119" s="81"/>
      <c r="DT119" s="81"/>
      <c r="DU119" s="81"/>
      <c r="DV119" s="81"/>
      <c r="DW119" s="121"/>
    </row>
    <row r="120" spans="1:127" x14ac:dyDescent="0.25">
      <c r="A120" s="2">
        <f>COUNTIF($D$2:D120,'Reporte de Nomina'!$E$2)</f>
        <v>0</v>
      </c>
      <c r="B120" s="125">
        <f>Lista!A119</f>
        <v>0</v>
      </c>
      <c r="C120" s="125">
        <f>Lista!B119</f>
        <v>0</v>
      </c>
      <c r="D120" s="125">
        <f>Lista!C119</f>
        <v>0</v>
      </c>
      <c r="E120" s="125">
        <f>Lista!D119</f>
        <v>0</v>
      </c>
      <c r="F120" s="125">
        <f>Lista!E119</f>
        <v>0</v>
      </c>
      <c r="G120" s="125">
        <f>Lista!F119</f>
        <v>0</v>
      </c>
      <c r="H120" s="125">
        <f>Lista!G119</f>
        <v>0</v>
      </c>
      <c r="I120" s="125">
        <f>Lista!H119</f>
        <v>0</v>
      </c>
      <c r="J120" s="125">
        <f>Lista!I119</f>
        <v>0</v>
      </c>
      <c r="K120" s="125">
        <f>Lista!J119</f>
        <v>0</v>
      </c>
      <c r="L120" s="125">
        <f>Lista!K119</f>
        <v>0</v>
      </c>
      <c r="M120" s="125">
        <f>Lista!L119</f>
        <v>0</v>
      </c>
      <c r="N120" s="125">
        <f>Lista!M119</f>
        <v>0</v>
      </c>
      <c r="O120" s="125">
        <f>Lista!N119</f>
        <v>0</v>
      </c>
      <c r="P120" s="125">
        <f>Lista!O119</f>
        <v>0</v>
      </c>
      <c r="Q120" s="125">
        <f>Lista!P119</f>
        <v>0</v>
      </c>
      <c r="R120" s="125">
        <f>Lista!Q119</f>
        <v>0</v>
      </c>
      <c r="S120" s="125">
        <f>Lista!R119</f>
        <v>0</v>
      </c>
      <c r="T120" s="81"/>
      <c r="U120" s="81"/>
      <c r="V120" s="81"/>
      <c r="W120" s="81"/>
      <c r="X120" s="81"/>
      <c r="Y120" s="81"/>
      <c r="Z120" s="81"/>
      <c r="AA120" s="81"/>
      <c r="AB120" s="81"/>
      <c r="AC120" s="81"/>
      <c r="AD120" s="81"/>
      <c r="AE120" s="81"/>
      <c r="AF120" s="81"/>
      <c r="AG120" s="81"/>
      <c r="AH120" s="81"/>
      <c r="AI120" s="81"/>
      <c r="AJ120" s="81"/>
      <c r="AK120" s="81"/>
      <c r="AL120" s="81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  <c r="BA120" s="81"/>
      <c r="BB120" s="81"/>
      <c r="BC120" s="81"/>
      <c r="BD120" s="81"/>
      <c r="BE120" s="81"/>
      <c r="BF120" s="81"/>
      <c r="BG120" s="81"/>
      <c r="BH120" s="81"/>
      <c r="BI120" s="81"/>
      <c r="BJ120" s="81"/>
      <c r="BK120" s="81"/>
      <c r="BL120" s="81"/>
      <c r="BM120" s="81"/>
      <c r="BN120" s="81"/>
      <c r="BO120" s="81"/>
      <c r="BP120" s="81"/>
      <c r="BQ120" s="81"/>
      <c r="BR120" s="81"/>
      <c r="BS120" s="81"/>
      <c r="BT120" s="81"/>
      <c r="BU120" s="81"/>
      <c r="BV120" s="81"/>
      <c r="BW120" s="81"/>
      <c r="BX120" s="81"/>
      <c r="BY120" s="81"/>
      <c r="BZ120" s="81"/>
      <c r="CA120" s="81"/>
      <c r="CB120" s="81"/>
      <c r="CC120" s="81"/>
      <c r="CD120" s="81"/>
      <c r="CE120" s="81"/>
      <c r="CF120" s="81"/>
      <c r="CG120" s="81"/>
      <c r="CH120" s="81"/>
      <c r="CI120" s="81"/>
      <c r="CJ120" s="81"/>
      <c r="CK120" s="81"/>
      <c r="CL120" s="81"/>
      <c r="CM120" s="81"/>
      <c r="CN120" s="81"/>
      <c r="CO120" s="81"/>
      <c r="CP120" s="81"/>
      <c r="CQ120" s="81"/>
      <c r="CR120" s="81"/>
      <c r="CS120" s="81"/>
      <c r="CT120" s="81"/>
      <c r="CU120" s="81"/>
      <c r="CV120" s="81"/>
      <c r="CW120" s="81"/>
      <c r="CX120" s="81"/>
      <c r="CY120" s="81"/>
      <c r="CZ120" s="81"/>
      <c r="DA120" s="81"/>
      <c r="DB120" s="81"/>
      <c r="DC120" s="81"/>
      <c r="DD120" s="81"/>
      <c r="DE120" s="81"/>
      <c r="DF120" s="81"/>
      <c r="DG120" s="81"/>
      <c r="DH120" s="81"/>
      <c r="DI120" s="81"/>
      <c r="DJ120" s="81"/>
      <c r="DK120" s="81"/>
      <c r="DL120" s="81"/>
      <c r="DM120" s="81"/>
      <c r="DN120" s="81"/>
      <c r="DO120" s="81"/>
      <c r="DP120" s="81"/>
      <c r="DQ120" s="81"/>
      <c r="DR120" s="81"/>
      <c r="DS120" s="81"/>
      <c r="DT120" s="81"/>
      <c r="DU120" s="81"/>
      <c r="DV120" s="81"/>
      <c r="DW120" s="121"/>
    </row>
    <row r="121" spans="1:127" x14ac:dyDescent="0.25">
      <c r="A121" s="2">
        <f>COUNTIF($D$2:D121,'Reporte de Nomina'!$E$2)</f>
        <v>0</v>
      </c>
      <c r="B121" s="125">
        <f>Lista!A120</f>
        <v>0</v>
      </c>
      <c r="C121" s="125">
        <f>Lista!B120</f>
        <v>0</v>
      </c>
      <c r="D121" s="125">
        <f>Lista!C120</f>
        <v>0</v>
      </c>
      <c r="E121" s="125">
        <f>Lista!D120</f>
        <v>0</v>
      </c>
      <c r="F121" s="125">
        <f>Lista!E120</f>
        <v>0</v>
      </c>
      <c r="G121" s="125">
        <f>Lista!F120</f>
        <v>0</v>
      </c>
      <c r="H121" s="125">
        <f>Lista!G120</f>
        <v>0</v>
      </c>
      <c r="I121" s="125">
        <f>Lista!H120</f>
        <v>0</v>
      </c>
      <c r="J121" s="125">
        <f>Lista!I120</f>
        <v>0</v>
      </c>
      <c r="K121" s="125">
        <f>Lista!J120</f>
        <v>0</v>
      </c>
      <c r="L121" s="125">
        <f>Lista!K120</f>
        <v>0</v>
      </c>
      <c r="M121" s="125">
        <f>Lista!L120</f>
        <v>0</v>
      </c>
      <c r="N121" s="125">
        <f>Lista!M120</f>
        <v>0</v>
      </c>
      <c r="O121" s="125">
        <f>Lista!N120</f>
        <v>0</v>
      </c>
      <c r="P121" s="125">
        <f>Lista!O120</f>
        <v>0</v>
      </c>
      <c r="Q121" s="125">
        <f>Lista!P120</f>
        <v>0</v>
      </c>
      <c r="R121" s="125">
        <f>Lista!Q120</f>
        <v>0</v>
      </c>
      <c r="S121" s="125">
        <f>Lista!R120</f>
        <v>0</v>
      </c>
      <c r="T121" s="81"/>
      <c r="U121" s="81"/>
      <c r="V121" s="81"/>
      <c r="W121" s="81"/>
      <c r="X121" s="81"/>
      <c r="Y121" s="81"/>
      <c r="Z121" s="81"/>
      <c r="AA121" s="81"/>
      <c r="AB121" s="81"/>
      <c r="AC121" s="81"/>
      <c r="AD121" s="81"/>
      <c r="AE121" s="81"/>
      <c r="AF121" s="81"/>
      <c r="AG121" s="81"/>
      <c r="AH121" s="81"/>
      <c r="AI121" s="81"/>
      <c r="AJ121" s="81"/>
      <c r="AK121" s="81"/>
      <c r="AL121" s="81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  <c r="BA121" s="81"/>
      <c r="BB121" s="81"/>
      <c r="BC121" s="81"/>
      <c r="BD121" s="81"/>
      <c r="BE121" s="81"/>
      <c r="BF121" s="81"/>
      <c r="BG121" s="81"/>
      <c r="BH121" s="81"/>
      <c r="BI121" s="81"/>
      <c r="BJ121" s="81"/>
      <c r="BK121" s="81"/>
      <c r="BL121" s="81"/>
      <c r="BM121" s="81"/>
      <c r="BN121" s="81"/>
      <c r="BO121" s="81"/>
      <c r="BP121" s="81"/>
      <c r="BQ121" s="81"/>
      <c r="BR121" s="81"/>
      <c r="BS121" s="81"/>
      <c r="BT121" s="81"/>
      <c r="BU121" s="81"/>
      <c r="BV121" s="81"/>
      <c r="BW121" s="81"/>
      <c r="BX121" s="81"/>
      <c r="BY121" s="81"/>
      <c r="BZ121" s="81"/>
      <c r="CA121" s="81"/>
      <c r="CB121" s="81"/>
      <c r="CC121" s="81"/>
      <c r="CD121" s="81"/>
      <c r="CE121" s="81"/>
      <c r="CF121" s="81"/>
      <c r="CG121" s="81"/>
      <c r="CH121" s="81"/>
      <c r="CI121" s="81"/>
      <c r="CJ121" s="81"/>
      <c r="CK121" s="81"/>
      <c r="CL121" s="81"/>
      <c r="CM121" s="81"/>
      <c r="CN121" s="81"/>
      <c r="CO121" s="81"/>
      <c r="CP121" s="81"/>
      <c r="CQ121" s="81"/>
      <c r="CR121" s="81"/>
      <c r="CS121" s="81"/>
      <c r="CT121" s="81"/>
      <c r="CU121" s="81"/>
      <c r="CV121" s="81"/>
      <c r="CW121" s="81"/>
      <c r="CX121" s="81"/>
      <c r="CY121" s="81"/>
      <c r="CZ121" s="81"/>
      <c r="DA121" s="81"/>
      <c r="DB121" s="81"/>
      <c r="DC121" s="81"/>
      <c r="DD121" s="81"/>
      <c r="DE121" s="81"/>
      <c r="DF121" s="81"/>
      <c r="DG121" s="81"/>
      <c r="DH121" s="81"/>
      <c r="DI121" s="81"/>
      <c r="DJ121" s="81"/>
      <c r="DK121" s="81"/>
      <c r="DL121" s="81"/>
      <c r="DM121" s="81"/>
      <c r="DN121" s="81"/>
      <c r="DO121" s="81"/>
      <c r="DP121" s="81"/>
      <c r="DQ121" s="81"/>
      <c r="DR121" s="81"/>
      <c r="DS121" s="81"/>
      <c r="DT121" s="81"/>
      <c r="DU121" s="81"/>
      <c r="DV121" s="81"/>
      <c r="DW121" s="121"/>
    </row>
    <row r="122" spans="1:127" x14ac:dyDescent="0.25">
      <c r="A122" s="2">
        <f>COUNTIF($D$2:D122,'Reporte de Nomina'!$E$2)</f>
        <v>0</v>
      </c>
      <c r="B122" s="125">
        <f>Lista!A121</f>
        <v>0</v>
      </c>
      <c r="C122" s="125">
        <f>Lista!B121</f>
        <v>0</v>
      </c>
      <c r="D122" s="125">
        <f>Lista!C121</f>
        <v>0</v>
      </c>
      <c r="E122" s="125">
        <f>Lista!D121</f>
        <v>0</v>
      </c>
      <c r="F122" s="125">
        <f>Lista!E121</f>
        <v>0</v>
      </c>
      <c r="G122" s="125">
        <f>Lista!F121</f>
        <v>0</v>
      </c>
      <c r="H122" s="125">
        <f>Lista!G121</f>
        <v>0</v>
      </c>
      <c r="I122" s="125">
        <f>Lista!H121</f>
        <v>0</v>
      </c>
      <c r="J122" s="125">
        <f>Lista!I121</f>
        <v>0</v>
      </c>
      <c r="K122" s="125">
        <f>Lista!J121</f>
        <v>0</v>
      </c>
      <c r="L122" s="125">
        <f>Lista!K121</f>
        <v>0</v>
      </c>
      <c r="M122" s="125">
        <f>Lista!L121</f>
        <v>0</v>
      </c>
      <c r="N122" s="125">
        <f>Lista!M121</f>
        <v>0</v>
      </c>
      <c r="O122" s="125">
        <f>Lista!N121</f>
        <v>0</v>
      </c>
      <c r="P122" s="125">
        <f>Lista!O121</f>
        <v>0</v>
      </c>
      <c r="Q122" s="125">
        <f>Lista!P121</f>
        <v>0</v>
      </c>
      <c r="R122" s="125">
        <f>Lista!Q121</f>
        <v>0</v>
      </c>
      <c r="S122" s="125">
        <f>Lista!R121</f>
        <v>0</v>
      </c>
      <c r="T122" s="81"/>
      <c r="U122" s="81"/>
      <c r="V122" s="81"/>
      <c r="W122" s="81"/>
      <c r="X122" s="81"/>
      <c r="Y122" s="81"/>
      <c r="Z122" s="81"/>
      <c r="AA122" s="81"/>
      <c r="AB122" s="81"/>
      <c r="AC122" s="81"/>
      <c r="AD122" s="81"/>
      <c r="AE122" s="81"/>
      <c r="AF122" s="81"/>
      <c r="AG122" s="81"/>
      <c r="AH122" s="81"/>
      <c r="AI122" s="81"/>
      <c r="AJ122" s="81"/>
      <c r="AK122" s="81"/>
      <c r="AL122" s="81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  <c r="BA122" s="81"/>
      <c r="BB122" s="81"/>
      <c r="BC122" s="81"/>
      <c r="BD122" s="81"/>
      <c r="BE122" s="81"/>
      <c r="BF122" s="81"/>
      <c r="BG122" s="81"/>
      <c r="BH122" s="81"/>
      <c r="BI122" s="81"/>
      <c r="BJ122" s="81"/>
      <c r="BK122" s="81"/>
      <c r="BL122" s="81"/>
      <c r="BM122" s="81"/>
      <c r="BN122" s="81"/>
      <c r="BO122" s="81"/>
      <c r="BP122" s="81"/>
      <c r="BQ122" s="81"/>
      <c r="BR122" s="81"/>
      <c r="BS122" s="81"/>
      <c r="BT122" s="81"/>
      <c r="BU122" s="81"/>
      <c r="BV122" s="81"/>
      <c r="BW122" s="81"/>
      <c r="BX122" s="81"/>
      <c r="BY122" s="81"/>
      <c r="BZ122" s="81"/>
      <c r="CA122" s="81"/>
      <c r="CB122" s="81"/>
      <c r="CC122" s="81"/>
      <c r="CD122" s="81"/>
      <c r="CE122" s="81"/>
      <c r="CF122" s="81"/>
      <c r="CG122" s="81"/>
      <c r="CH122" s="81"/>
      <c r="CI122" s="81"/>
      <c r="CJ122" s="81"/>
      <c r="CK122" s="81"/>
      <c r="CL122" s="81"/>
      <c r="CM122" s="81"/>
      <c r="CN122" s="81"/>
      <c r="CO122" s="81"/>
      <c r="CP122" s="81"/>
      <c r="CQ122" s="81"/>
      <c r="CR122" s="81"/>
      <c r="CS122" s="81"/>
      <c r="CT122" s="81"/>
      <c r="CU122" s="81"/>
      <c r="CV122" s="81"/>
      <c r="CW122" s="81"/>
      <c r="CX122" s="81"/>
      <c r="CY122" s="81"/>
      <c r="CZ122" s="81"/>
      <c r="DA122" s="81"/>
      <c r="DB122" s="81"/>
      <c r="DC122" s="81"/>
      <c r="DD122" s="81"/>
      <c r="DE122" s="81"/>
      <c r="DF122" s="81"/>
      <c r="DG122" s="81"/>
      <c r="DH122" s="81"/>
      <c r="DI122" s="81"/>
      <c r="DJ122" s="81"/>
      <c r="DK122" s="81"/>
      <c r="DL122" s="81"/>
      <c r="DM122" s="81"/>
      <c r="DN122" s="81"/>
      <c r="DO122" s="81"/>
      <c r="DP122" s="81"/>
      <c r="DQ122" s="81"/>
      <c r="DR122" s="81"/>
      <c r="DS122" s="81"/>
      <c r="DT122" s="81"/>
      <c r="DU122" s="81"/>
      <c r="DV122" s="81"/>
      <c r="DW122" s="121"/>
    </row>
    <row r="123" spans="1:127" x14ac:dyDescent="0.25">
      <c r="A123" s="2">
        <f>COUNTIF($D$2:D123,'Reporte de Nomina'!$E$2)</f>
        <v>0</v>
      </c>
      <c r="B123" s="125">
        <f>Lista!A122</f>
        <v>0</v>
      </c>
      <c r="C123" s="125">
        <f>Lista!B122</f>
        <v>0</v>
      </c>
      <c r="D123" s="125">
        <f>Lista!C122</f>
        <v>0</v>
      </c>
      <c r="E123" s="125">
        <f>Lista!D122</f>
        <v>0</v>
      </c>
      <c r="F123" s="125">
        <f>Lista!E122</f>
        <v>0</v>
      </c>
      <c r="G123" s="125">
        <f>Lista!F122</f>
        <v>0</v>
      </c>
      <c r="H123" s="125">
        <f>Lista!G122</f>
        <v>0</v>
      </c>
      <c r="I123" s="125">
        <f>Lista!H122</f>
        <v>0</v>
      </c>
      <c r="J123" s="125">
        <f>Lista!I122</f>
        <v>0</v>
      </c>
      <c r="K123" s="125">
        <f>Lista!J122</f>
        <v>0</v>
      </c>
      <c r="L123" s="125">
        <f>Lista!K122</f>
        <v>0</v>
      </c>
      <c r="M123" s="125">
        <f>Lista!L122</f>
        <v>0</v>
      </c>
      <c r="N123" s="125">
        <f>Lista!M122</f>
        <v>0</v>
      </c>
      <c r="O123" s="125">
        <f>Lista!N122</f>
        <v>0</v>
      </c>
      <c r="P123" s="125">
        <f>Lista!O122</f>
        <v>0</v>
      </c>
      <c r="Q123" s="125">
        <f>Lista!P122</f>
        <v>0</v>
      </c>
      <c r="R123" s="125">
        <f>Lista!Q122</f>
        <v>0</v>
      </c>
      <c r="S123" s="125">
        <f>Lista!R122</f>
        <v>0</v>
      </c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  <c r="BA123" s="81"/>
      <c r="BB123" s="81"/>
      <c r="BC123" s="81"/>
      <c r="BD123" s="81"/>
      <c r="BE123" s="81"/>
      <c r="BF123" s="81"/>
      <c r="BG123" s="81"/>
      <c r="BH123" s="81"/>
      <c r="BI123" s="81"/>
      <c r="BJ123" s="81"/>
      <c r="BK123" s="81"/>
      <c r="BL123" s="81"/>
      <c r="BM123" s="81"/>
      <c r="BN123" s="81"/>
      <c r="BO123" s="81"/>
      <c r="BP123" s="81"/>
      <c r="BQ123" s="81"/>
      <c r="BR123" s="81"/>
      <c r="BS123" s="81"/>
      <c r="BT123" s="81"/>
      <c r="BU123" s="81"/>
      <c r="BV123" s="81"/>
      <c r="BW123" s="81"/>
      <c r="BX123" s="81"/>
      <c r="BY123" s="81"/>
      <c r="BZ123" s="81"/>
      <c r="CA123" s="81"/>
      <c r="CB123" s="81"/>
      <c r="CC123" s="81"/>
      <c r="CD123" s="81"/>
      <c r="CE123" s="81"/>
      <c r="CF123" s="81"/>
      <c r="CG123" s="81"/>
      <c r="CH123" s="81"/>
      <c r="CI123" s="81"/>
      <c r="CJ123" s="81"/>
      <c r="CK123" s="81"/>
      <c r="CL123" s="81"/>
      <c r="CM123" s="81"/>
      <c r="CN123" s="81"/>
      <c r="CO123" s="81"/>
      <c r="CP123" s="81"/>
      <c r="CQ123" s="81"/>
      <c r="CR123" s="81"/>
      <c r="CS123" s="81"/>
      <c r="CT123" s="81"/>
      <c r="CU123" s="81"/>
      <c r="CV123" s="81"/>
      <c r="CW123" s="81"/>
      <c r="CX123" s="81"/>
      <c r="CY123" s="81"/>
      <c r="CZ123" s="81"/>
      <c r="DA123" s="81"/>
      <c r="DB123" s="81"/>
      <c r="DC123" s="81"/>
      <c r="DD123" s="81"/>
      <c r="DE123" s="81"/>
      <c r="DF123" s="81"/>
      <c r="DG123" s="81"/>
      <c r="DH123" s="81"/>
      <c r="DI123" s="81"/>
      <c r="DJ123" s="81"/>
      <c r="DK123" s="81"/>
      <c r="DL123" s="81"/>
      <c r="DM123" s="81"/>
      <c r="DN123" s="81"/>
      <c r="DO123" s="81"/>
      <c r="DP123" s="81"/>
      <c r="DQ123" s="81"/>
      <c r="DR123" s="81"/>
      <c r="DS123" s="81"/>
      <c r="DT123" s="81"/>
      <c r="DU123" s="81"/>
      <c r="DV123" s="81"/>
      <c r="DW123" s="121"/>
    </row>
    <row r="124" spans="1:127" x14ac:dyDescent="0.25">
      <c r="A124" s="2">
        <f>COUNTIF($D$2:D124,'Reporte de Nomina'!$E$2)</f>
        <v>0</v>
      </c>
      <c r="B124" s="125">
        <f>Lista!A123</f>
        <v>0</v>
      </c>
      <c r="C124" s="125">
        <f>Lista!B123</f>
        <v>0</v>
      </c>
      <c r="D124" s="125">
        <f>Lista!C123</f>
        <v>0</v>
      </c>
      <c r="E124" s="125">
        <f>Lista!D123</f>
        <v>0</v>
      </c>
      <c r="F124" s="125">
        <f>Lista!E123</f>
        <v>0</v>
      </c>
      <c r="G124" s="125">
        <f>Lista!F123</f>
        <v>0</v>
      </c>
      <c r="H124" s="125">
        <f>Lista!G123</f>
        <v>0</v>
      </c>
      <c r="I124" s="125">
        <f>Lista!H123</f>
        <v>0</v>
      </c>
      <c r="J124" s="125">
        <f>Lista!I123</f>
        <v>0</v>
      </c>
      <c r="K124" s="125">
        <f>Lista!J123</f>
        <v>0</v>
      </c>
      <c r="L124" s="125">
        <f>Lista!K123</f>
        <v>0</v>
      </c>
      <c r="M124" s="125">
        <f>Lista!L123</f>
        <v>0</v>
      </c>
      <c r="N124" s="125">
        <f>Lista!M123</f>
        <v>0</v>
      </c>
      <c r="O124" s="125">
        <f>Lista!N123</f>
        <v>0</v>
      </c>
      <c r="P124" s="125">
        <f>Lista!O123</f>
        <v>0</v>
      </c>
      <c r="Q124" s="125">
        <f>Lista!P123</f>
        <v>0</v>
      </c>
      <c r="R124" s="125">
        <f>Lista!Q123</f>
        <v>0</v>
      </c>
      <c r="S124" s="125">
        <f>Lista!R123</f>
        <v>0</v>
      </c>
      <c r="T124" s="81"/>
      <c r="U124" s="81"/>
      <c r="V124" s="81"/>
      <c r="W124" s="81"/>
      <c r="X124" s="81"/>
      <c r="Y124" s="81"/>
      <c r="Z124" s="81"/>
      <c r="AA124" s="81"/>
      <c r="AB124" s="81"/>
      <c r="AC124" s="81"/>
      <c r="AD124" s="81"/>
      <c r="AE124" s="81"/>
      <c r="AF124" s="81"/>
      <c r="AG124" s="81"/>
      <c r="AH124" s="81"/>
      <c r="AI124" s="81"/>
      <c r="AJ124" s="81"/>
      <c r="AK124" s="81"/>
      <c r="AL124" s="81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  <c r="BA124" s="81"/>
      <c r="BB124" s="81"/>
      <c r="BC124" s="81"/>
      <c r="BD124" s="81"/>
      <c r="BE124" s="81"/>
      <c r="BF124" s="81"/>
      <c r="BG124" s="81"/>
      <c r="BH124" s="81"/>
      <c r="BI124" s="81"/>
      <c r="BJ124" s="81"/>
      <c r="BK124" s="81"/>
      <c r="BL124" s="81"/>
      <c r="BM124" s="81"/>
      <c r="BN124" s="81"/>
      <c r="BO124" s="81"/>
      <c r="BP124" s="81"/>
      <c r="BQ124" s="81"/>
      <c r="BR124" s="81"/>
      <c r="BS124" s="81"/>
      <c r="BT124" s="81"/>
      <c r="BU124" s="81"/>
      <c r="BV124" s="81"/>
      <c r="BW124" s="81"/>
      <c r="BX124" s="81"/>
      <c r="BY124" s="81"/>
      <c r="BZ124" s="81"/>
      <c r="CA124" s="81"/>
      <c r="CB124" s="81"/>
      <c r="CC124" s="81"/>
      <c r="CD124" s="81"/>
      <c r="CE124" s="81"/>
      <c r="CF124" s="81"/>
      <c r="CG124" s="81"/>
      <c r="CH124" s="81"/>
      <c r="CI124" s="81"/>
      <c r="CJ124" s="81"/>
      <c r="CK124" s="81"/>
      <c r="CL124" s="81"/>
      <c r="CM124" s="81"/>
      <c r="CN124" s="81"/>
      <c r="CO124" s="81"/>
      <c r="CP124" s="81"/>
      <c r="CQ124" s="81"/>
      <c r="CR124" s="81"/>
      <c r="CS124" s="81"/>
      <c r="CT124" s="81"/>
      <c r="CU124" s="81"/>
      <c r="CV124" s="81"/>
      <c r="CW124" s="81"/>
      <c r="CX124" s="81"/>
      <c r="CY124" s="81"/>
      <c r="CZ124" s="81"/>
      <c r="DA124" s="81"/>
      <c r="DB124" s="81"/>
      <c r="DC124" s="81"/>
      <c r="DD124" s="81"/>
      <c r="DE124" s="81"/>
      <c r="DF124" s="81"/>
      <c r="DG124" s="81"/>
      <c r="DH124" s="81"/>
      <c r="DI124" s="81"/>
      <c r="DJ124" s="81"/>
      <c r="DK124" s="81"/>
      <c r="DL124" s="81"/>
      <c r="DM124" s="81"/>
      <c r="DN124" s="81"/>
      <c r="DO124" s="81"/>
      <c r="DP124" s="81"/>
      <c r="DQ124" s="81"/>
      <c r="DR124" s="81"/>
      <c r="DS124" s="81"/>
      <c r="DT124" s="81"/>
      <c r="DU124" s="81"/>
      <c r="DV124" s="81"/>
      <c r="DW124" s="121"/>
    </row>
    <row r="125" spans="1:127" x14ac:dyDescent="0.25">
      <c r="A125" s="2">
        <f>COUNTIF($D$2:D125,'Reporte de Nomina'!$E$2)</f>
        <v>0</v>
      </c>
      <c r="B125" s="125">
        <f>Lista!A124</f>
        <v>0</v>
      </c>
      <c r="C125" s="125">
        <f>Lista!B124</f>
        <v>0</v>
      </c>
      <c r="D125" s="125">
        <f>Lista!C124</f>
        <v>0</v>
      </c>
      <c r="E125" s="125">
        <f>Lista!D124</f>
        <v>0</v>
      </c>
      <c r="F125" s="125">
        <f>Lista!E124</f>
        <v>0</v>
      </c>
      <c r="G125" s="125">
        <f>Lista!F124</f>
        <v>0</v>
      </c>
      <c r="H125" s="125">
        <f>Lista!G124</f>
        <v>0</v>
      </c>
      <c r="I125" s="125">
        <f>Lista!H124</f>
        <v>0</v>
      </c>
      <c r="J125" s="125">
        <f>Lista!I124</f>
        <v>0</v>
      </c>
      <c r="K125" s="125">
        <f>Lista!J124</f>
        <v>0</v>
      </c>
      <c r="L125" s="125">
        <f>Lista!K124</f>
        <v>0</v>
      </c>
      <c r="M125" s="125">
        <f>Lista!L124</f>
        <v>0</v>
      </c>
      <c r="N125" s="125">
        <f>Lista!M124</f>
        <v>0</v>
      </c>
      <c r="O125" s="125">
        <f>Lista!N124</f>
        <v>0</v>
      </c>
      <c r="P125" s="125">
        <f>Lista!O124</f>
        <v>0</v>
      </c>
      <c r="Q125" s="125">
        <f>Lista!P124</f>
        <v>0</v>
      </c>
      <c r="R125" s="125">
        <f>Lista!Q124</f>
        <v>0</v>
      </c>
      <c r="S125" s="125">
        <f>Lista!R124</f>
        <v>0</v>
      </c>
      <c r="T125" s="81"/>
      <c r="U125" s="81"/>
      <c r="V125" s="81"/>
      <c r="W125" s="81"/>
      <c r="X125" s="81"/>
      <c r="Y125" s="81"/>
      <c r="Z125" s="81"/>
      <c r="AA125" s="81"/>
      <c r="AB125" s="81"/>
      <c r="AC125" s="81"/>
      <c r="AD125" s="81"/>
      <c r="AE125" s="81"/>
      <c r="AF125" s="81"/>
      <c r="AG125" s="81"/>
      <c r="AH125" s="81"/>
      <c r="AI125" s="81"/>
      <c r="AJ125" s="81"/>
      <c r="AK125" s="81"/>
      <c r="AL125" s="81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  <c r="BA125" s="81"/>
      <c r="BB125" s="81"/>
      <c r="BC125" s="81"/>
      <c r="BD125" s="81"/>
      <c r="BE125" s="81"/>
      <c r="BF125" s="81"/>
      <c r="BG125" s="81"/>
      <c r="BH125" s="81"/>
      <c r="BI125" s="81"/>
      <c r="BJ125" s="81"/>
      <c r="BK125" s="81"/>
      <c r="BL125" s="81"/>
      <c r="BM125" s="81"/>
      <c r="BN125" s="81"/>
      <c r="BO125" s="81"/>
      <c r="BP125" s="81"/>
      <c r="BQ125" s="81"/>
      <c r="BR125" s="81"/>
      <c r="BS125" s="81"/>
      <c r="BT125" s="81"/>
      <c r="BU125" s="81"/>
      <c r="BV125" s="81"/>
      <c r="BW125" s="81"/>
      <c r="BX125" s="81"/>
      <c r="BY125" s="81"/>
      <c r="BZ125" s="81"/>
      <c r="CA125" s="81"/>
      <c r="CB125" s="81"/>
      <c r="CC125" s="81"/>
      <c r="CD125" s="81"/>
      <c r="CE125" s="81"/>
      <c r="CF125" s="81"/>
      <c r="CG125" s="81"/>
      <c r="CH125" s="81"/>
      <c r="CI125" s="81"/>
      <c r="CJ125" s="81"/>
      <c r="CK125" s="81"/>
      <c r="CL125" s="81"/>
      <c r="CM125" s="81"/>
      <c r="CN125" s="81"/>
      <c r="CO125" s="81"/>
      <c r="CP125" s="81"/>
      <c r="CQ125" s="81"/>
      <c r="CR125" s="81"/>
      <c r="CS125" s="81"/>
      <c r="CT125" s="81"/>
      <c r="CU125" s="81"/>
      <c r="CV125" s="81"/>
      <c r="CW125" s="81"/>
      <c r="CX125" s="81"/>
      <c r="CY125" s="81"/>
      <c r="CZ125" s="81"/>
      <c r="DA125" s="81"/>
      <c r="DB125" s="81"/>
      <c r="DC125" s="81"/>
      <c r="DD125" s="81"/>
      <c r="DE125" s="81"/>
      <c r="DF125" s="81"/>
      <c r="DG125" s="81"/>
      <c r="DH125" s="81"/>
      <c r="DI125" s="81"/>
      <c r="DJ125" s="81"/>
      <c r="DK125" s="81"/>
      <c r="DL125" s="81"/>
      <c r="DM125" s="81"/>
      <c r="DN125" s="81"/>
      <c r="DO125" s="81"/>
      <c r="DP125" s="81"/>
      <c r="DQ125" s="81"/>
      <c r="DR125" s="81"/>
      <c r="DS125" s="81"/>
      <c r="DT125" s="81"/>
      <c r="DU125" s="81"/>
      <c r="DV125" s="81"/>
      <c r="DW125" s="121"/>
    </row>
    <row r="126" spans="1:127" x14ac:dyDescent="0.25">
      <c r="A126" s="2">
        <f>COUNTIF($D$2:D126,'Reporte de Nomina'!$E$2)</f>
        <v>0</v>
      </c>
      <c r="B126" s="125">
        <f>Lista!A125</f>
        <v>0</v>
      </c>
      <c r="C126" s="125">
        <f>Lista!B125</f>
        <v>0</v>
      </c>
      <c r="D126" s="125">
        <f>Lista!C125</f>
        <v>0</v>
      </c>
      <c r="E126" s="125">
        <f>Lista!D125</f>
        <v>0</v>
      </c>
      <c r="F126" s="125">
        <f>Lista!E125</f>
        <v>0</v>
      </c>
      <c r="G126" s="125">
        <f>Lista!F125</f>
        <v>0</v>
      </c>
      <c r="H126" s="125">
        <f>Lista!G125</f>
        <v>0</v>
      </c>
      <c r="I126" s="125">
        <f>Lista!H125</f>
        <v>0</v>
      </c>
      <c r="J126" s="125">
        <f>Lista!I125</f>
        <v>0</v>
      </c>
      <c r="K126" s="125">
        <f>Lista!J125</f>
        <v>0</v>
      </c>
      <c r="L126" s="125">
        <f>Lista!K125</f>
        <v>0</v>
      </c>
      <c r="M126" s="125">
        <f>Lista!L125</f>
        <v>0</v>
      </c>
      <c r="N126" s="125">
        <f>Lista!M125</f>
        <v>0</v>
      </c>
      <c r="O126" s="125">
        <f>Lista!N125</f>
        <v>0</v>
      </c>
      <c r="P126" s="125">
        <f>Lista!O125</f>
        <v>0</v>
      </c>
      <c r="Q126" s="125">
        <f>Lista!P125</f>
        <v>0</v>
      </c>
      <c r="R126" s="125">
        <f>Lista!Q125</f>
        <v>0</v>
      </c>
      <c r="S126" s="125">
        <f>Lista!R125</f>
        <v>0</v>
      </c>
      <c r="T126" s="81"/>
      <c r="U126" s="81"/>
      <c r="V126" s="81"/>
      <c r="W126" s="81"/>
      <c r="X126" s="81"/>
      <c r="Y126" s="81"/>
      <c r="Z126" s="81"/>
      <c r="AA126" s="81"/>
      <c r="AB126" s="81"/>
      <c r="AC126" s="81"/>
      <c r="AD126" s="81"/>
      <c r="AE126" s="81"/>
      <c r="AF126" s="81"/>
      <c r="AG126" s="81"/>
      <c r="AH126" s="81"/>
      <c r="AI126" s="81"/>
      <c r="AJ126" s="81"/>
      <c r="AK126" s="81"/>
      <c r="AL126" s="81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  <c r="BA126" s="81"/>
      <c r="BB126" s="81"/>
      <c r="BC126" s="81"/>
      <c r="BD126" s="81"/>
      <c r="BE126" s="81"/>
      <c r="BF126" s="81"/>
      <c r="BG126" s="81"/>
      <c r="BH126" s="81"/>
      <c r="BI126" s="81"/>
      <c r="BJ126" s="81"/>
      <c r="BK126" s="81"/>
      <c r="BL126" s="81"/>
      <c r="BM126" s="81"/>
      <c r="BN126" s="81"/>
      <c r="BO126" s="81"/>
      <c r="BP126" s="81"/>
      <c r="BQ126" s="81"/>
      <c r="BR126" s="81"/>
      <c r="BS126" s="81"/>
      <c r="BT126" s="81"/>
      <c r="BU126" s="81"/>
      <c r="BV126" s="81"/>
      <c r="BW126" s="81"/>
      <c r="BX126" s="81"/>
      <c r="BY126" s="81"/>
      <c r="BZ126" s="81"/>
      <c r="CA126" s="81"/>
      <c r="CB126" s="81"/>
      <c r="CC126" s="81"/>
      <c r="CD126" s="81"/>
      <c r="CE126" s="81"/>
      <c r="CF126" s="81"/>
      <c r="CG126" s="81"/>
      <c r="CH126" s="81"/>
      <c r="CI126" s="81"/>
      <c r="CJ126" s="81"/>
      <c r="CK126" s="81"/>
      <c r="CL126" s="81"/>
      <c r="CM126" s="81"/>
      <c r="CN126" s="81"/>
      <c r="CO126" s="81"/>
      <c r="CP126" s="81"/>
      <c r="CQ126" s="81"/>
      <c r="CR126" s="81"/>
      <c r="CS126" s="81"/>
      <c r="CT126" s="81"/>
      <c r="CU126" s="81"/>
      <c r="CV126" s="81"/>
      <c r="CW126" s="81"/>
      <c r="CX126" s="81"/>
      <c r="CY126" s="81"/>
      <c r="CZ126" s="81"/>
      <c r="DA126" s="81"/>
      <c r="DB126" s="81"/>
      <c r="DC126" s="81"/>
      <c r="DD126" s="81"/>
      <c r="DE126" s="81"/>
      <c r="DF126" s="81"/>
      <c r="DG126" s="81"/>
      <c r="DH126" s="81"/>
      <c r="DI126" s="81"/>
      <c r="DJ126" s="81"/>
      <c r="DK126" s="81"/>
      <c r="DL126" s="81"/>
      <c r="DM126" s="81"/>
      <c r="DN126" s="81"/>
      <c r="DO126" s="81"/>
      <c r="DP126" s="81"/>
      <c r="DQ126" s="81"/>
      <c r="DR126" s="81"/>
      <c r="DS126" s="81"/>
      <c r="DT126" s="81"/>
      <c r="DU126" s="81"/>
      <c r="DV126" s="81"/>
      <c r="DW126" s="121"/>
    </row>
    <row r="127" spans="1:127" x14ac:dyDescent="0.25">
      <c r="A127" s="2">
        <f>COUNTIF($D$2:D127,'Reporte de Nomina'!$E$2)</f>
        <v>0</v>
      </c>
      <c r="B127" s="125">
        <f>Lista!A126</f>
        <v>0</v>
      </c>
      <c r="C127" s="125">
        <f>Lista!B126</f>
        <v>0</v>
      </c>
      <c r="D127" s="125">
        <f>Lista!C126</f>
        <v>0</v>
      </c>
      <c r="E127" s="125">
        <f>Lista!D126</f>
        <v>0</v>
      </c>
      <c r="F127" s="125">
        <f>Lista!E126</f>
        <v>0</v>
      </c>
      <c r="G127" s="125">
        <f>Lista!F126</f>
        <v>0</v>
      </c>
      <c r="H127" s="125">
        <f>Lista!G126</f>
        <v>0</v>
      </c>
      <c r="I127" s="125">
        <f>Lista!H126</f>
        <v>0</v>
      </c>
      <c r="J127" s="125">
        <f>Lista!I126</f>
        <v>0</v>
      </c>
      <c r="K127" s="125">
        <f>Lista!J126</f>
        <v>0</v>
      </c>
      <c r="L127" s="125">
        <f>Lista!K126</f>
        <v>0</v>
      </c>
      <c r="M127" s="125">
        <f>Lista!L126</f>
        <v>0</v>
      </c>
      <c r="N127" s="125">
        <f>Lista!M126</f>
        <v>0</v>
      </c>
      <c r="O127" s="125">
        <f>Lista!N126</f>
        <v>0</v>
      </c>
      <c r="P127" s="125">
        <f>Lista!O126</f>
        <v>0</v>
      </c>
      <c r="Q127" s="125">
        <f>Lista!P126</f>
        <v>0</v>
      </c>
      <c r="R127" s="125">
        <f>Lista!Q126</f>
        <v>0</v>
      </c>
      <c r="S127" s="125">
        <f>Lista!R126</f>
        <v>0</v>
      </c>
      <c r="T127" s="81"/>
      <c r="U127" s="81"/>
      <c r="V127" s="81"/>
      <c r="W127" s="81"/>
      <c r="X127" s="81"/>
      <c r="Y127" s="81"/>
      <c r="Z127" s="81"/>
      <c r="AA127" s="81"/>
      <c r="AB127" s="81"/>
      <c r="AC127" s="81"/>
      <c r="AD127" s="81"/>
      <c r="AE127" s="81"/>
      <c r="AF127" s="81"/>
      <c r="AG127" s="81"/>
      <c r="AH127" s="81"/>
      <c r="AI127" s="81"/>
      <c r="AJ127" s="81"/>
      <c r="AK127" s="81"/>
      <c r="AL127" s="81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  <c r="BA127" s="81"/>
      <c r="BB127" s="81"/>
      <c r="BC127" s="81"/>
      <c r="BD127" s="81"/>
      <c r="BE127" s="81"/>
      <c r="BF127" s="81"/>
      <c r="BG127" s="81"/>
      <c r="BH127" s="81"/>
      <c r="BI127" s="81"/>
      <c r="BJ127" s="81"/>
      <c r="BK127" s="81"/>
      <c r="BL127" s="81"/>
      <c r="BM127" s="81"/>
      <c r="BN127" s="81"/>
      <c r="BO127" s="81"/>
      <c r="BP127" s="81"/>
      <c r="BQ127" s="81"/>
      <c r="BR127" s="81"/>
      <c r="BS127" s="81"/>
      <c r="BT127" s="81"/>
      <c r="BU127" s="81"/>
      <c r="BV127" s="81"/>
      <c r="BW127" s="81"/>
      <c r="BX127" s="81"/>
      <c r="BY127" s="81"/>
      <c r="BZ127" s="81"/>
      <c r="CA127" s="81"/>
      <c r="CB127" s="81"/>
      <c r="CC127" s="81"/>
      <c r="CD127" s="81"/>
      <c r="CE127" s="81"/>
      <c r="CF127" s="81"/>
      <c r="CG127" s="81"/>
      <c r="CH127" s="81"/>
      <c r="CI127" s="81"/>
      <c r="CJ127" s="81"/>
      <c r="CK127" s="81"/>
      <c r="CL127" s="81"/>
      <c r="CM127" s="81"/>
      <c r="CN127" s="81"/>
      <c r="CO127" s="81"/>
      <c r="CP127" s="81"/>
      <c r="CQ127" s="81"/>
      <c r="CR127" s="81"/>
      <c r="CS127" s="81"/>
      <c r="CT127" s="81"/>
      <c r="CU127" s="81"/>
      <c r="CV127" s="81"/>
      <c r="CW127" s="81"/>
      <c r="CX127" s="81"/>
      <c r="CY127" s="81"/>
      <c r="CZ127" s="81"/>
      <c r="DA127" s="81"/>
      <c r="DB127" s="81"/>
      <c r="DC127" s="81"/>
      <c r="DD127" s="81"/>
      <c r="DE127" s="81"/>
      <c r="DF127" s="81"/>
      <c r="DG127" s="81"/>
      <c r="DH127" s="81"/>
      <c r="DI127" s="81"/>
      <c r="DJ127" s="81"/>
      <c r="DK127" s="81"/>
      <c r="DL127" s="81"/>
      <c r="DM127" s="81"/>
      <c r="DN127" s="81"/>
      <c r="DO127" s="81"/>
      <c r="DP127" s="81"/>
      <c r="DQ127" s="81"/>
      <c r="DR127" s="81"/>
      <c r="DS127" s="81"/>
      <c r="DT127" s="81"/>
      <c r="DU127" s="81"/>
      <c r="DV127" s="81"/>
      <c r="DW127" s="121"/>
    </row>
    <row r="128" spans="1:127" x14ac:dyDescent="0.25">
      <c r="A128" s="2">
        <f>COUNTIF($D$2:D128,'Reporte de Nomina'!$E$2)</f>
        <v>0</v>
      </c>
      <c r="B128" s="125">
        <f>Lista!A127</f>
        <v>0</v>
      </c>
      <c r="C128" s="125">
        <f>Lista!B127</f>
        <v>0</v>
      </c>
      <c r="D128" s="125">
        <f>Lista!C127</f>
        <v>0</v>
      </c>
      <c r="E128" s="125">
        <f>Lista!D127</f>
        <v>0</v>
      </c>
      <c r="F128" s="125">
        <f>Lista!E127</f>
        <v>0</v>
      </c>
      <c r="G128" s="125">
        <f>Lista!F127</f>
        <v>0</v>
      </c>
      <c r="H128" s="125">
        <f>Lista!G127</f>
        <v>0</v>
      </c>
      <c r="I128" s="125">
        <f>Lista!H127</f>
        <v>0</v>
      </c>
      <c r="J128" s="125">
        <f>Lista!I127</f>
        <v>0</v>
      </c>
      <c r="K128" s="125">
        <f>Lista!J127</f>
        <v>0</v>
      </c>
      <c r="L128" s="125">
        <f>Lista!K127</f>
        <v>0</v>
      </c>
      <c r="M128" s="125">
        <f>Lista!L127</f>
        <v>0</v>
      </c>
      <c r="N128" s="125">
        <f>Lista!M127</f>
        <v>0</v>
      </c>
      <c r="O128" s="125">
        <f>Lista!N127</f>
        <v>0</v>
      </c>
      <c r="P128" s="125">
        <f>Lista!O127</f>
        <v>0</v>
      </c>
      <c r="Q128" s="125">
        <f>Lista!P127</f>
        <v>0</v>
      </c>
      <c r="R128" s="125">
        <f>Lista!Q127</f>
        <v>0</v>
      </c>
      <c r="S128" s="125">
        <f>Lista!R127</f>
        <v>0</v>
      </c>
      <c r="T128" s="81"/>
      <c r="U128" s="81"/>
      <c r="V128" s="81"/>
      <c r="W128" s="81"/>
      <c r="X128" s="81"/>
      <c r="Y128" s="81"/>
      <c r="Z128" s="81"/>
      <c r="AA128" s="81"/>
      <c r="AB128" s="81"/>
      <c r="AC128" s="81"/>
      <c r="AD128" s="81"/>
      <c r="AE128" s="81"/>
      <c r="AF128" s="81"/>
      <c r="AG128" s="81"/>
      <c r="AH128" s="81"/>
      <c r="AI128" s="81"/>
      <c r="AJ128" s="81"/>
      <c r="AK128" s="81"/>
      <c r="AL128" s="81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  <c r="BA128" s="81"/>
      <c r="BB128" s="81"/>
      <c r="BC128" s="81"/>
      <c r="BD128" s="81"/>
      <c r="BE128" s="81"/>
      <c r="BF128" s="81"/>
      <c r="BG128" s="81"/>
      <c r="BH128" s="81"/>
      <c r="BI128" s="81"/>
      <c r="BJ128" s="81"/>
      <c r="BK128" s="81"/>
      <c r="BL128" s="81"/>
      <c r="BM128" s="81"/>
      <c r="BN128" s="81"/>
      <c r="BO128" s="81"/>
      <c r="BP128" s="81"/>
      <c r="BQ128" s="81"/>
      <c r="BR128" s="81"/>
      <c r="BS128" s="81"/>
      <c r="BT128" s="81"/>
      <c r="BU128" s="81"/>
      <c r="BV128" s="81"/>
      <c r="BW128" s="81"/>
      <c r="BX128" s="81"/>
      <c r="BY128" s="81"/>
      <c r="BZ128" s="81"/>
      <c r="CA128" s="81"/>
      <c r="CB128" s="81"/>
      <c r="CC128" s="81"/>
      <c r="CD128" s="81"/>
      <c r="CE128" s="81"/>
      <c r="CF128" s="81"/>
      <c r="CG128" s="81"/>
      <c r="CH128" s="81"/>
      <c r="CI128" s="81"/>
      <c r="CJ128" s="81"/>
      <c r="CK128" s="81"/>
      <c r="CL128" s="81"/>
      <c r="CM128" s="81"/>
      <c r="CN128" s="81"/>
      <c r="CO128" s="81"/>
      <c r="CP128" s="81"/>
      <c r="CQ128" s="81"/>
      <c r="CR128" s="81"/>
      <c r="CS128" s="81"/>
      <c r="CT128" s="81"/>
      <c r="CU128" s="81"/>
      <c r="CV128" s="81"/>
      <c r="CW128" s="81"/>
      <c r="CX128" s="81"/>
      <c r="CY128" s="81"/>
      <c r="CZ128" s="81"/>
      <c r="DA128" s="81"/>
      <c r="DB128" s="81"/>
      <c r="DC128" s="81"/>
      <c r="DD128" s="81"/>
      <c r="DE128" s="81"/>
      <c r="DF128" s="81"/>
      <c r="DG128" s="81"/>
      <c r="DH128" s="81"/>
      <c r="DI128" s="81"/>
      <c r="DJ128" s="81"/>
      <c r="DK128" s="81"/>
      <c r="DL128" s="81"/>
      <c r="DM128" s="81"/>
      <c r="DN128" s="81"/>
      <c r="DO128" s="81"/>
      <c r="DP128" s="81"/>
      <c r="DQ128" s="81"/>
      <c r="DR128" s="81"/>
      <c r="DS128" s="81"/>
      <c r="DT128" s="81"/>
      <c r="DU128" s="81"/>
      <c r="DV128" s="81"/>
      <c r="DW128" s="121"/>
    </row>
    <row r="129" spans="1:127" x14ac:dyDescent="0.25">
      <c r="A129" s="2">
        <f>COUNTIF($D$2:D129,'Reporte de Nomina'!$E$2)</f>
        <v>0</v>
      </c>
      <c r="B129" s="125">
        <f>Lista!A128</f>
        <v>0</v>
      </c>
      <c r="C129" s="125">
        <f>Lista!B128</f>
        <v>0</v>
      </c>
      <c r="D129" s="125">
        <f>Lista!C128</f>
        <v>0</v>
      </c>
      <c r="E129" s="125">
        <f>Lista!D128</f>
        <v>0</v>
      </c>
      <c r="F129" s="125">
        <f>Lista!E128</f>
        <v>0</v>
      </c>
      <c r="G129" s="125">
        <f>Lista!F128</f>
        <v>0</v>
      </c>
      <c r="H129" s="125">
        <f>Lista!G128</f>
        <v>0</v>
      </c>
      <c r="I129" s="125">
        <f>Lista!H128</f>
        <v>0</v>
      </c>
      <c r="J129" s="125">
        <f>Lista!I128</f>
        <v>0</v>
      </c>
      <c r="K129" s="125">
        <f>Lista!J128</f>
        <v>0</v>
      </c>
      <c r="L129" s="125">
        <f>Lista!K128</f>
        <v>0</v>
      </c>
      <c r="M129" s="125">
        <f>Lista!L128</f>
        <v>0</v>
      </c>
      <c r="N129" s="125">
        <f>Lista!M128</f>
        <v>0</v>
      </c>
      <c r="O129" s="125">
        <f>Lista!N128</f>
        <v>0</v>
      </c>
      <c r="P129" s="125">
        <f>Lista!O128</f>
        <v>0</v>
      </c>
      <c r="Q129" s="125">
        <f>Lista!P128</f>
        <v>0</v>
      </c>
      <c r="R129" s="125">
        <f>Lista!Q128</f>
        <v>0</v>
      </c>
      <c r="S129" s="125">
        <f>Lista!R128</f>
        <v>0</v>
      </c>
      <c r="T129" s="81"/>
      <c r="U129" s="81"/>
      <c r="V129" s="81"/>
      <c r="W129" s="81"/>
      <c r="X129" s="81"/>
      <c r="Y129" s="81"/>
      <c r="Z129" s="81"/>
      <c r="AA129" s="81"/>
      <c r="AB129" s="81"/>
      <c r="AC129" s="81"/>
      <c r="AD129" s="81"/>
      <c r="AE129" s="81"/>
      <c r="AF129" s="81"/>
      <c r="AG129" s="81"/>
      <c r="AH129" s="81"/>
      <c r="AI129" s="81"/>
      <c r="AJ129" s="81"/>
      <c r="AK129" s="81"/>
      <c r="AL129" s="81"/>
      <c r="AM129" s="81"/>
      <c r="AN129" s="81"/>
      <c r="AO129" s="81"/>
      <c r="AP129" s="81"/>
      <c r="AQ129" s="81"/>
      <c r="AR129" s="81"/>
      <c r="AS129" s="81"/>
      <c r="AT129" s="81"/>
      <c r="AU129" s="81"/>
      <c r="AV129" s="81"/>
      <c r="AW129" s="81"/>
      <c r="AX129" s="81"/>
      <c r="AY129" s="81"/>
      <c r="AZ129" s="81"/>
      <c r="BA129" s="81"/>
      <c r="BB129" s="81"/>
      <c r="BC129" s="81"/>
      <c r="BD129" s="81"/>
      <c r="BE129" s="81"/>
      <c r="BF129" s="81"/>
      <c r="BG129" s="81"/>
      <c r="BH129" s="81"/>
      <c r="BI129" s="81"/>
      <c r="BJ129" s="81"/>
      <c r="BK129" s="81"/>
      <c r="BL129" s="81"/>
      <c r="BM129" s="81"/>
      <c r="BN129" s="81"/>
      <c r="BO129" s="81"/>
      <c r="BP129" s="81"/>
      <c r="BQ129" s="81"/>
      <c r="BR129" s="81"/>
      <c r="BS129" s="81"/>
      <c r="BT129" s="81"/>
      <c r="BU129" s="81"/>
      <c r="BV129" s="81"/>
      <c r="BW129" s="81"/>
      <c r="BX129" s="81"/>
      <c r="BY129" s="81"/>
      <c r="BZ129" s="81"/>
      <c r="CA129" s="81"/>
      <c r="CB129" s="81"/>
      <c r="CC129" s="81"/>
      <c r="CD129" s="81"/>
      <c r="CE129" s="81"/>
      <c r="CF129" s="81"/>
      <c r="CG129" s="81"/>
      <c r="CH129" s="81"/>
      <c r="CI129" s="81"/>
      <c r="CJ129" s="81"/>
      <c r="CK129" s="81"/>
      <c r="CL129" s="81"/>
      <c r="CM129" s="81"/>
      <c r="CN129" s="81"/>
      <c r="CO129" s="81"/>
      <c r="CP129" s="81"/>
      <c r="CQ129" s="81"/>
      <c r="CR129" s="81"/>
      <c r="CS129" s="81"/>
      <c r="CT129" s="81"/>
      <c r="CU129" s="81"/>
      <c r="CV129" s="81"/>
      <c r="CW129" s="81"/>
      <c r="CX129" s="81"/>
      <c r="CY129" s="81"/>
      <c r="CZ129" s="81"/>
      <c r="DA129" s="81"/>
      <c r="DB129" s="81"/>
      <c r="DC129" s="81"/>
      <c r="DD129" s="81"/>
      <c r="DE129" s="81"/>
      <c r="DF129" s="81"/>
      <c r="DG129" s="81"/>
      <c r="DH129" s="81"/>
      <c r="DI129" s="81"/>
      <c r="DJ129" s="81"/>
      <c r="DK129" s="81"/>
      <c r="DL129" s="81"/>
      <c r="DM129" s="81"/>
      <c r="DN129" s="81"/>
      <c r="DO129" s="81"/>
      <c r="DP129" s="81"/>
      <c r="DQ129" s="81"/>
      <c r="DR129" s="81"/>
      <c r="DS129" s="81"/>
      <c r="DT129" s="81"/>
      <c r="DU129" s="81"/>
      <c r="DV129" s="81"/>
      <c r="DW129" s="121"/>
    </row>
    <row r="130" spans="1:127" x14ac:dyDescent="0.25">
      <c r="A130" s="2">
        <f>COUNTIF($D$2:D130,'Reporte de Nomina'!$E$2)</f>
        <v>0</v>
      </c>
      <c r="B130" s="125">
        <f>Lista!A129</f>
        <v>0</v>
      </c>
      <c r="C130" s="125">
        <f>Lista!B129</f>
        <v>0</v>
      </c>
      <c r="D130" s="125">
        <f>Lista!C129</f>
        <v>0</v>
      </c>
      <c r="E130" s="125">
        <f>Lista!D129</f>
        <v>0</v>
      </c>
      <c r="F130" s="125">
        <f>Lista!E129</f>
        <v>0</v>
      </c>
      <c r="G130" s="125">
        <f>Lista!F129</f>
        <v>0</v>
      </c>
      <c r="H130" s="125">
        <f>Lista!G129</f>
        <v>0</v>
      </c>
      <c r="I130" s="125">
        <f>Lista!H129</f>
        <v>0</v>
      </c>
      <c r="J130" s="125">
        <f>Lista!I129</f>
        <v>0</v>
      </c>
      <c r="K130" s="125">
        <f>Lista!J129</f>
        <v>0</v>
      </c>
      <c r="L130" s="125">
        <f>Lista!K129</f>
        <v>0</v>
      </c>
      <c r="M130" s="125">
        <f>Lista!L129</f>
        <v>0</v>
      </c>
      <c r="N130" s="125">
        <f>Lista!M129</f>
        <v>0</v>
      </c>
      <c r="O130" s="125">
        <f>Lista!N129</f>
        <v>0</v>
      </c>
      <c r="P130" s="125">
        <f>Lista!O129</f>
        <v>0</v>
      </c>
      <c r="Q130" s="125">
        <f>Lista!P129</f>
        <v>0</v>
      </c>
      <c r="R130" s="125">
        <f>Lista!Q129</f>
        <v>0</v>
      </c>
      <c r="S130" s="125">
        <f>Lista!R129</f>
        <v>0</v>
      </c>
      <c r="T130" s="81"/>
      <c r="U130" s="81"/>
      <c r="V130" s="81"/>
      <c r="W130" s="81"/>
      <c r="X130" s="81"/>
      <c r="Y130" s="81"/>
      <c r="Z130" s="81"/>
      <c r="AA130" s="81"/>
      <c r="AB130" s="81"/>
      <c r="AC130" s="81"/>
      <c r="AD130" s="81"/>
      <c r="AE130" s="81"/>
      <c r="AF130" s="81"/>
      <c r="AG130" s="81"/>
      <c r="AH130" s="81"/>
      <c r="AI130" s="81"/>
      <c r="AJ130" s="81"/>
      <c r="AK130" s="81"/>
      <c r="AL130" s="81"/>
      <c r="AM130" s="81"/>
      <c r="AN130" s="81"/>
      <c r="AO130" s="81"/>
      <c r="AP130" s="81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  <c r="BA130" s="81"/>
      <c r="BB130" s="81"/>
      <c r="BC130" s="81"/>
      <c r="BD130" s="81"/>
      <c r="BE130" s="81"/>
      <c r="BF130" s="81"/>
      <c r="BG130" s="81"/>
      <c r="BH130" s="81"/>
      <c r="BI130" s="81"/>
      <c r="BJ130" s="81"/>
      <c r="BK130" s="81"/>
      <c r="BL130" s="81"/>
      <c r="BM130" s="81"/>
      <c r="BN130" s="81"/>
      <c r="BO130" s="81"/>
      <c r="BP130" s="81"/>
      <c r="BQ130" s="81"/>
      <c r="BR130" s="81"/>
      <c r="BS130" s="81"/>
      <c r="BT130" s="81"/>
      <c r="BU130" s="81"/>
      <c r="BV130" s="81"/>
      <c r="BW130" s="81"/>
      <c r="BX130" s="81"/>
      <c r="BY130" s="81"/>
      <c r="BZ130" s="81"/>
      <c r="CA130" s="81"/>
      <c r="CB130" s="81"/>
      <c r="CC130" s="81"/>
      <c r="CD130" s="81"/>
      <c r="CE130" s="81"/>
      <c r="CF130" s="81"/>
      <c r="CG130" s="81"/>
      <c r="CH130" s="81"/>
      <c r="CI130" s="81"/>
      <c r="CJ130" s="81"/>
      <c r="CK130" s="81"/>
      <c r="CL130" s="81"/>
      <c r="CM130" s="81"/>
      <c r="CN130" s="81"/>
      <c r="CO130" s="81"/>
      <c r="CP130" s="81"/>
      <c r="CQ130" s="81"/>
      <c r="CR130" s="81"/>
      <c r="CS130" s="81"/>
      <c r="CT130" s="81"/>
      <c r="CU130" s="81"/>
      <c r="CV130" s="81"/>
      <c r="CW130" s="81"/>
      <c r="CX130" s="81"/>
      <c r="CY130" s="81"/>
      <c r="CZ130" s="81"/>
      <c r="DA130" s="81"/>
      <c r="DB130" s="81"/>
      <c r="DC130" s="81"/>
      <c r="DD130" s="81"/>
      <c r="DE130" s="81"/>
      <c r="DF130" s="81"/>
      <c r="DG130" s="81"/>
      <c r="DH130" s="81"/>
      <c r="DI130" s="81"/>
      <c r="DJ130" s="81"/>
      <c r="DK130" s="81"/>
      <c r="DL130" s="81"/>
      <c r="DM130" s="81"/>
      <c r="DN130" s="81"/>
      <c r="DO130" s="81"/>
      <c r="DP130" s="81"/>
      <c r="DQ130" s="81"/>
      <c r="DR130" s="81"/>
      <c r="DS130" s="81"/>
      <c r="DT130" s="81"/>
      <c r="DU130" s="81"/>
      <c r="DV130" s="81"/>
      <c r="DW130" s="121"/>
    </row>
    <row r="131" spans="1:127" x14ac:dyDescent="0.25">
      <c r="A131" s="2">
        <f>COUNTIF($D$2:D131,'Reporte de Nomina'!$E$2)</f>
        <v>0</v>
      </c>
      <c r="B131" s="125">
        <f>Lista!A130</f>
        <v>0</v>
      </c>
      <c r="C131" s="125">
        <f>Lista!B130</f>
        <v>0</v>
      </c>
      <c r="D131" s="125">
        <f>Lista!C130</f>
        <v>0</v>
      </c>
      <c r="E131" s="125">
        <f>Lista!D130</f>
        <v>0</v>
      </c>
      <c r="F131" s="125">
        <f>Lista!E130</f>
        <v>0</v>
      </c>
      <c r="G131" s="125">
        <f>Lista!F130</f>
        <v>0</v>
      </c>
      <c r="H131" s="125">
        <f>Lista!G130</f>
        <v>0</v>
      </c>
      <c r="I131" s="125">
        <f>Lista!H130</f>
        <v>0</v>
      </c>
      <c r="J131" s="125">
        <f>Lista!I130</f>
        <v>0</v>
      </c>
      <c r="K131" s="125">
        <f>Lista!J130</f>
        <v>0</v>
      </c>
      <c r="L131" s="125">
        <f>Lista!K130</f>
        <v>0</v>
      </c>
      <c r="M131" s="125">
        <f>Lista!L130</f>
        <v>0</v>
      </c>
      <c r="N131" s="125">
        <f>Lista!M130</f>
        <v>0</v>
      </c>
      <c r="O131" s="125">
        <f>Lista!N130</f>
        <v>0</v>
      </c>
      <c r="P131" s="125">
        <f>Lista!O130</f>
        <v>0</v>
      </c>
      <c r="Q131" s="125">
        <f>Lista!P130</f>
        <v>0</v>
      </c>
      <c r="R131" s="125">
        <f>Lista!Q130</f>
        <v>0</v>
      </c>
      <c r="S131" s="125">
        <f>Lista!R130</f>
        <v>0</v>
      </c>
      <c r="T131" s="81"/>
      <c r="U131" s="81"/>
      <c r="V131" s="81"/>
      <c r="W131" s="81"/>
      <c r="X131" s="81"/>
      <c r="Y131" s="81"/>
      <c r="Z131" s="81"/>
      <c r="AA131" s="81"/>
      <c r="AB131" s="81"/>
      <c r="AC131" s="81"/>
      <c r="AD131" s="81"/>
      <c r="AE131" s="81"/>
      <c r="AF131" s="81"/>
      <c r="AG131" s="81"/>
      <c r="AH131" s="81"/>
      <c r="AI131" s="81"/>
      <c r="AJ131" s="81"/>
      <c r="AK131" s="81"/>
      <c r="AL131" s="81"/>
      <c r="AM131" s="81"/>
      <c r="AN131" s="81"/>
      <c r="AO131" s="81"/>
      <c r="AP131" s="81"/>
      <c r="AQ131" s="81"/>
      <c r="AR131" s="81"/>
      <c r="AS131" s="81"/>
      <c r="AT131" s="81"/>
      <c r="AU131" s="81"/>
      <c r="AV131" s="81"/>
      <c r="AW131" s="81"/>
      <c r="AX131" s="81"/>
      <c r="AY131" s="81"/>
      <c r="AZ131" s="81"/>
      <c r="BA131" s="81"/>
      <c r="BB131" s="81"/>
      <c r="BC131" s="81"/>
      <c r="BD131" s="81"/>
      <c r="BE131" s="81"/>
      <c r="BF131" s="81"/>
      <c r="BG131" s="81"/>
      <c r="BH131" s="81"/>
      <c r="BI131" s="81"/>
      <c r="BJ131" s="81"/>
      <c r="BK131" s="81"/>
      <c r="BL131" s="81"/>
      <c r="BM131" s="81"/>
      <c r="BN131" s="81"/>
      <c r="BO131" s="81"/>
      <c r="BP131" s="81"/>
      <c r="BQ131" s="81"/>
      <c r="BR131" s="81"/>
      <c r="BS131" s="81"/>
      <c r="BT131" s="81"/>
      <c r="BU131" s="81"/>
      <c r="BV131" s="81"/>
      <c r="BW131" s="81"/>
      <c r="BX131" s="81"/>
      <c r="BY131" s="81"/>
      <c r="BZ131" s="81"/>
      <c r="CA131" s="81"/>
      <c r="CB131" s="81"/>
      <c r="CC131" s="81"/>
      <c r="CD131" s="81"/>
      <c r="CE131" s="81"/>
      <c r="CF131" s="81"/>
      <c r="CG131" s="81"/>
      <c r="CH131" s="81"/>
      <c r="CI131" s="81"/>
      <c r="CJ131" s="81"/>
      <c r="CK131" s="81"/>
      <c r="CL131" s="81"/>
      <c r="CM131" s="81"/>
      <c r="CN131" s="81"/>
      <c r="CO131" s="81"/>
      <c r="CP131" s="81"/>
      <c r="CQ131" s="81"/>
      <c r="CR131" s="81"/>
      <c r="CS131" s="81"/>
      <c r="CT131" s="81"/>
      <c r="CU131" s="81"/>
      <c r="CV131" s="81"/>
      <c r="CW131" s="81"/>
      <c r="CX131" s="81"/>
      <c r="CY131" s="81"/>
      <c r="CZ131" s="81"/>
      <c r="DA131" s="81"/>
      <c r="DB131" s="81"/>
      <c r="DC131" s="81"/>
      <c r="DD131" s="81"/>
      <c r="DE131" s="81"/>
      <c r="DF131" s="81"/>
      <c r="DG131" s="81"/>
      <c r="DH131" s="81"/>
      <c r="DI131" s="81"/>
      <c r="DJ131" s="81"/>
      <c r="DK131" s="81"/>
      <c r="DL131" s="81"/>
      <c r="DM131" s="81"/>
      <c r="DN131" s="81"/>
      <c r="DO131" s="81"/>
      <c r="DP131" s="81"/>
      <c r="DQ131" s="81"/>
      <c r="DR131" s="81"/>
      <c r="DS131" s="81"/>
      <c r="DT131" s="81"/>
      <c r="DU131" s="81"/>
      <c r="DV131" s="81"/>
      <c r="DW131" s="121"/>
    </row>
    <row r="132" spans="1:127" x14ac:dyDescent="0.25">
      <c r="A132" s="2">
        <f>COUNTIF($D$2:D132,'Reporte de Nomina'!$E$2)</f>
        <v>0</v>
      </c>
      <c r="B132" s="125">
        <f>Lista!A131</f>
        <v>0</v>
      </c>
      <c r="C132" s="125">
        <f>Lista!B131</f>
        <v>0</v>
      </c>
      <c r="D132" s="125">
        <f>Lista!C131</f>
        <v>0</v>
      </c>
      <c r="E132" s="125">
        <f>Lista!D131</f>
        <v>0</v>
      </c>
      <c r="F132" s="125">
        <f>Lista!E131</f>
        <v>0</v>
      </c>
      <c r="G132" s="125">
        <f>Lista!F131</f>
        <v>0</v>
      </c>
      <c r="H132" s="125">
        <f>Lista!G131</f>
        <v>0</v>
      </c>
      <c r="I132" s="125">
        <f>Lista!H131</f>
        <v>0</v>
      </c>
      <c r="J132" s="125">
        <f>Lista!I131</f>
        <v>0</v>
      </c>
      <c r="K132" s="125">
        <f>Lista!J131</f>
        <v>0</v>
      </c>
      <c r="L132" s="125">
        <f>Lista!K131</f>
        <v>0</v>
      </c>
      <c r="M132" s="125">
        <f>Lista!L131</f>
        <v>0</v>
      </c>
      <c r="N132" s="125">
        <f>Lista!M131</f>
        <v>0</v>
      </c>
      <c r="O132" s="125">
        <f>Lista!N131</f>
        <v>0</v>
      </c>
      <c r="P132" s="125">
        <f>Lista!O131</f>
        <v>0</v>
      </c>
      <c r="Q132" s="125">
        <f>Lista!P131</f>
        <v>0</v>
      </c>
      <c r="R132" s="125">
        <f>Lista!Q131</f>
        <v>0</v>
      </c>
      <c r="S132" s="125">
        <f>Lista!R131</f>
        <v>0</v>
      </c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E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R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T132" s="81"/>
      <c r="BU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G132" s="81"/>
      <c r="CH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J132" s="81"/>
      <c r="DK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W132" s="121"/>
    </row>
    <row r="133" spans="1:127" x14ac:dyDescent="0.25">
      <c r="A133" s="2">
        <f>COUNTIF($D$2:D133,'Reporte de Nomina'!$E$2)</f>
        <v>0</v>
      </c>
      <c r="B133" s="125">
        <f>Lista!A132</f>
        <v>0</v>
      </c>
      <c r="C133" s="125">
        <f>Lista!B132</f>
        <v>0</v>
      </c>
      <c r="D133" s="125">
        <f>Lista!C132</f>
        <v>0</v>
      </c>
      <c r="E133" s="125">
        <f>Lista!D132</f>
        <v>0</v>
      </c>
      <c r="F133" s="125">
        <f>Lista!E132</f>
        <v>0</v>
      </c>
      <c r="G133" s="125">
        <f>Lista!F132</f>
        <v>0</v>
      </c>
      <c r="H133" s="125">
        <f>Lista!G132</f>
        <v>0</v>
      </c>
      <c r="I133" s="125">
        <f>Lista!H132</f>
        <v>0</v>
      </c>
      <c r="J133" s="125">
        <f>Lista!I132</f>
        <v>0</v>
      </c>
      <c r="K133" s="125">
        <f>Lista!J132</f>
        <v>0</v>
      </c>
      <c r="L133" s="125">
        <f>Lista!K132</f>
        <v>0</v>
      </c>
      <c r="M133" s="125">
        <f>Lista!L132</f>
        <v>0</v>
      </c>
      <c r="N133" s="125">
        <f>Lista!M132</f>
        <v>0</v>
      </c>
      <c r="O133" s="125">
        <f>Lista!N132</f>
        <v>0</v>
      </c>
      <c r="P133" s="125">
        <f>Lista!O132</f>
        <v>0</v>
      </c>
      <c r="Q133" s="125">
        <f>Lista!P132</f>
        <v>0</v>
      </c>
      <c r="R133" s="125">
        <f>Lista!Q132</f>
        <v>0</v>
      </c>
      <c r="S133" s="125">
        <f>Lista!R132</f>
        <v>0</v>
      </c>
      <c r="T133" s="81"/>
      <c r="U133" s="81"/>
      <c r="V133" s="81"/>
      <c r="W133" s="81"/>
      <c r="X133" s="81"/>
      <c r="Y133" s="81"/>
      <c r="Z133" s="81"/>
      <c r="AA133" s="81"/>
      <c r="AB133" s="81"/>
      <c r="AC133" s="81"/>
      <c r="AD133" s="81"/>
      <c r="AE133" s="81"/>
      <c r="AF133" s="81"/>
      <c r="AG133" s="81"/>
      <c r="AH133" s="81"/>
      <c r="AI133" s="81"/>
      <c r="AJ133" s="81"/>
      <c r="AK133" s="81"/>
      <c r="AL133" s="81"/>
      <c r="AM133" s="81"/>
      <c r="AN133" s="81"/>
      <c r="AO133" s="81"/>
      <c r="AP133" s="81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  <c r="BA133" s="81"/>
      <c r="BB133" s="81"/>
      <c r="BC133" s="81"/>
      <c r="BD133" s="81"/>
      <c r="BE133" s="81"/>
      <c r="BF133" s="81"/>
      <c r="BG133" s="81"/>
      <c r="BH133" s="81"/>
      <c r="BI133" s="81"/>
      <c r="BJ133" s="81"/>
      <c r="BK133" s="81"/>
      <c r="BL133" s="81"/>
      <c r="BM133" s="81"/>
      <c r="BN133" s="81"/>
      <c r="BO133" s="81"/>
      <c r="BP133" s="81"/>
      <c r="BQ133" s="81"/>
      <c r="BR133" s="81"/>
      <c r="BS133" s="81"/>
      <c r="BT133" s="81"/>
      <c r="BU133" s="81"/>
      <c r="BV133" s="81"/>
      <c r="BW133" s="81"/>
      <c r="BX133" s="81"/>
      <c r="BY133" s="81"/>
      <c r="BZ133" s="81"/>
      <c r="CA133" s="81"/>
      <c r="CB133" s="81"/>
      <c r="CC133" s="81"/>
      <c r="CD133" s="81"/>
      <c r="CE133" s="81"/>
      <c r="CF133" s="81"/>
      <c r="CG133" s="81"/>
      <c r="CH133" s="81"/>
      <c r="CI133" s="81"/>
      <c r="CJ133" s="81"/>
      <c r="CK133" s="81"/>
      <c r="CL133" s="81"/>
      <c r="CM133" s="81"/>
      <c r="CN133" s="81"/>
      <c r="CO133" s="81"/>
      <c r="CP133" s="81"/>
      <c r="CQ133" s="81"/>
      <c r="CR133" s="81"/>
      <c r="CS133" s="81"/>
      <c r="CT133" s="81"/>
      <c r="CU133" s="81"/>
      <c r="CV133" s="81"/>
      <c r="CW133" s="81"/>
      <c r="CX133" s="81"/>
      <c r="CY133" s="81"/>
      <c r="CZ133" s="81"/>
      <c r="DA133" s="81"/>
      <c r="DB133" s="81"/>
      <c r="DC133" s="81"/>
      <c r="DD133" s="81"/>
      <c r="DE133" s="81"/>
      <c r="DF133" s="81"/>
      <c r="DG133" s="81"/>
      <c r="DH133" s="81"/>
      <c r="DI133" s="81"/>
      <c r="DJ133" s="81"/>
      <c r="DK133" s="81"/>
      <c r="DL133" s="81"/>
      <c r="DM133" s="81"/>
      <c r="DN133" s="81"/>
      <c r="DO133" s="81"/>
      <c r="DP133" s="81"/>
      <c r="DQ133" s="81"/>
      <c r="DR133" s="81"/>
      <c r="DS133" s="81"/>
      <c r="DT133" s="81"/>
      <c r="DU133" s="81"/>
      <c r="DV133" s="81"/>
      <c r="DW133" s="121"/>
    </row>
    <row r="134" spans="1:127" x14ac:dyDescent="0.25">
      <c r="A134" s="2">
        <f>COUNTIF($D$2:D134,'Reporte de Nomina'!$E$2)</f>
        <v>0</v>
      </c>
      <c r="B134" s="125">
        <f>Lista!A133</f>
        <v>0</v>
      </c>
      <c r="C134" s="125">
        <f>Lista!B133</f>
        <v>0</v>
      </c>
      <c r="D134" s="125">
        <f>Lista!C133</f>
        <v>0</v>
      </c>
      <c r="E134" s="125">
        <f>Lista!D133</f>
        <v>0</v>
      </c>
      <c r="F134" s="125">
        <f>Lista!E133</f>
        <v>0</v>
      </c>
      <c r="G134" s="125">
        <f>Lista!F133</f>
        <v>0</v>
      </c>
      <c r="H134" s="125">
        <f>Lista!G133</f>
        <v>0</v>
      </c>
      <c r="I134" s="125">
        <f>Lista!H133</f>
        <v>0</v>
      </c>
      <c r="J134" s="125">
        <f>Lista!I133</f>
        <v>0</v>
      </c>
      <c r="K134" s="125">
        <f>Lista!J133</f>
        <v>0</v>
      </c>
      <c r="L134" s="125">
        <f>Lista!K133</f>
        <v>0</v>
      </c>
      <c r="M134" s="125">
        <f>Lista!L133</f>
        <v>0</v>
      </c>
      <c r="N134" s="125">
        <f>Lista!M133</f>
        <v>0</v>
      </c>
      <c r="O134" s="125">
        <f>Lista!N133</f>
        <v>0</v>
      </c>
      <c r="P134" s="125">
        <f>Lista!O133</f>
        <v>0</v>
      </c>
      <c r="Q134" s="125">
        <f>Lista!P133</f>
        <v>0</v>
      </c>
      <c r="R134" s="125">
        <f>Lista!Q133</f>
        <v>0</v>
      </c>
      <c r="S134" s="125">
        <f>Lista!R133</f>
        <v>0</v>
      </c>
      <c r="T134" s="81"/>
      <c r="U134" s="81"/>
      <c r="V134" s="81"/>
      <c r="W134" s="81"/>
      <c r="X134" s="81"/>
      <c r="Y134" s="81"/>
      <c r="Z134" s="81"/>
      <c r="AA134" s="81"/>
      <c r="AB134" s="81"/>
      <c r="AC134" s="81"/>
      <c r="AD134" s="81"/>
      <c r="AE134" s="81"/>
      <c r="AF134" s="81"/>
      <c r="AG134" s="81"/>
      <c r="AH134" s="81"/>
      <c r="AI134" s="81"/>
      <c r="AJ134" s="81"/>
      <c r="AK134" s="81"/>
      <c r="AL134" s="81"/>
      <c r="AM134" s="81"/>
      <c r="AN134" s="81"/>
      <c r="AO134" s="81"/>
      <c r="AP134" s="81"/>
      <c r="AQ134" s="81"/>
      <c r="AR134" s="81"/>
      <c r="AS134" s="81"/>
      <c r="AT134" s="81"/>
      <c r="AU134" s="81"/>
      <c r="AV134" s="81"/>
      <c r="AW134" s="81"/>
      <c r="AX134" s="81"/>
      <c r="AY134" s="81"/>
      <c r="AZ134" s="81"/>
      <c r="BA134" s="81"/>
      <c r="BB134" s="81"/>
      <c r="BC134" s="81"/>
      <c r="BD134" s="81"/>
      <c r="BE134" s="81"/>
      <c r="BF134" s="81"/>
      <c r="BG134" s="81"/>
      <c r="BH134" s="81"/>
      <c r="BI134" s="81"/>
      <c r="BJ134" s="81"/>
      <c r="BK134" s="81"/>
      <c r="BL134" s="81"/>
      <c r="BM134" s="81"/>
      <c r="BN134" s="81"/>
      <c r="BO134" s="81"/>
      <c r="BP134" s="81"/>
      <c r="BQ134" s="81"/>
      <c r="BR134" s="81"/>
      <c r="BS134" s="81"/>
      <c r="BT134" s="81"/>
      <c r="BU134" s="81"/>
      <c r="BV134" s="81"/>
      <c r="BW134" s="81"/>
      <c r="BX134" s="81"/>
      <c r="BY134" s="81"/>
      <c r="BZ134" s="81"/>
      <c r="CA134" s="81"/>
      <c r="CB134" s="81"/>
      <c r="CC134" s="81"/>
      <c r="CD134" s="81"/>
      <c r="CE134" s="81"/>
      <c r="CF134" s="81"/>
      <c r="CG134" s="81"/>
      <c r="CH134" s="81"/>
      <c r="CI134" s="81"/>
      <c r="CJ134" s="81"/>
      <c r="CK134" s="81"/>
      <c r="CL134" s="81"/>
      <c r="CM134" s="81"/>
      <c r="CN134" s="81"/>
      <c r="CO134" s="81"/>
      <c r="CP134" s="81"/>
      <c r="CQ134" s="81"/>
      <c r="CR134" s="81"/>
      <c r="CS134" s="81"/>
      <c r="CT134" s="81"/>
      <c r="CU134" s="81"/>
      <c r="CV134" s="81"/>
      <c r="CW134" s="81"/>
      <c r="CX134" s="81"/>
      <c r="CY134" s="81"/>
      <c r="CZ134" s="81"/>
      <c r="DA134" s="81"/>
      <c r="DB134" s="81"/>
      <c r="DC134" s="81"/>
      <c r="DD134" s="81"/>
      <c r="DE134" s="81"/>
      <c r="DF134" s="81"/>
      <c r="DG134" s="81"/>
      <c r="DH134" s="81"/>
      <c r="DI134" s="81"/>
      <c r="DJ134" s="81"/>
      <c r="DK134" s="81"/>
      <c r="DL134" s="81"/>
      <c r="DM134" s="81"/>
      <c r="DN134" s="81"/>
      <c r="DO134" s="81"/>
      <c r="DP134" s="81"/>
      <c r="DQ134" s="81"/>
      <c r="DR134" s="81"/>
      <c r="DS134" s="81"/>
      <c r="DT134" s="81"/>
      <c r="DU134" s="81"/>
      <c r="DV134" s="81"/>
      <c r="DW134" s="121"/>
    </row>
    <row r="135" spans="1:127" x14ac:dyDescent="0.25">
      <c r="A135" s="2">
        <f>COUNTIF($D$2:D135,'Reporte de Nomina'!$E$2)</f>
        <v>0</v>
      </c>
      <c r="B135" s="125">
        <f>Lista!A134</f>
        <v>0</v>
      </c>
      <c r="C135" s="125">
        <f>Lista!B134</f>
        <v>0</v>
      </c>
      <c r="D135" s="125">
        <f>Lista!C134</f>
        <v>0</v>
      </c>
      <c r="E135" s="125">
        <f>Lista!D134</f>
        <v>0</v>
      </c>
      <c r="F135" s="125">
        <f>Lista!E134</f>
        <v>0</v>
      </c>
      <c r="G135" s="125">
        <f>Lista!F134</f>
        <v>0</v>
      </c>
      <c r="H135" s="125">
        <f>Lista!G134</f>
        <v>0</v>
      </c>
      <c r="I135" s="125">
        <f>Lista!H134</f>
        <v>0</v>
      </c>
      <c r="J135" s="125">
        <f>Lista!I134</f>
        <v>0</v>
      </c>
      <c r="K135" s="125">
        <f>Lista!J134</f>
        <v>0</v>
      </c>
      <c r="L135" s="125">
        <f>Lista!K134</f>
        <v>0</v>
      </c>
      <c r="M135" s="125">
        <f>Lista!L134</f>
        <v>0</v>
      </c>
      <c r="N135" s="125">
        <f>Lista!M134</f>
        <v>0</v>
      </c>
      <c r="O135" s="125">
        <f>Lista!N134</f>
        <v>0</v>
      </c>
      <c r="P135" s="125">
        <f>Lista!O134</f>
        <v>0</v>
      </c>
      <c r="Q135" s="125">
        <f>Lista!P134</f>
        <v>0</v>
      </c>
      <c r="R135" s="125">
        <f>Lista!Q134</f>
        <v>0</v>
      </c>
      <c r="S135" s="125">
        <f>Lista!R134</f>
        <v>0</v>
      </c>
      <c r="T135" s="81"/>
      <c r="U135" s="81"/>
      <c r="V135" s="81"/>
      <c r="W135" s="81"/>
      <c r="X135" s="81"/>
      <c r="Y135" s="81"/>
      <c r="Z135" s="81"/>
      <c r="AA135" s="81"/>
      <c r="AB135" s="81"/>
      <c r="AC135" s="81"/>
      <c r="AD135" s="81"/>
      <c r="AE135" s="81"/>
      <c r="AF135" s="81"/>
      <c r="AG135" s="81"/>
      <c r="AH135" s="81"/>
      <c r="AI135" s="81"/>
      <c r="AJ135" s="81"/>
      <c r="AK135" s="81"/>
      <c r="AL135" s="81"/>
      <c r="AM135" s="81"/>
      <c r="AN135" s="81"/>
      <c r="AO135" s="81"/>
      <c r="AP135" s="81"/>
      <c r="AQ135" s="81"/>
      <c r="AR135" s="81"/>
      <c r="AS135" s="81"/>
      <c r="AT135" s="81"/>
      <c r="AU135" s="81"/>
      <c r="AV135" s="81"/>
      <c r="AW135" s="81"/>
      <c r="AX135" s="81"/>
      <c r="AY135" s="81"/>
      <c r="AZ135" s="81"/>
      <c r="BA135" s="81"/>
      <c r="BB135" s="81"/>
      <c r="BC135" s="81"/>
      <c r="BD135" s="81"/>
      <c r="BE135" s="81"/>
      <c r="BF135" s="81"/>
      <c r="BG135" s="81"/>
      <c r="BH135" s="81"/>
      <c r="BI135" s="81"/>
      <c r="BJ135" s="81"/>
      <c r="BK135" s="81"/>
      <c r="BL135" s="81"/>
      <c r="BM135" s="81"/>
      <c r="BN135" s="81"/>
      <c r="BO135" s="81"/>
      <c r="BP135" s="81"/>
      <c r="BQ135" s="81"/>
      <c r="BR135" s="81"/>
      <c r="BS135" s="81"/>
      <c r="BT135" s="81"/>
      <c r="BU135" s="81"/>
      <c r="BV135" s="81"/>
      <c r="BW135" s="81"/>
      <c r="BX135" s="81"/>
      <c r="BY135" s="81"/>
      <c r="BZ135" s="81"/>
      <c r="CA135" s="81"/>
      <c r="CB135" s="81"/>
      <c r="CC135" s="81"/>
      <c r="CD135" s="81"/>
      <c r="CE135" s="81"/>
      <c r="CF135" s="81"/>
      <c r="CG135" s="81"/>
      <c r="CH135" s="81"/>
      <c r="CI135" s="81"/>
      <c r="CJ135" s="81"/>
      <c r="CK135" s="81"/>
      <c r="CL135" s="81"/>
      <c r="CM135" s="81"/>
      <c r="CN135" s="81"/>
      <c r="CO135" s="81"/>
      <c r="CP135" s="81"/>
      <c r="CQ135" s="81"/>
      <c r="CR135" s="81"/>
      <c r="CS135" s="81"/>
      <c r="CT135" s="81"/>
      <c r="CU135" s="81"/>
      <c r="CV135" s="81"/>
      <c r="CW135" s="81"/>
      <c r="CX135" s="81"/>
      <c r="CY135" s="81"/>
      <c r="CZ135" s="81"/>
      <c r="DA135" s="81"/>
      <c r="DB135" s="81"/>
      <c r="DC135" s="81"/>
      <c r="DD135" s="81"/>
      <c r="DE135" s="81"/>
      <c r="DF135" s="81"/>
      <c r="DG135" s="81"/>
      <c r="DH135" s="81"/>
      <c r="DI135" s="81"/>
      <c r="DJ135" s="81"/>
      <c r="DK135" s="81"/>
      <c r="DL135" s="81"/>
      <c r="DM135" s="81"/>
      <c r="DN135" s="81"/>
      <c r="DO135" s="81"/>
      <c r="DP135" s="81"/>
      <c r="DQ135" s="81"/>
      <c r="DR135" s="81"/>
      <c r="DS135" s="81"/>
      <c r="DT135" s="81"/>
      <c r="DU135" s="81"/>
      <c r="DV135" s="81"/>
      <c r="DW135" s="121"/>
    </row>
    <row r="136" spans="1:127" x14ac:dyDescent="0.25">
      <c r="A136" s="2">
        <f>COUNTIF($D$2:D136,'Reporte de Nomina'!$E$2)</f>
        <v>0</v>
      </c>
      <c r="B136" s="125">
        <f>Lista!A135</f>
        <v>0</v>
      </c>
      <c r="C136" s="125">
        <f>Lista!B135</f>
        <v>0</v>
      </c>
      <c r="D136" s="125">
        <f>Lista!C135</f>
        <v>0</v>
      </c>
      <c r="E136" s="125">
        <f>Lista!D135</f>
        <v>0</v>
      </c>
      <c r="F136" s="125">
        <f>Lista!E135</f>
        <v>0</v>
      </c>
      <c r="G136" s="125">
        <f>Lista!F135</f>
        <v>0</v>
      </c>
      <c r="H136" s="125">
        <f>Lista!G135</f>
        <v>0</v>
      </c>
      <c r="I136" s="125">
        <f>Lista!H135</f>
        <v>0</v>
      </c>
      <c r="J136" s="125">
        <f>Lista!I135</f>
        <v>0</v>
      </c>
      <c r="K136" s="125">
        <f>Lista!J135</f>
        <v>0</v>
      </c>
      <c r="L136" s="125">
        <f>Lista!K135</f>
        <v>0</v>
      </c>
      <c r="M136" s="125">
        <f>Lista!L135</f>
        <v>0</v>
      </c>
      <c r="N136" s="125">
        <f>Lista!M135</f>
        <v>0</v>
      </c>
      <c r="O136" s="125">
        <f>Lista!N135</f>
        <v>0</v>
      </c>
      <c r="P136" s="125">
        <f>Lista!O135</f>
        <v>0</v>
      </c>
      <c r="Q136" s="125">
        <f>Lista!P135</f>
        <v>0</v>
      </c>
      <c r="R136" s="125">
        <f>Lista!Q135</f>
        <v>0</v>
      </c>
      <c r="S136" s="125">
        <f>Lista!R135</f>
        <v>0</v>
      </c>
      <c r="T136" s="81"/>
      <c r="U136" s="81"/>
      <c r="V136" s="81"/>
      <c r="W136" s="81"/>
      <c r="X136" s="81"/>
      <c r="Y136" s="81"/>
      <c r="Z136" s="81"/>
      <c r="AA136" s="81"/>
      <c r="AB136" s="81"/>
      <c r="AC136" s="81"/>
      <c r="AD136" s="81"/>
      <c r="AE136" s="81"/>
      <c r="AF136" s="81"/>
      <c r="AG136" s="81"/>
      <c r="AH136" s="81"/>
      <c r="AI136" s="81"/>
      <c r="AJ136" s="81"/>
      <c r="AK136" s="81"/>
      <c r="AL136" s="81"/>
      <c r="AM136" s="81"/>
      <c r="AN136" s="81"/>
      <c r="AO136" s="81"/>
      <c r="AP136" s="81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  <c r="BA136" s="81"/>
      <c r="BB136" s="81"/>
      <c r="BC136" s="81"/>
      <c r="BD136" s="81"/>
      <c r="BE136" s="81"/>
      <c r="BF136" s="81"/>
      <c r="BG136" s="81"/>
      <c r="BH136" s="81"/>
      <c r="BI136" s="81"/>
      <c r="BJ136" s="81"/>
      <c r="BK136" s="81"/>
      <c r="BL136" s="81"/>
      <c r="BM136" s="81"/>
      <c r="BN136" s="81"/>
      <c r="BO136" s="81"/>
      <c r="BP136" s="81"/>
      <c r="BQ136" s="81"/>
      <c r="BR136" s="81"/>
      <c r="BS136" s="81"/>
      <c r="BT136" s="81"/>
      <c r="BU136" s="81"/>
      <c r="BV136" s="81"/>
      <c r="BW136" s="81"/>
      <c r="BX136" s="81"/>
      <c r="BY136" s="81"/>
      <c r="BZ136" s="81"/>
      <c r="CA136" s="81"/>
      <c r="CB136" s="81"/>
      <c r="CC136" s="81"/>
      <c r="CD136" s="81"/>
      <c r="CE136" s="81"/>
      <c r="CF136" s="81"/>
      <c r="CG136" s="81"/>
      <c r="CH136" s="81"/>
      <c r="CI136" s="81"/>
      <c r="CJ136" s="81"/>
      <c r="CK136" s="81"/>
      <c r="CL136" s="81"/>
      <c r="CM136" s="81"/>
      <c r="CN136" s="81"/>
      <c r="CO136" s="81"/>
      <c r="CP136" s="81"/>
      <c r="CQ136" s="81"/>
      <c r="CR136" s="81"/>
      <c r="CS136" s="81"/>
      <c r="CT136" s="81"/>
      <c r="CU136" s="81"/>
      <c r="CV136" s="81"/>
      <c r="CW136" s="81"/>
      <c r="CX136" s="81"/>
      <c r="CY136" s="81"/>
      <c r="CZ136" s="81"/>
      <c r="DA136" s="81"/>
      <c r="DB136" s="81"/>
      <c r="DC136" s="81"/>
      <c r="DD136" s="81"/>
      <c r="DE136" s="81"/>
      <c r="DF136" s="81"/>
      <c r="DG136" s="81"/>
      <c r="DH136" s="81"/>
      <c r="DI136" s="81"/>
      <c r="DJ136" s="81"/>
      <c r="DK136" s="81"/>
      <c r="DL136" s="81"/>
      <c r="DM136" s="81"/>
      <c r="DN136" s="81"/>
      <c r="DO136" s="81"/>
      <c r="DP136" s="81"/>
      <c r="DQ136" s="81"/>
      <c r="DR136" s="81"/>
      <c r="DS136" s="81"/>
      <c r="DT136" s="81"/>
      <c r="DU136" s="81"/>
      <c r="DV136" s="81"/>
      <c r="DW136" s="121"/>
    </row>
    <row r="137" spans="1:127" x14ac:dyDescent="0.25">
      <c r="A137" s="2">
        <f>COUNTIF($D$2:D137,'Reporte de Nomina'!$E$2)</f>
        <v>0</v>
      </c>
      <c r="B137" s="125">
        <f>Lista!A136</f>
        <v>0</v>
      </c>
      <c r="C137" s="125">
        <f>Lista!B136</f>
        <v>0</v>
      </c>
      <c r="D137" s="125">
        <f>Lista!C136</f>
        <v>0</v>
      </c>
      <c r="E137" s="125">
        <f>Lista!D136</f>
        <v>0</v>
      </c>
      <c r="F137" s="125">
        <f>Lista!E136</f>
        <v>0</v>
      </c>
      <c r="G137" s="125">
        <f>Lista!F136</f>
        <v>0</v>
      </c>
      <c r="H137" s="125">
        <f>Lista!G136</f>
        <v>0</v>
      </c>
      <c r="I137" s="125">
        <f>Lista!H136</f>
        <v>0</v>
      </c>
      <c r="J137" s="125">
        <f>Lista!I136</f>
        <v>0</v>
      </c>
      <c r="K137" s="125">
        <f>Lista!J136</f>
        <v>0</v>
      </c>
      <c r="L137" s="125">
        <f>Lista!K136</f>
        <v>0</v>
      </c>
      <c r="M137" s="125">
        <f>Lista!L136</f>
        <v>0</v>
      </c>
      <c r="N137" s="125">
        <f>Lista!M136</f>
        <v>0</v>
      </c>
      <c r="O137" s="125">
        <f>Lista!N136</f>
        <v>0</v>
      </c>
      <c r="P137" s="125">
        <f>Lista!O136</f>
        <v>0</v>
      </c>
      <c r="Q137" s="125">
        <f>Lista!P136</f>
        <v>0</v>
      </c>
      <c r="R137" s="125">
        <f>Lista!Q136</f>
        <v>0</v>
      </c>
      <c r="S137" s="125">
        <f>Lista!R136</f>
        <v>0</v>
      </c>
      <c r="T137" s="81"/>
      <c r="U137" s="81"/>
      <c r="V137" s="81"/>
      <c r="W137" s="81"/>
      <c r="X137" s="81"/>
      <c r="Y137" s="81"/>
      <c r="Z137" s="81"/>
      <c r="AA137" s="81"/>
      <c r="AB137" s="81"/>
      <c r="AC137" s="81"/>
      <c r="AD137" s="81"/>
      <c r="AE137" s="81"/>
      <c r="AF137" s="81"/>
      <c r="AG137" s="81"/>
      <c r="AH137" s="81"/>
      <c r="AI137" s="81"/>
      <c r="AJ137" s="81"/>
      <c r="AK137" s="81"/>
      <c r="AL137" s="81"/>
      <c r="AM137" s="81"/>
      <c r="AN137" s="81"/>
      <c r="AO137" s="81"/>
      <c r="AP137" s="81"/>
      <c r="AQ137" s="81"/>
      <c r="AR137" s="81"/>
      <c r="AS137" s="81"/>
      <c r="AT137" s="81"/>
      <c r="AU137" s="81"/>
      <c r="AV137" s="81"/>
      <c r="AW137" s="81"/>
      <c r="AX137" s="81"/>
      <c r="AY137" s="81"/>
      <c r="AZ137" s="81"/>
      <c r="BA137" s="81"/>
      <c r="BB137" s="81"/>
      <c r="BC137" s="81"/>
      <c r="BD137" s="81"/>
      <c r="BE137" s="81"/>
      <c r="BF137" s="81"/>
      <c r="BG137" s="81"/>
      <c r="BH137" s="81"/>
      <c r="BI137" s="81"/>
      <c r="BJ137" s="81"/>
      <c r="BK137" s="81"/>
      <c r="BL137" s="81"/>
      <c r="BM137" s="81"/>
      <c r="BN137" s="81"/>
      <c r="BO137" s="81"/>
      <c r="BP137" s="81"/>
      <c r="BQ137" s="81"/>
      <c r="BR137" s="81"/>
      <c r="BS137" s="81"/>
      <c r="BT137" s="81"/>
      <c r="BU137" s="81"/>
      <c r="BV137" s="81"/>
      <c r="BW137" s="81"/>
      <c r="BX137" s="81"/>
      <c r="BY137" s="81"/>
      <c r="BZ137" s="81"/>
      <c r="CA137" s="81"/>
      <c r="CB137" s="81"/>
      <c r="CC137" s="81"/>
      <c r="CD137" s="81"/>
      <c r="CE137" s="81"/>
      <c r="CF137" s="81"/>
      <c r="CG137" s="81"/>
      <c r="CH137" s="81"/>
      <c r="CI137" s="81"/>
      <c r="CJ137" s="81"/>
      <c r="CK137" s="81"/>
      <c r="CL137" s="81"/>
      <c r="CM137" s="81"/>
      <c r="CN137" s="81"/>
      <c r="CO137" s="81"/>
      <c r="CP137" s="81"/>
      <c r="CQ137" s="81"/>
      <c r="CR137" s="81"/>
      <c r="CS137" s="81"/>
      <c r="CT137" s="81"/>
      <c r="CU137" s="81"/>
      <c r="CV137" s="81"/>
      <c r="CW137" s="81"/>
      <c r="CX137" s="81"/>
      <c r="CY137" s="81"/>
      <c r="CZ137" s="81"/>
      <c r="DA137" s="81"/>
      <c r="DB137" s="81"/>
      <c r="DC137" s="81"/>
      <c r="DD137" s="81"/>
      <c r="DE137" s="81"/>
      <c r="DF137" s="81"/>
      <c r="DG137" s="81"/>
      <c r="DH137" s="81"/>
      <c r="DI137" s="81"/>
      <c r="DJ137" s="81"/>
      <c r="DK137" s="81"/>
      <c r="DL137" s="81"/>
      <c r="DM137" s="81"/>
      <c r="DN137" s="81"/>
      <c r="DO137" s="81"/>
      <c r="DP137" s="81"/>
      <c r="DQ137" s="81"/>
      <c r="DR137" s="81"/>
      <c r="DS137" s="81"/>
      <c r="DT137" s="81"/>
      <c r="DU137" s="81"/>
      <c r="DV137" s="81"/>
      <c r="DW137" s="121"/>
    </row>
    <row r="138" spans="1:127" x14ac:dyDescent="0.25">
      <c r="A138" s="2">
        <f>COUNTIF($D$2:D138,'Reporte de Nomina'!$E$2)</f>
        <v>0</v>
      </c>
      <c r="B138" s="125">
        <f>Lista!A137</f>
        <v>0</v>
      </c>
      <c r="C138" s="125">
        <f>Lista!B137</f>
        <v>0</v>
      </c>
      <c r="D138" s="125">
        <f>Lista!C137</f>
        <v>0</v>
      </c>
      <c r="E138" s="125">
        <f>Lista!D137</f>
        <v>0</v>
      </c>
      <c r="F138" s="125">
        <f>Lista!E137</f>
        <v>0</v>
      </c>
      <c r="G138" s="125">
        <f>Lista!F137</f>
        <v>0</v>
      </c>
      <c r="H138" s="125">
        <f>Lista!G137</f>
        <v>0</v>
      </c>
      <c r="I138" s="125">
        <f>Lista!H137</f>
        <v>0</v>
      </c>
      <c r="J138" s="125">
        <f>Lista!I137</f>
        <v>0</v>
      </c>
      <c r="K138" s="125">
        <f>Lista!J137</f>
        <v>0</v>
      </c>
      <c r="L138" s="125">
        <f>Lista!K137</f>
        <v>0</v>
      </c>
      <c r="M138" s="125">
        <f>Lista!L137</f>
        <v>0</v>
      </c>
      <c r="N138" s="125">
        <f>Lista!M137</f>
        <v>0</v>
      </c>
      <c r="O138" s="125">
        <f>Lista!N137</f>
        <v>0</v>
      </c>
      <c r="P138" s="125">
        <f>Lista!O137</f>
        <v>0</v>
      </c>
      <c r="Q138" s="125">
        <f>Lista!P137</f>
        <v>0</v>
      </c>
      <c r="R138" s="125">
        <f>Lista!Q137</f>
        <v>0</v>
      </c>
      <c r="S138" s="125">
        <f>Lista!R137</f>
        <v>0</v>
      </c>
      <c r="T138" s="81"/>
      <c r="U138" s="81"/>
      <c r="V138" s="81"/>
      <c r="W138" s="81"/>
      <c r="X138" s="81"/>
      <c r="Y138" s="81"/>
      <c r="Z138" s="81"/>
      <c r="AA138" s="81"/>
      <c r="AB138" s="81"/>
      <c r="AC138" s="81"/>
      <c r="AD138" s="81"/>
      <c r="AE138" s="81"/>
      <c r="AF138" s="81"/>
      <c r="AG138" s="81"/>
      <c r="AH138" s="81"/>
      <c r="AI138" s="81"/>
      <c r="AJ138" s="81"/>
      <c r="AK138" s="81"/>
      <c r="AL138" s="81"/>
      <c r="AM138" s="81"/>
      <c r="AN138" s="81"/>
      <c r="AO138" s="81"/>
      <c r="AP138" s="81"/>
      <c r="AQ138" s="81"/>
      <c r="AR138" s="81"/>
      <c r="AS138" s="81"/>
      <c r="AT138" s="81"/>
      <c r="AU138" s="81"/>
      <c r="AV138" s="81"/>
      <c r="AW138" s="81"/>
      <c r="AX138" s="81"/>
      <c r="AY138" s="81"/>
      <c r="AZ138" s="81"/>
      <c r="BA138" s="81"/>
      <c r="BB138" s="81"/>
      <c r="BC138" s="81"/>
      <c r="BD138" s="81"/>
      <c r="BE138" s="81"/>
      <c r="BF138" s="81"/>
      <c r="BG138" s="81"/>
      <c r="BH138" s="81"/>
      <c r="BI138" s="81"/>
      <c r="BJ138" s="81"/>
      <c r="BK138" s="81"/>
      <c r="BL138" s="81"/>
      <c r="BM138" s="81"/>
      <c r="BN138" s="81"/>
      <c r="BO138" s="81"/>
      <c r="BP138" s="81"/>
      <c r="BQ138" s="81"/>
      <c r="BR138" s="81"/>
      <c r="BS138" s="81"/>
      <c r="BT138" s="81"/>
      <c r="BU138" s="81"/>
      <c r="BV138" s="81"/>
      <c r="BW138" s="81"/>
      <c r="BX138" s="81"/>
      <c r="BY138" s="81"/>
      <c r="BZ138" s="81"/>
      <c r="CA138" s="81"/>
      <c r="CB138" s="81"/>
      <c r="CC138" s="81"/>
      <c r="CD138" s="81"/>
      <c r="CE138" s="81"/>
      <c r="CF138" s="81"/>
      <c r="CG138" s="81"/>
      <c r="CH138" s="81"/>
      <c r="CI138" s="81"/>
      <c r="CJ138" s="81"/>
      <c r="CK138" s="81"/>
      <c r="CL138" s="81"/>
      <c r="CM138" s="81"/>
      <c r="CN138" s="81"/>
      <c r="CO138" s="81"/>
      <c r="CP138" s="81"/>
      <c r="CQ138" s="81"/>
      <c r="CR138" s="81"/>
      <c r="CS138" s="81"/>
      <c r="CT138" s="81"/>
      <c r="CU138" s="81"/>
      <c r="CV138" s="81"/>
      <c r="CW138" s="81"/>
      <c r="CX138" s="81"/>
      <c r="CY138" s="81"/>
      <c r="CZ138" s="81"/>
      <c r="DA138" s="81"/>
      <c r="DB138" s="81"/>
      <c r="DC138" s="81"/>
      <c r="DD138" s="81"/>
      <c r="DE138" s="81"/>
      <c r="DF138" s="81"/>
      <c r="DG138" s="81"/>
      <c r="DH138" s="81"/>
      <c r="DI138" s="81"/>
      <c r="DJ138" s="81"/>
      <c r="DK138" s="81"/>
      <c r="DL138" s="81"/>
      <c r="DM138" s="81"/>
      <c r="DN138" s="81"/>
      <c r="DO138" s="81"/>
      <c r="DP138" s="81"/>
      <c r="DQ138" s="81"/>
      <c r="DR138" s="81"/>
      <c r="DS138" s="81"/>
      <c r="DT138" s="81"/>
      <c r="DU138" s="81"/>
      <c r="DV138" s="81"/>
      <c r="DW138" s="121"/>
    </row>
    <row r="139" spans="1:127" x14ac:dyDescent="0.25">
      <c r="A139" s="2">
        <f>COUNTIF($D$2:D139,'Reporte de Nomina'!$E$2)</f>
        <v>0</v>
      </c>
      <c r="B139" s="125">
        <f>Lista!A138</f>
        <v>0</v>
      </c>
      <c r="C139" s="125">
        <f>Lista!B138</f>
        <v>0</v>
      </c>
      <c r="D139" s="125">
        <f>Lista!C138</f>
        <v>0</v>
      </c>
      <c r="E139" s="125">
        <f>Lista!D138</f>
        <v>0</v>
      </c>
      <c r="F139" s="125">
        <f>Lista!E138</f>
        <v>0</v>
      </c>
      <c r="G139" s="125">
        <f>Lista!F138</f>
        <v>0</v>
      </c>
      <c r="H139" s="125">
        <f>Lista!G138</f>
        <v>0</v>
      </c>
      <c r="I139" s="125">
        <f>Lista!H138</f>
        <v>0</v>
      </c>
      <c r="J139" s="125">
        <f>Lista!I138</f>
        <v>0</v>
      </c>
      <c r="K139" s="125">
        <f>Lista!J138</f>
        <v>0</v>
      </c>
      <c r="L139" s="125">
        <f>Lista!K138</f>
        <v>0</v>
      </c>
      <c r="M139" s="125">
        <f>Lista!L138</f>
        <v>0</v>
      </c>
      <c r="N139" s="125">
        <f>Lista!M138</f>
        <v>0</v>
      </c>
      <c r="O139" s="125">
        <f>Lista!N138</f>
        <v>0</v>
      </c>
      <c r="P139" s="125">
        <f>Lista!O138</f>
        <v>0</v>
      </c>
      <c r="Q139" s="125">
        <f>Lista!P138</f>
        <v>0</v>
      </c>
      <c r="R139" s="125">
        <f>Lista!Q138</f>
        <v>0</v>
      </c>
      <c r="S139" s="125">
        <f>Lista!R138</f>
        <v>0</v>
      </c>
      <c r="T139" s="81"/>
      <c r="U139" s="81"/>
      <c r="V139" s="81"/>
      <c r="W139" s="81"/>
      <c r="X139" s="81"/>
      <c r="Y139" s="81"/>
      <c r="Z139" s="81"/>
      <c r="AA139" s="81"/>
      <c r="AB139" s="81"/>
      <c r="AC139" s="81"/>
      <c r="AD139" s="81"/>
      <c r="AE139" s="81"/>
      <c r="AF139" s="81"/>
      <c r="AG139" s="81"/>
      <c r="AH139" s="81"/>
      <c r="AI139" s="81"/>
      <c r="AJ139" s="81"/>
      <c r="AK139" s="81"/>
      <c r="AL139" s="81"/>
      <c r="AM139" s="81"/>
      <c r="AN139" s="81"/>
      <c r="AO139" s="81"/>
      <c r="AP139" s="81"/>
      <c r="AQ139" s="81"/>
      <c r="AR139" s="81"/>
      <c r="AS139" s="81"/>
      <c r="AT139" s="81"/>
      <c r="AU139" s="81"/>
      <c r="AV139" s="81"/>
      <c r="AW139" s="81"/>
      <c r="AX139" s="81"/>
      <c r="AY139" s="81"/>
      <c r="AZ139" s="81"/>
      <c r="BA139" s="81"/>
      <c r="BB139" s="81"/>
      <c r="BC139" s="81"/>
      <c r="BD139" s="81"/>
      <c r="BE139" s="81"/>
      <c r="BF139" s="81"/>
      <c r="BG139" s="81"/>
      <c r="BH139" s="81"/>
      <c r="BI139" s="81"/>
      <c r="BJ139" s="81"/>
      <c r="BK139" s="81"/>
      <c r="BL139" s="81"/>
      <c r="BM139" s="81"/>
      <c r="BN139" s="81"/>
      <c r="BO139" s="81"/>
      <c r="BP139" s="81"/>
      <c r="BQ139" s="81"/>
      <c r="BR139" s="81"/>
      <c r="BS139" s="81"/>
      <c r="BT139" s="81"/>
      <c r="BU139" s="81"/>
      <c r="BV139" s="81"/>
      <c r="BW139" s="81"/>
      <c r="BX139" s="81"/>
      <c r="BY139" s="81"/>
      <c r="BZ139" s="81"/>
      <c r="CA139" s="81"/>
      <c r="CB139" s="81"/>
      <c r="CC139" s="81"/>
      <c r="CD139" s="81"/>
      <c r="CE139" s="81"/>
      <c r="CF139" s="81"/>
      <c r="CG139" s="81"/>
      <c r="CH139" s="81"/>
      <c r="CI139" s="81"/>
      <c r="CJ139" s="81"/>
      <c r="CK139" s="81"/>
      <c r="CL139" s="81"/>
      <c r="CM139" s="81"/>
      <c r="CN139" s="81"/>
      <c r="CO139" s="81"/>
      <c r="CP139" s="81"/>
      <c r="CQ139" s="81"/>
      <c r="CR139" s="81"/>
      <c r="CS139" s="81"/>
      <c r="CT139" s="81"/>
      <c r="CU139" s="81"/>
      <c r="CV139" s="81"/>
      <c r="CW139" s="81"/>
      <c r="CX139" s="81"/>
      <c r="CY139" s="81"/>
      <c r="CZ139" s="81"/>
      <c r="DA139" s="81"/>
      <c r="DB139" s="81"/>
      <c r="DC139" s="81"/>
      <c r="DD139" s="81"/>
      <c r="DE139" s="81"/>
      <c r="DF139" s="81"/>
      <c r="DG139" s="81"/>
      <c r="DH139" s="81"/>
      <c r="DI139" s="81"/>
      <c r="DJ139" s="81"/>
      <c r="DK139" s="81"/>
      <c r="DL139" s="81"/>
      <c r="DM139" s="81"/>
      <c r="DN139" s="81"/>
      <c r="DO139" s="81"/>
      <c r="DP139" s="81"/>
      <c r="DQ139" s="81"/>
      <c r="DR139" s="81"/>
      <c r="DS139" s="81"/>
      <c r="DT139" s="81"/>
      <c r="DU139" s="81"/>
      <c r="DV139" s="81"/>
      <c r="DW139" s="121"/>
    </row>
    <row r="140" spans="1:127" x14ac:dyDescent="0.25">
      <c r="A140" s="2">
        <f>COUNTIF($D$2:D140,'Reporte de Nomina'!$E$2)</f>
        <v>0</v>
      </c>
      <c r="B140" s="125">
        <f>Lista!A139</f>
        <v>0</v>
      </c>
      <c r="C140" s="125">
        <f>Lista!B139</f>
        <v>0</v>
      </c>
      <c r="D140" s="125">
        <f>Lista!C139</f>
        <v>0</v>
      </c>
      <c r="E140" s="125">
        <f>Lista!D139</f>
        <v>0</v>
      </c>
      <c r="F140" s="125">
        <f>Lista!E139</f>
        <v>0</v>
      </c>
      <c r="G140" s="125">
        <f>Lista!F139</f>
        <v>0</v>
      </c>
      <c r="H140" s="125">
        <f>Lista!G139</f>
        <v>0</v>
      </c>
      <c r="I140" s="125">
        <f>Lista!H139</f>
        <v>0</v>
      </c>
      <c r="J140" s="125">
        <f>Lista!I139</f>
        <v>0</v>
      </c>
      <c r="K140" s="125">
        <f>Lista!J139</f>
        <v>0</v>
      </c>
      <c r="L140" s="125">
        <f>Lista!K139</f>
        <v>0</v>
      </c>
      <c r="M140" s="125">
        <f>Lista!L139</f>
        <v>0</v>
      </c>
      <c r="N140" s="125">
        <f>Lista!M139</f>
        <v>0</v>
      </c>
      <c r="O140" s="125">
        <f>Lista!N139</f>
        <v>0</v>
      </c>
      <c r="P140" s="125">
        <f>Lista!O139</f>
        <v>0</v>
      </c>
      <c r="Q140" s="125">
        <f>Lista!P139</f>
        <v>0</v>
      </c>
      <c r="R140" s="125">
        <f>Lista!Q139</f>
        <v>0</v>
      </c>
      <c r="S140" s="125">
        <f>Lista!R139</f>
        <v>0</v>
      </c>
      <c r="T140" s="81"/>
      <c r="U140" s="81"/>
      <c r="V140" s="81"/>
      <c r="W140" s="81"/>
      <c r="X140" s="81"/>
      <c r="Y140" s="81"/>
      <c r="Z140" s="81"/>
      <c r="AA140" s="81"/>
      <c r="AB140" s="81"/>
      <c r="AC140" s="81"/>
      <c r="AD140" s="81"/>
      <c r="AE140" s="81"/>
      <c r="AF140" s="81"/>
      <c r="AG140" s="81"/>
      <c r="AH140" s="81"/>
      <c r="AI140" s="81"/>
      <c r="AJ140" s="81"/>
      <c r="AK140" s="81"/>
      <c r="AL140" s="81"/>
      <c r="AM140" s="81"/>
      <c r="AN140" s="81"/>
      <c r="AO140" s="81"/>
      <c r="AP140" s="81"/>
      <c r="AQ140" s="81"/>
      <c r="AR140" s="81"/>
      <c r="AS140" s="81"/>
      <c r="AT140" s="81"/>
      <c r="AU140" s="81"/>
      <c r="AV140" s="81"/>
      <c r="AW140" s="81"/>
      <c r="AX140" s="81"/>
      <c r="AY140" s="81"/>
      <c r="AZ140" s="81"/>
      <c r="BA140" s="81"/>
      <c r="BB140" s="81"/>
      <c r="BC140" s="81"/>
      <c r="BD140" s="81"/>
      <c r="BE140" s="81"/>
      <c r="BF140" s="81"/>
      <c r="BG140" s="81"/>
      <c r="BH140" s="81"/>
      <c r="BI140" s="81"/>
      <c r="BJ140" s="81"/>
      <c r="BK140" s="81"/>
      <c r="BL140" s="81"/>
      <c r="BM140" s="81"/>
      <c r="BN140" s="81"/>
      <c r="BO140" s="81"/>
      <c r="BP140" s="81"/>
      <c r="BQ140" s="81"/>
      <c r="BR140" s="81"/>
      <c r="BS140" s="81"/>
      <c r="BT140" s="81"/>
      <c r="BU140" s="81"/>
      <c r="BV140" s="81"/>
      <c r="BW140" s="81"/>
      <c r="BX140" s="81"/>
      <c r="BY140" s="81"/>
      <c r="BZ140" s="81"/>
      <c r="CA140" s="81"/>
      <c r="CB140" s="81"/>
      <c r="CC140" s="81"/>
      <c r="CD140" s="81"/>
      <c r="CE140" s="81"/>
      <c r="CF140" s="81"/>
      <c r="CG140" s="81"/>
      <c r="CH140" s="81"/>
      <c r="CI140" s="81"/>
      <c r="CJ140" s="81"/>
      <c r="CK140" s="81"/>
      <c r="CL140" s="81"/>
      <c r="CM140" s="81"/>
      <c r="CN140" s="81"/>
      <c r="CO140" s="81"/>
      <c r="CP140" s="81"/>
      <c r="CQ140" s="81"/>
      <c r="CR140" s="81"/>
      <c r="CS140" s="81"/>
      <c r="CT140" s="81"/>
      <c r="CU140" s="81"/>
      <c r="CV140" s="81"/>
      <c r="CW140" s="81"/>
      <c r="CX140" s="81"/>
      <c r="CY140" s="81"/>
      <c r="CZ140" s="81"/>
      <c r="DA140" s="81"/>
      <c r="DB140" s="81"/>
      <c r="DC140" s="81"/>
      <c r="DD140" s="81"/>
      <c r="DE140" s="81"/>
      <c r="DF140" s="81"/>
      <c r="DG140" s="81"/>
      <c r="DH140" s="81"/>
      <c r="DI140" s="81"/>
      <c r="DJ140" s="81"/>
      <c r="DK140" s="81"/>
      <c r="DL140" s="81"/>
      <c r="DM140" s="81"/>
      <c r="DN140" s="81"/>
      <c r="DO140" s="81"/>
      <c r="DP140" s="81"/>
      <c r="DQ140" s="81"/>
      <c r="DR140" s="81"/>
      <c r="DS140" s="81"/>
      <c r="DT140" s="81"/>
      <c r="DU140" s="81"/>
      <c r="DV140" s="81"/>
      <c r="DW140" s="121"/>
    </row>
    <row r="141" spans="1:127" x14ac:dyDescent="0.25">
      <c r="A141" s="2">
        <f>COUNTIF($D$2:D141,'Reporte de Nomina'!$E$2)</f>
        <v>0</v>
      </c>
      <c r="B141" s="125">
        <f>Lista!A140</f>
        <v>0</v>
      </c>
      <c r="C141" s="125">
        <f>Lista!B140</f>
        <v>0</v>
      </c>
      <c r="D141" s="125">
        <f>Lista!C140</f>
        <v>0</v>
      </c>
      <c r="E141" s="125">
        <f>Lista!D140</f>
        <v>0</v>
      </c>
      <c r="F141" s="125">
        <f>Lista!E140</f>
        <v>0</v>
      </c>
      <c r="G141" s="125">
        <f>Lista!F140</f>
        <v>0</v>
      </c>
      <c r="H141" s="125">
        <f>Lista!G140</f>
        <v>0</v>
      </c>
      <c r="I141" s="125">
        <f>Lista!H140</f>
        <v>0</v>
      </c>
      <c r="J141" s="125">
        <f>Lista!I140</f>
        <v>0</v>
      </c>
      <c r="K141" s="125">
        <f>Lista!J140</f>
        <v>0</v>
      </c>
      <c r="L141" s="125">
        <f>Lista!K140</f>
        <v>0</v>
      </c>
      <c r="M141" s="125">
        <f>Lista!L140</f>
        <v>0</v>
      </c>
      <c r="N141" s="125">
        <f>Lista!M140</f>
        <v>0</v>
      </c>
      <c r="O141" s="125">
        <f>Lista!N140</f>
        <v>0</v>
      </c>
      <c r="P141" s="125">
        <f>Lista!O140</f>
        <v>0</v>
      </c>
      <c r="Q141" s="125">
        <f>Lista!P140</f>
        <v>0</v>
      </c>
      <c r="R141" s="125">
        <f>Lista!Q140</f>
        <v>0</v>
      </c>
      <c r="S141" s="125">
        <f>Lista!R140</f>
        <v>0</v>
      </c>
      <c r="T141" s="81"/>
      <c r="U141" s="81"/>
      <c r="V141" s="81"/>
      <c r="W141" s="81"/>
      <c r="X141" s="81"/>
      <c r="Y141" s="81"/>
      <c r="Z141" s="81"/>
      <c r="AA141" s="81"/>
      <c r="AB141" s="81"/>
      <c r="AC141" s="81"/>
      <c r="AD141" s="81"/>
      <c r="AE141" s="81"/>
      <c r="AF141" s="81"/>
      <c r="AG141" s="81"/>
      <c r="AH141" s="81"/>
      <c r="AI141" s="81"/>
      <c r="AJ141" s="81"/>
      <c r="AK141" s="81"/>
      <c r="AL141" s="81"/>
      <c r="AM141" s="81"/>
      <c r="AN141" s="81"/>
      <c r="AO141" s="81"/>
      <c r="AP141" s="81"/>
      <c r="AQ141" s="81"/>
      <c r="AR141" s="81"/>
      <c r="AS141" s="81"/>
      <c r="AT141" s="81"/>
      <c r="AU141" s="81"/>
      <c r="AV141" s="81"/>
      <c r="AW141" s="81"/>
      <c r="AX141" s="81"/>
      <c r="AY141" s="81"/>
      <c r="AZ141" s="81"/>
      <c r="BA141" s="81"/>
      <c r="BB141" s="81"/>
      <c r="BC141" s="81"/>
      <c r="BD141" s="81"/>
      <c r="BE141" s="81"/>
      <c r="BF141" s="81"/>
      <c r="BG141" s="81"/>
      <c r="BH141" s="81"/>
      <c r="BI141" s="81"/>
      <c r="BJ141" s="81"/>
      <c r="BK141" s="81"/>
      <c r="BL141" s="81"/>
      <c r="BM141" s="81"/>
      <c r="BN141" s="81"/>
      <c r="BO141" s="81"/>
      <c r="BP141" s="81"/>
      <c r="BQ141" s="81"/>
      <c r="BR141" s="81"/>
      <c r="BS141" s="81"/>
      <c r="BT141" s="81"/>
      <c r="BU141" s="81"/>
      <c r="BV141" s="81"/>
      <c r="BW141" s="81"/>
      <c r="BX141" s="81"/>
      <c r="BY141" s="81"/>
      <c r="BZ141" s="81"/>
      <c r="CA141" s="81"/>
      <c r="CB141" s="81"/>
      <c r="CC141" s="81"/>
      <c r="CD141" s="81"/>
      <c r="CE141" s="81"/>
      <c r="CF141" s="81"/>
      <c r="CG141" s="81"/>
      <c r="CH141" s="81"/>
      <c r="CI141" s="81"/>
      <c r="CJ141" s="81"/>
      <c r="CK141" s="81"/>
      <c r="CL141" s="81"/>
      <c r="CM141" s="81"/>
      <c r="CN141" s="81"/>
      <c r="CO141" s="81"/>
      <c r="CP141" s="81"/>
      <c r="CQ141" s="81"/>
      <c r="CR141" s="81"/>
      <c r="CS141" s="81"/>
      <c r="CT141" s="81"/>
      <c r="CU141" s="81"/>
      <c r="CV141" s="81"/>
      <c r="CW141" s="81"/>
      <c r="CX141" s="81"/>
      <c r="CY141" s="81"/>
      <c r="CZ141" s="81"/>
      <c r="DA141" s="81"/>
      <c r="DB141" s="81"/>
      <c r="DC141" s="81"/>
      <c r="DD141" s="81"/>
      <c r="DE141" s="81"/>
      <c r="DF141" s="81"/>
      <c r="DG141" s="81"/>
      <c r="DH141" s="81"/>
      <c r="DI141" s="81"/>
      <c r="DJ141" s="81"/>
      <c r="DK141" s="81"/>
      <c r="DL141" s="81"/>
      <c r="DM141" s="81"/>
      <c r="DN141" s="81"/>
      <c r="DO141" s="81"/>
      <c r="DP141" s="81"/>
      <c r="DQ141" s="81"/>
      <c r="DR141" s="81"/>
      <c r="DS141" s="81"/>
      <c r="DT141" s="81"/>
      <c r="DU141" s="81"/>
      <c r="DV141" s="81"/>
      <c r="DW141" s="121"/>
    </row>
    <row r="142" spans="1:127" x14ac:dyDescent="0.25">
      <c r="A142" s="2">
        <f>COUNTIF($D$2:D142,'Reporte de Nomina'!$E$2)</f>
        <v>0</v>
      </c>
      <c r="B142" s="125">
        <f>Lista!A141</f>
        <v>0</v>
      </c>
      <c r="C142" s="125">
        <f>Lista!B141</f>
        <v>0</v>
      </c>
      <c r="D142" s="125">
        <f>Lista!C141</f>
        <v>0</v>
      </c>
      <c r="E142" s="125">
        <f>Lista!D141</f>
        <v>0</v>
      </c>
      <c r="F142" s="125">
        <f>Lista!E141</f>
        <v>0</v>
      </c>
      <c r="G142" s="125">
        <f>Lista!F141</f>
        <v>0</v>
      </c>
      <c r="H142" s="125">
        <f>Lista!G141</f>
        <v>0</v>
      </c>
      <c r="I142" s="125">
        <f>Lista!H141</f>
        <v>0</v>
      </c>
      <c r="J142" s="125">
        <f>Lista!I141</f>
        <v>0</v>
      </c>
      <c r="K142" s="125">
        <f>Lista!J141</f>
        <v>0</v>
      </c>
      <c r="L142" s="125">
        <f>Lista!K141</f>
        <v>0</v>
      </c>
      <c r="M142" s="125">
        <f>Lista!L141</f>
        <v>0</v>
      </c>
      <c r="N142" s="125">
        <f>Lista!M141</f>
        <v>0</v>
      </c>
      <c r="O142" s="125">
        <f>Lista!N141</f>
        <v>0</v>
      </c>
      <c r="P142" s="125">
        <f>Lista!O141</f>
        <v>0</v>
      </c>
      <c r="Q142" s="125">
        <f>Lista!P141</f>
        <v>0</v>
      </c>
      <c r="R142" s="125">
        <f>Lista!Q141</f>
        <v>0</v>
      </c>
      <c r="S142" s="125">
        <f>Lista!R141</f>
        <v>0</v>
      </c>
      <c r="T142" s="81"/>
      <c r="U142" s="81"/>
      <c r="V142" s="81"/>
      <c r="W142" s="81"/>
      <c r="X142" s="81"/>
      <c r="Y142" s="81"/>
      <c r="Z142" s="81"/>
      <c r="AA142" s="81"/>
      <c r="AB142" s="81"/>
      <c r="AC142" s="81"/>
      <c r="AD142" s="81"/>
      <c r="AE142" s="81"/>
      <c r="AF142" s="81"/>
      <c r="AG142" s="81"/>
      <c r="AH142" s="81"/>
      <c r="AI142" s="81"/>
      <c r="AJ142" s="81"/>
      <c r="AK142" s="81"/>
      <c r="AL142" s="81"/>
      <c r="AM142" s="81"/>
      <c r="AN142" s="81"/>
      <c r="AO142" s="81"/>
      <c r="AP142" s="81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  <c r="BA142" s="81"/>
      <c r="BB142" s="81"/>
      <c r="BC142" s="81"/>
      <c r="BD142" s="81"/>
      <c r="BE142" s="81"/>
      <c r="BF142" s="81"/>
      <c r="BG142" s="81"/>
      <c r="BH142" s="81"/>
      <c r="BI142" s="81"/>
      <c r="BJ142" s="81"/>
      <c r="BK142" s="81"/>
      <c r="BL142" s="81"/>
      <c r="BM142" s="81"/>
      <c r="BN142" s="81"/>
      <c r="BO142" s="81"/>
      <c r="BP142" s="81"/>
      <c r="BQ142" s="81"/>
      <c r="BR142" s="81"/>
      <c r="BS142" s="81"/>
      <c r="BT142" s="81"/>
      <c r="BU142" s="81"/>
      <c r="BV142" s="81"/>
      <c r="BW142" s="81"/>
      <c r="BX142" s="81"/>
      <c r="BY142" s="81"/>
      <c r="BZ142" s="81"/>
      <c r="CA142" s="81"/>
      <c r="CB142" s="81"/>
      <c r="CC142" s="81"/>
      <c r="CD142" s="81"/>
      <c r="CE142" s="81"/>
      <c r="CF142" s="81"/>
      <c r="CG142" s="81"/>
      <c r="CH142" s="81"/>
      <c r="CI142" s="81"/>
      <c r="CJ142" s="81"/>
      <c r="CK142" s="81"/>
      <c r="CL142" s="81"/>
      <c r="CM142" s="81"/>
      <c r="CN142" s="81"/>
      <c r="CO142" s="81"/>
      <c r="CP142" s="81"/>
      <c r="CQ142" s="81"/>
      <c r="CR142" s="81"/>
      <c r="CS142" s="81"/>
      <c r="CT142" s="81"/>
      <c r="CU142" s="81"/>
      <c r="CV142" s="81"/>
      <c r="CW142" s="81"/>
      <c r="CX142" s="81"/>
      <c r="CY142" s="81"/>
      <c r="CZ142" s="81"/>
      <c r="DA142" s="81"/>
      <c r="DB142" s="81"/>
      <c r="DC142" s="81"/>
      <c r="DD142" s="81"/>
      <c r="DE142" s="81"/>
      <c r="DF142" s="81"/>
      <c r="DG142" s="81"/>
      <c r="DH142" s="81"/>
      <c r="DI142" s="81"/>
      <c r="DJ142" s="81"/>
      <c r="DK142" s="81"/>
      <c r="DL142" s="81"/>
      <c r="DM142" s="81"/>
      <c r="DN142" s="81"/>
      <c r="DO142" s="81"/>
      <c r="DP142" s="81"/>
      <c r="DQ142" s="81"/>
      <c r="DR142" s="81"/>
      <c r="DS142" s="81"/>
      <c r="DT142" s="81"/>
      <c r="DU142" s="81"/>
      <c r="DV142" s="81"/>
      <c r="DW142" s="121"/>
    </row>
    <row r="143" spans="1:127" x14ac:dyDescent="0.25">
      <c r="A143" s="2">
        <f>COUNTIF($D$2:D143,'Reporte de Nomina'!$E$2)</f>
        <v>0</v>
      </c>
      <c r="B143" s="125">
        <f>Lista!A142</f>
        <v>0</v>
      </c>
      <c r="C143" s="125">
        <f>Lista!B142</f>
        <v>0</v>
      </c>
      <c r="D143" s="125">
        <f>Lista!C142</f>
        <v>0</v>
      </c>
      <c r="E143" s="125">
        <f>Lista!D142</f>
        <v>0</v>
      </c>
      <c r="F143" s="125">
        <f>Lista!E142</f>
        <v>0</v>
      </c>
      <c r="G143" s="125">
        <f>Lista!F142</f>
        <v>0</v>
      </c>
      <c r="H143" s="125">
        <f>Lista!G142</f>
        <v>0</v>
      </c>
      <c r="I143" s="125">
        <f>Lista!H142</f>
        <v>0</v>
      </c>
      <c r="J143" s="125">
        <f>Lista!I142</f>
        <v>0</v>
      </c>
      <c r="K143" s="125">
        <f>Lista!J142</f>
        <v>0</v>
      </c>
      <c r="L143" s="125">
        <f>Lista!K142</f>
        <v>0</v>
      </c>
      <c r="M143" s="125">
        <f>Lista!L142</f>
        <v>0</v>
      </c>
      <c r="N143" s="125">
        <f>Lista!M142</f>
        <v>0</v>
      </c>
      <c r="O143" s="125">
        <f>Lista!N142</f>
        <v>0</v>
      </c>
      <c r="P143" s="125">
        <f>Lista!O142</f>
        <v>0</v>
      </c>
      <c r="Q143" s="125">
        <f>Lista!P142</f>
        <v>0</v>
      </c>
      <c r="R143" s="125">
        <f>Lista!Q142</f>
        <v>0</v>
      </c>
      <c r="S143" s="125">
        <f>Lista!R142</f>
        <v>0</v>
      </c>
      <c r="T143" s="81"/>
      <c r="U143" s="81"/>
      <c r="V143" s="81"/>
      <c r="W143" s="81"/>
      <c r="X143" s="81"/>
      <c r="Y143" s="81"/>
      <c r="Z143" s="81"/>
      <c r="AA143" s="81"/>
      <c r="AB143" s="81"/>
      <c r="AC143" s="81"/>
      <c r="AD143" s="81"/>
      <c r="AE143" s="81"/>
      <c r="AF143" s="81"/>
      <c r="AG143" s="81"/>
      <c r="AH143" s="81"/>
      <c r="AI143" s="81"/>
      <c r="AJ143" s="81"/>
      <c r="AK143" s="81"/>
      <c r="AL143" s="81"/>
      <c r="AM143" s="81"/>
      <c r="AN143" s="81"/>
      <c r="AO143" s="81"/>
      <c r="AP143" s="81"/>
      <c r="AQ143" s="81"/>
      <c r="AR143" s="81"/>
      <c r="AS143" s="81"/>
      <c r="AT143" s="81"/>
      <c r="AU143" s="81"/>
      <c r="AV143" s="81"/>
      <c r="AW143" s="81"/>
      <c r="AX143" s="81"/>
      <c r="AY143" s="81"/>
      <c r="AZ143" s="81"/>
      <c r="BA143" s="81"/>
      <c r="BB143" s="81"/>
      <c r="BC143" s="81"/>
      <c r="BD143" s="81"/>
      <c r="BE143" s="81"/>
      <c r="BF143" s="81"/>
      <c r="BG143" s="81"/>
      <c r="BH143" s="81"/>
      <c r="BI143" s="81"/>
      <c r="BJ143" s="81"/>
      <c r="BK143" s="81"/>
      <c r="BL143" s="81"/>
      <c r="BM143" s="81"/>
      <c r="BN143" s="81"/>
      <c r="BO143" s="81"/>
      <c r="BP143" s="81"/>
      <c r="BQ143" s="81"/>
      <c r="BR143" s="81"/>
      <c r="BS143" s="81"/>
      <c r="BT143" s="81"/>
      <c r="BU143" s="81"/>
      <c r="BV143" s="81"/>
      <c r="BW143" s="81"/>
      <c r="BX143" s="81"/>
      <c r="BY143" s="81"/>
      <c r="BZ143" s="81"/>
      <c r="CA143" s="81"/>
      <c r="CB143" s="81"/>
      <c r="CC143" s="81"/>
      <c r="CD143" s="81"/>
      <c r="CE143" s="81"/>
      <c r="CF143" s="81"/>
      <c r="CG143" s="81"/>
      <c r="CH143" s="81"/>
      <c r="CI143" s="81"/>
      <c r="CJ143" s="81"/>
      <c r="CK143" s="81"/>
      <c r="CL143" s="81"/>
      <c r="CM143" s="81"/>
      <c r="CN143" s="81"/>
      <c r="CO143" s="81"/>
      <c r="CP143" s="81"/>
      <c r="CQ143" s="81"/>
      <c r="CR143" s="81"/>
      <c r="CS143" s="81"/>
      <c r="CT143" s="81"/>
      <c r="CU143" s="81"/>
      <c r="CV143" s="81"/>
      <c r="CW143" s="81"/>
      <c r="CX143" s="81"/>
      <c r="CY143" s="81"/>
      <c r="CZ143" s="81"/>
      <c r="DA143" s="81"/>
      <c r="DB143" s="81"/>
      <c r="DC143" s="81"/>
      <c r="DD143" s="81"/>
      <c r="DE143" s="81"/>
      <c r="DF143" s="81"/>
      <c r="DG143" s="81"/>
      <c r="DH143" s="81"/>
      <c r="DI143" s="81"/>
      <c r="DJ143" s="81"/>
      <c r="DK143" s="81"/>
      <c r="DL143" s="81"/>
      <c r="DM143" s="81"/>
      <c r="DN143" s="81"/>
      <c r="DO143" s="81"/>
      <c r="DP143" s="81"/>
      <c r="DQ143" s="81"/>
      <c r="DR143" s="81"/>
      <c r="DS143" s="81"/>
      <c r="DT143" s="81"/>
      <c r="DU143" s="81"/>
      <c r="DV143" s="81"/>
      <c r="DW143" s="121"/>
    </row>
    <row r="144" spans="1:127" x14ac:dyDescent="0.25">
      <c r="A144" s="2">
        <f>COUNTIF($D$2:D144,'Reporte de Nomina'!$E$2)</f>
        <v>0</v>
      </c>
      <c r="B144" s="125">
        <f>Lista!A143</f>
        <v>0</v>
      </c>
      <c r="C144" s="125">
        <f>Lista!B143</f>
        <v>0</v>
      </c>
      <c r="D144" s="125">
        <f>Lista!C143</f>
        <v>0</v>
      </c>
      <c r="E144" s="125">
        <f>Lista!D143</f>
        <v>0</v>
      </c>
      <c r="F144" s="125">
        <f>Lista!E143</f>
        <v>0</v>
      </c>
      <c r="G144" s="125">
        <f>Lista!F143</f>
        <v>0</v>
      </c>
      <c r="H144" s="125">
        <f>Lista!G143</f>
        <v>0</v>
      </c>
      <c r="I144" s="125">
        <f>Lista!H143</f>
        <v>0</v>
      </c>
      <c r="J144" s="125">
        <f>Lista!I143</f>
        <v>0</v>
      </c>
      <c r="K144" s="125">
        <f>Lista!J143</f>
        <v>0</v>
      </c>
      <c r="L144" s="125">
        <f>Lista!K143</f>
        <v>0</v>
      </c>
      <c r="M144" s="125">
        <f>Lista!L143</f>
        <v>0</v>
      </c>
      <c r="N144" s="125">
        <f>Lista!M143</f>
        <v>0</v>
      </c>
      <c r="O144" s="125">
        <f>Lista!N143</f>
        <v>0</v>
      </c>
      <c r="P144" s="125">
        <f>Lista!O143</f>
        <v>0</v>
      </c>
      <c r="Q144" s="125">
        <f>Lista!P143</f>
        <v>0</v>
      </c>
      <c r="R144" s="125">
        <f>Lista!Q143</f>
        <v>0</v>
      </c>
      <c r="S144" s="125">
        <f>Lista!R143</f>
        <v>0</v>
      </c>
      <c r="T144" s="81"/>
      <c r="U144" s="81"/>
      <c r="V144" s="81"/>
      <c r="W144" s="81"/>
      <c r="X144" s="81"/>
      <c r="Y144" s="81"/>
      <c r="Z144" s="81"/>
      <c r="AA144" s="81"/>
      <c r="AB144" s="81"/>
      <c r="AC144" s="81"/>
      <c r="AD144" s="81"/>
      <c r="AE144" s="81"/>
      <c r="AF144" s="81"/>
      <c r="AG144" s="81"/>
      <c r="AH144" s="81"/>
      <c r="AI144" s="81"/>
      <c r="AJ144" s="81"/>
      <c r="AK144" s="81"/>
      <c r="AL144" s="81"/>
      <c r="AM144" s="81"/>
      <c r="AN144" s="81"/>
      <c r="AO144" s="81"/>
      <c r="AP144" s="81"/>
      <c r="AQ144" s="81"/>
      <c r="AR144" s="81"/>
      <c r="AS144" s="81"/>
      <c r="AT144" s="81"/>
      <c r="AU144" s="81"/>
      <c r="AV144" s="81"/>
      <c r="AW144" s="81"/>
      <c r="AX144" s="81"/>
      <c r="AY144" s="81"/>
      <c r="AZ144" s="81"/>
      <c r="BA144" s="81"/>
      <c r="BB144" s="81"/>
      <c r="BC144" s="81"/>
      <c r="BD144" s="81"/>
      <c r="BE144" s="81"/>
      <c r="BF144" s="81"/>
      <c r="BG144" s="81"/>
      <c r="BH144" s="81"/>
      <c r="BI144" s="81"/>
      <c r="BJ144" s="81"/>
      <c r="BK144" s="81"/>
      <c r="BL144" s="81"/>
      <c r="BM144" s="81"/>
      <c r="BN144" s="81"/>
      <c r="BO144" s="81"/>
      <c r="BP144" s="81"/>
      <c r="BQ144" s="81"/>
      <c r="BR144" s="81"/>
      <c r="BS144" s="81"/>
      <c r="BT144" s="81"/>
      <c r="BU144" s="81"/>
      <c r="BV144" s="81"/>
      <c r="BW144" s="81"/>
      <c r="BX144" s="81"/>
      <c r="BY144" s="81"/>
      <c r="BZ144" s="81"/>
      <c r="CA144" s="81"/>
      <c r="CB144" s="81"/>
      <c r="CC144" s="81"/>
      <c r="CD144" s="81"/>
      <c r="CE144" s="81"/>
      <c r="CF144" s="81"/>
      <c r="CG144" s="81"/>
      <c r="CH144" s="81"/>
      <c r="CI144" s="81"/>
      <c r="CJ144" s="81"/>
      <c r="CK144" s="81"/>
      <c r="CL144" s="81"/>
      <c r="CM144" s="81"/>
      <c r="CN144" s="81"/>
      <c r="CO144" s="81"/>
      <c r="CP144" s="81"/>
      <c r="CQ144" s="81"/>
      <c r="CR144" s="81"/>
      <c r="CS144" s="81"/>
      <c r="CT144" s="81"/>
      <c r="CU144" s="81"/>
      <c r="CV144" s="81"/>
      <c r="CW144" s="81"/>
      <c r="CX144" s="81"/>
      <c r="CY144" s="81"/>
      <c r="CZ144" s="81"/>
      <c r="DA144" s="81"/>
      <c r="DB144" s="81"/>
      <c r="DC144" s="81"/>
      <c r="DD144" s="81"/>
      <c r="DE144" s="81"/>
      <c r="DF144" s="81"/>
      <c r="DG144" s="81"/>
      <c r="DH144" s="81"/>
      <c r="DI144" s="81"/>
      <c r="DJ144" s="81"/>
      <c r="DK144" s="81"/>
      <c r="DL144" s="81"/>
      <c r="DM144" s="81"/>
      <c r="DN144" s="81"/>
      <c r="DO144" s="81"/>
      <c r="DP144" s="81"/>
      <c r="DQ144" s="81"/>
      <c r="DR144" s="81"/>
      <c r="DS144" s="81"/>
      <c r="DT144" s="81"/>
      <c r="DU144" s="81"/>
      <c r="DV144" s="81"/>
      <c r="DW144" s="121"/>
    </row>
    <row r="145" spans="1:127" x14ac:dyDescent="0.25">
      <c r="A145" s="2">
        <f>COUNTIF($D$2:D145,'Reporte de Nomina'!$E$2)</f>
        <v>0</v>
      </c>
      <c r="B145" s="125">
        <f>Lista!A144</f>
        <v>0</v>
      </c>
      <c r="C145" s="125">
        <f>Lista!B144</f>
        <v>0</v>
      </c>
      <c r="D145" s="125">
        <f>Lista!C144</f>
        <v>0</v>
      </c>
      <c r="E145" s="125">
        <f>Lista!D144</f>
        <v>0</v>
      </c>
      <c r="F145" s="125">
        <f>Lista!E144</f>
        <v>0</v>
      </c>
      <c r="G145" s="125">
        <f>Lista!F144</f>
        <v>0</v>
      </c>
      <c r="H145" s="125">
        <f>Lista!G144</f>
        <v>0</v>
      </c>
      <c r="I145" s="125">
        <f>Lista!H144</f>
        <v>0</v>
      </c>
      <c r="J145" s="125">
        <f>Lista!I144</f>
        <v>0</v>
      </c>
      <c r="K145" s="125">
        <f>Lista!J144</f>
        <v>0</v>
      </c>
      <c r="L145" s="125">
        <f>Lista!K144</f>
        <v>0</v>
      </c>
      <c r="M145" s="125">
        <f>Lista!L144</f>
        <v>0</v>
      </c>
      <c r="N145" s="125">
        <f>Lista!M144</f>
        <v>0</v>
      </c>
      <c r="O145" s="125">
        <f>Lista!N144</f>
        <v>0</v>
      </c>
      <c r="P145" s="125">
        <f>Lista!O144</f>
        <v>0</v>
      </c>
      <c r="Q145" s="125">
        <f>Lista!P144</f>
        <v>0</v>
      </c>
      <c r="R145" s="125">
        <f>Lista!Q144</f>
        <v>0</v>
      </c>
      <c r="S145" s="125">
        <f>Lista!R144</f>
        <v>0</v>
      </c>
      <c r="T145" s="81"/>
      <c r="U145" s="81"/>
      <c r="V145" s="81"/>
      <c r="W145" s="8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81"/>
      <c r="AM145" s="81"/>
      <c r="AN145" s="81"/>
      <c r="AO145" s="81"/>
      <c r="AP145" s="81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  <c r="BA145" s="81"/>
      <c r="BB145" s="81"/>
      <c r="BC145" s="81"/>
      <c r="BD145" s="81"/>
      <c r="BE145" s="81"/>
      <c r="BF145" s="81"/>
      <c r="BG145" s="81"/>
      <c r="BH145" s="81"/>
      <c r="BI145" s="81"/>
      <c r="BJ145" s="81"/>
      <c r="BK145" s="81"/>
      <c r="BL145" s="81"/>
      <c r="BM145" s="81"/>
      <c r="BN145" s="81"/>
      <c r="BO145" s="81"/>
      <c r="BP145" s="81"/>
      <c r="BQ145" s="81"/>
      <c r="BR145" s="81"/>
      <c r="BS145" s="81"/>
      <c r="BT145" s="81"/>
      <c r="BU145" s="81"/>
      <c r="BV145" s="81"/>
      <c r="BW145" s="81"/>
      <c r="BX145" s="81"/>
      <c r="BY145" s="81"/>
      <c r="BZ145" s="81"/>
      <c r="CA145" s="81"/>
      <c r="CB145" s="81"/>
      <c r="CC145" s="81"/>
      <c r="CD145" s="81"/>
      <c r="CE145" s="81"/>
      <c r="CF145" s="81"/>
      <c r="CG145" s="81"/>
      <c r="CH145" s="81"/>
      <c r="CI145" s="81"/>
      <c r="CJ145" s="81"/>
      <c r="CK145" s="81"/>
      <c r="CL145" s="81"/>
      <c r="CM145" s="81"/>
      <c r="CN145" s="81"/>
      <c r="CO145" s="81"/>
      <c r="CP145" s="81"/>
      <c r="CQ145" s="81"/>
      <c r="CR145" s="81"/>
      <c r="CS145" s="81"/>
      <c r="CT145" s="81"/>
      <c r="CU145" s="81"/>
      <c r="CV145" s="81"/>
      <c r="CW145" s="81"/>
      <c r="CX145" s="81"/>
      <c r="CY145" s="81"/>
      <c r="CZ145" s="81"/>
      <c r="DA145" s="81"/>
      <c r="DB145" s="81"/>
      <c r="DC145" s="81"/>
      <c r="DD145" s="81"/>
      <c r="DE145" s="81"/>
      <c r="DF145" s="81"/>
      <c r="DG145" s="81"/>
      <c r="DH145" s="81"/>
      <c r="DI145" s="81"/>
      <c r="DJ145" s="81"/>
      <c r="DK145" s="81"/>
      <c r="DL145" s="81"/>
      <c r="DM145" s="81"/>
      <c r="DN145" s="81"/>
      <c r="DO145" s="81"/>
      <c r="DP145" s="81"/>
      <c r="DQ145" s="81"/>
      <c r="DR145" s="81"/>
      <c r="DS145" s="81"/>
      <c r="DT145" s="81"/>
      <c r="DU145" s="81"/>
      <c r="DV145" s="81"/>
      <c r="DW145" s="121"/>
    </row>
    <row r="146" spans="1:127" x14ac:dyDescent="0.25">
      <c r="A146" s="2">
        <f>COUNTIF($D$2:D146,'Reporte de Nomina'!$E$2)</f>
        <v>0</v>
      </c>
      <c r="B146" s="125">
        <f>Lista!A145</f>
        <v>0</v>
      </c>
      <c r="C146" s="125">
        <f>Lista!B145</f>
        <v>0</v>
      </c>
      <c r="D146" s="125">
        <f>Lista!C145</f>
        <v>0</v>
      </c>
      <c r="E146" s="125">
        <f>Lista!D145</f>
        <v>0</v>
      </c>
      <c r="F146" s="125">
        <f>Lista!E145</f>
        <v>0</v>
      </c>
      <c r="G146" s="125">
        <f>Lista!F145</f>
        <v>0</v>
      </c>
      <c r="H146" s="125">
        <f>Lista!G145</f>
        <v>0</v>
      </c>
      <c r="I146" s="125">
        <f>Lista!H145</f>
        <v>0</v>
      </c>
      <c r="J146" s="125">
        <f>Lista!I145</f>
        <v>0</v>
      </c>
      <c r="K146" s="125">
        <f>Lista!J145</f>
        <v>0</v>
      </c>
      <c r="L146" s="125">
        <f>Lista!K145</f>
        <v>0</v>
      </c>
      <c r="M146" s="125">
        <f>Lista!L145</f>
        <v>0</v>
      </c>
      <c r="N146" s="125">
        <f>Lista!M145</f>
        <v>0</v>
      </c>
      <c r="O146" s="125">
        <f>Lista!N145</f>
        <v>0</v>
      </c>
      <c r="P146" s="125">
        <f>Lista!O145</f>
        <v>0</v>
      </c>
      <c r="Q146" s="125">
        <f>Lista!P145</f>
        <v>0</v>
      </c>
      <c r="R146" s="125">
        <f>Lista!Q145</f>
        <v>0</v>
      </c>
      <c r="S146" s="125">
        <f>Lista!R145</f>
        <v>0</v>
      </c>
      <c r="T146" s="81"/>
      <c r="U146" s="81"/>
      <c r="V146" s="81"/>
      <c r="W146" s="81"/>
      <c r="X146" s="81"/>
      <c r="Y146" s="81"/>
      <c r="Z146" s="81"/>
      <c r="AA146" s="81"/>
      <c r="AB146" s="81"/>
      <c r="AC146" s="81"/>
      <c r="AD146" s="81"/>
      <c r="AE146" s="81"/>
      <c r="AF146" s="81"/>
      <c r="AG146" s="81"/>
      <c r="AH146" s="81"/>
      <c r="AI146" s="81"/>
      <c r="AJ146" s="81"/>
      <c r="AK146" s="81"/>
      <c r="AL146" s="81"/>
      <c r="AM146" s="81"/>
      <c r="AN146" s="81"/>
      <c r="AO146" s="81"/>
      <c r="AP146" s="81"/>
      <c r="AQ146" s="81"/>
      <c r="AR146" s="81"/>
      <c r="AS146" s="81"/>
      <c r="AT146" s="81"/>
      <c r="AU146" s="81"/>
      <c r="AV146" s="81"/>
      <c r="AW146" s="81"/>
      <c r="AX146" s="81"/>
      <c r="AY146" s="81"/>
      <c r="AZ146" s="81"/>
      <c r="BA146" s="81"/>
      <c r="BB146" s="81"/>
      <c r="BC146" s="81"/>
      <c r="BD146" s="81"/>
      <c r="BE146" s="81"/>
      <c r="BF146" s="81"/>
      <c r="BG146" s="81"/>
      <c r="BH146" s="81"/>
      <c r="BI146" s="81"/>
      <c r="BJ146" s="81"/>
      <c r="BK146" s="81"/>
      <c r="BL146" s="81"/>
      <c r="BM146" s="81"/>
      <c r="BN146" s="81"/>
      <c r="BO146" s="81"/>
      <c r="BP146" s="81"/>
      <c r="BQ146" s="81"/>
      <c r="BR146" s="81"/>
      <c r="BS146" s="81"/>
      <c r="BT146" s="81"/>
      <c r="BU146" s="81"/>
      <c r="BV146" s="81"/>
      <c r="BW146" s="81"/>
      <c r="BX146" s="81"/>
      <c r="BY146" s="81"/>
      <c r="BZ146" s="81"/>
      <c r="CA146" s="81"/>
      <c r="CB146" s="81"/>
      <c r="CC146" s="81"/>
      <c r="CD146" s="81"/>
      <c r="CE146" s="81"/>
      <c r="CF146" s="81"/>
      <c r="CG146" s="81"/>
      <c r="CH146" s="81"/>
      <c r="CI146" s="81"/>
      <c r="CJ146" s="81"/>
      <c r="CK146" s="81"/>
      <c r="CL146" s="81"/>
      <c r="CM146" s="81"/>
      <c r="CN146" s="81"/>
      <c r="CO146" s="81"/>
      <c r="CP146" s="81"/>
      <c r="CQ146" s="81"/>
      <c r="CR146" s="81"/>
      <c r="CS146" s="81"/>
      <c r="CT146" s="81"/>
      <c r="CU146" s="81"/>
      <c r="CV146" s="81"/>
      <c r="CW146" s="81"/>
      <c r="CX146" s="81"/>
      <c r="CY146" s="81"/>
      <c r="CZ146" s="81"/>
      <c r="DA146" s="81"/>
      <c r="DB146" s="81"/>
      <c r="DC146" s="81"/>
      <c r="DD146" s="81"/>
      <c r="DE146" s="81"/>
      <c r="DF146" s="81"/>
      <c r="DG146" s="81"/>
      <c r="DH146" s="81"/>
      <c r="DI146" s="81"/>
      <c r="DJ146" s="81"/>
      <c r="DK146" s="81"/>
      <c r="DL146" s="81"/>
      <c r="DM146" s="81"/>
      <c r="DN146" s="81"/>
      <c r="DO146" s="81"/>
      <c r="DP146" s="81"/>
      <c r="DQ146" s="81"/>
      <c r="DR146" s="81"/>
      <c r="DS146" s="81"/>
      <c r="DT146" s="81"/>
      <c r="DU146" s="81"/>
      <c r="DV146" s="81"/>
      <c r="DW146" s="121"/>
    </row>
    <row r="147" spans="1:127" x14ac:dyDescent="0.25">
      <c r="A147" s="2">
        <f>COUNTIF($D$2:D147,'Reporte de Nomina'!$E$2)</f>
        <v>0</v>
      </c>
      <c r="B147" s="125">
        <f>Lista!A146</f>
        <v>0</v>
      </c>
      <c r="C147" s="125">
        <f>Lista!B146</f>
        <v>0</v>
      </c>
      <c r="D147" s="125">
        <f>Lista!C146</f>
        <v>0</v>
      </c>
      <c r="E147" s="125">
        <f>Lista!D146</f>
        <v>0</v>
      </c>
      <c r="F147" s="125">
        <f>Lista!E146</f>
        <v>0</v>
      </c>
      <c r="G147" s="125">
        <f>Lista!F146</f>
        <v>0</v>
      </c>
      <c r="H147" s="125">
        <f>Lista!G146</f>
        <v>0</v>
      </c>
      <c r="I147" s="125">
        <f>Lista!H146</f>
        <v>0</v>
      </c>
      <c r="J147" s="125">
        <f>Lista!I146</f>
        <v>0</v>
      </c>
      <c r="K147" s="125">
        <f>Lista!J146</f>
        <v>0</v>
      </c>
      <c r="L147" s="125">
        <f>Lista!K146</f>
        <v>0</v>
      </c>
      <c r="M147" s="125">
        <f>Lista!L146</f>
        <v>0</v>
      </c>
      <c r="N147" s="125">
        <f>Lista!M146</f>
        <v>0</v>
      </c>
      <c r="O147" s="125">
        <f>Lista!N146</f>
        <v>0</v>
      </c>
      <c r="P147" s="125">
        <f>Lista!O146</f>
        <v>0</v>
      </c>
      <c r="Q147" s="125">
        <f>Lista!P146</f>
        <v>0</v>
      </c>
      <c r="R147" s="125">
        <f>Lista!Q146</f>
        <v>0</v>
      </c>
      <c r="S147" s="125">
        <f>Lista!R146</f>
        <v>0</v>
      </c>
      <c r="T147" s="81"/>
      <c r="U147" s="81"/>
      <c r="V147" s="81"/>
      <c r="W147" s="81"/>
      <c r="X147" s="81"/>
      <c r="Y147" s="81"/>
      <c r="Z147" s="81"/>
      <c r="AA147" s="81"/>
      <c r="AB147" s="81"/>
      <c r="AC147" s="81"/>
      <c r="AD147" s="81"/>
      <c r="AE147" s="81"/>
      <c r="AF147" s="81"/>
      <c r="AG147" s="81"/>
      <c r="AH147" s="81"/>
      <c r="AI147" s="81"/>
      <c r="AJ147" s="81"/>
      <c r="AK147" s="81"/>
      <c r="AL147" s="81"/>
      <c r="AM147" s="81"/>
      <c r="AN147" s="81"/>
      <c r="AO147" s="81"/>
      <c r="AP147" s="81"/>
      <c r="AQ147" s="81"/>
      <c r="AR147" s="81"/>
      <c r="AS147" s="81"/>
      <c r="AT147" s="81"/>
      <c r="AU147" s="81"/>
      <c r="AV147" s="81"/>
      <c r="AW147" s="81"/>
      <c r="AX147" s="81"/>
      <c r="AY147" s="81"/>
      <c r="AZ147" s="81"/>
      <c r="BA147" s="81"/>
      <c r="BB147" s="81"/>
      <c r="BC147" s="81"/>
      <c r="BD147" s="81"/>
      <c r="BE147" s="81"/>
      <c r="BF147" s="81"/>
      <c r="BG147" s="81"/>
      <c r="BH147" s="81"/>
      <c r="BI147" s="81"/>
      <c r="BJ147" s="81"/>
      <c r="BK147" s="81"/>
      <c r="BL147" s="81"/>
      <c r="BM147" s="81"/>
      <c r="BN147" s="81"/>
      <c r="BO147" s="81"/>
      <c r="BP147" s="81"/>
      <c r="BQ147" s="81"/>
      <c r="BR147" s="81"/>
      <c r="BS147" s="81"/>
      <c r="BT147" s="81"/>
      <c r="BU147" s="81"/>
      <c r="BV147" s="81"/>
      <c r="BW147" s="81"/>
      <c r="BX147" s="81"/>
      <c r="BY147" s="81"/>
      <c r="BZ147" s="81"/>
      <c r="CA147" s="81"/>
      <c r="CB147" s="81"/>
      <c r="CC147" s="81"/>
      <c r="CD147" s="81"/>
      <c r="CE147" s="81"/>
      <c r="CF147" s="81"/>
      <c r="CG147" s="81"/>
      <c r="CH147" s="81"/>
      <c r="CI147" s="81"/>
      <c r="CJ147" s="81"/>
      <c r="CK147" s="81"/>
      <c r="CL147" s="81"/>
      <c r="CM147" s="81"/>
      <c r="CN147" s="81"/>
      <c r="CO147" s="81"/>
      <c r="CP147" s="81"/>
      <c r="CQ147" s="81"/>
      <c r="CR147" s="81"/>
      <c r="CS147" s="81"/>
      <c r="CT147" s="81"/>
      <c r="CU147" s="81"/>
      <c r="CV147" s="81"/>
      <c r="CW147" s="81"/>
      <c r="CX147" s="81"/>
      <c r="CY147" s="81"/>
      <c r="CZ147" s="81"/>
      <c r="DA147" s="81"/>
      <c r="DB147" s="81"/>
      <c r="DC147" s="81"/>
      <c r="DD147" s="81"/>
      <c r="DE147" s="81"/>
      <c r="DF147" s="81"/>
      <c r="DG147" s="81"/>
      <c r="DH147" s="81"/>
      <c r="DI147" s="81"/>
      <c r="DJ147" s="81"/>
      <c r="DK147" s="81"/>
      <c r="DL147" s="81"/>
      <c r="DM147" s="81"/>
      <c r="DN147" s="81"/>
      <c r="DO147" s="81"/>
      <c r="DP147" s="81"/>
      <c r="DQ147" s="81"/>
      <c r="DR147" s="81"/>
      <c r="DS147" s="81"/>
      <c r="DT147" s="81"/>
      <c r="DU147" s="81"/>
      <c r="DV147" s="81"/>
      <c r="DW147" s="121"/>
    </row>
    <row r="148" spans="1:127" x14ac:dyDescent="0.25">
      <c r="A148" s="2">
        <f>COUNTIF($D$2:D148,'Reporte de Nomina'!$E$2)</f>
        <v>0</v>
      </c>
      <c r="B148" s="125">
        <f>Lista!A147</f>
        <v>0</v>
      </c>
      <c r="C148" s="125">
        <f>Lista!B147</f>
        <v>0</v>
      </c>
      <c r="D148" s="125">
        <f>Lista!C147</f>
        <v>0</v>
      </c>
      <c r="E148" s="125">
        <f>Lista!D147</f>
        <v>0</v>
      </c>
      <c r="F148" s="125">
        <f>Lista!E147</f>
        <v>0</v>
      </c>
      <c r="G148" s="125">
        <f>Lista!F147</f>
        <v>0</v>
      </c>
      <c r="H148" s="125">
        <f>Lista!G147</f>
        <v>0</v>
      </c>
      <c r="I148" s="125">
        <f>Lista!H147</f>
        <v>0</v>
      </c>
      <c r="J148" s="125">
        <f>Lista!I147</f>
        <v>0</v>
      </c>
      <c r="K148" s="125">
        <f>Lista!J147</f>
        <v>0</v>
      </c>
      <c r="L148" s="125">
        <f>Lista!K147</f>
        <v>0</v>
      </c>
      <c r="M148" s="125">
        <f>Lista!L147</f>
        <v>0</v>
      </c>
      <c r="N148" s="125">
        <f>Lista!M147</f>
        <v>0</v>
      </c>
      <c r="O148" s="125">
        <f>Lista!N147</f>
        <v>0</v>
      </c>
      <c r="P148" s="125">
        <f>Lista!O147</f>
        <v>0</v>
      </c>
      <c r="Q148" s="125">
        <f>Lista!P147</f>
        <v>0</v>
      </c>
      <c r="R148" s="125">
        <f>Lista!Q147</f>
        <v>0</v>
      </c>
      <c r="S148" s="125">
        <f>Lista!R147</f>
        <v>0</v>
      </c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  <c r="BX148" s="81"/>
      <c r="BY148" s="81"/>
      <c r="BZ148" s="81"/>
      <c r="CA148" s="81"/>
      <c r="CB148" s="81"/>
      <c r="CC148" s="81"/>
      <c r="CD148" s="81"/>
      <c r="CE148" s="81"/>
      <c r="CF148" s="81"/>
      <c r="CG148" s="81"/>
      <c r="CH148" s="81"/>
      <c r="CI148" s="81"/>
      <c r="CJ148" s="81"/>
      <c r="CK148" s="81"/>
      <c r="CL148" s="81"/>
      <c r="CM148" s="81"/>
      <c r="CN148" s="81"/>
      <c r="CO148" s="81"/>
      <c r="CP148" s="81"/>
      <c r="CQ148" s="81"/>
      <c r="CR148" s="81"/>
      <c r="CS148" s="81"/>
      <c r="CT148" s="81"/>
      <c r="CU148" s="81"/>
      <c r="CV148" s="81"/>
      <c r="CW148" s="81"/>
      <c r="CX148" s="81"/>
      <c r="CY148" s="81"/>
      <c r="CZ148" s="81"/>
      <c r="DA148" s="81"/>
      <c r="DB148" s="81"/>
      <c r="DC148" s="81"/>
      <c r="DD148" s="81"/>
      <c r="DE148" s="81"/>
      <c r="DF148" s="81"/>
      <c r="DG148" s="81"/>
      <c r="DH148" s="81"/>
      <c r="DI148" s="81"/>
      <c r="DJ148" s="81"/>
      <c r="DK148" s="81"/>
      <c r="DL148" s="81"/>
      <c r="DM148" s="81"/>
      <c r="DN148" s="81"/>
      <c r="DO148" s="81"/>
      <c r="DP148" s="81"/>
      <c r="DQ148" s="81"/>
      <c r="DR148" s="81"/>
      <c r="DS148" s="81"/>
      <c r="DT148" s="81"/>
      <c r="DU148" s="81"/>
      <c r="DV148" s="81"/>
      <c r="DW148" s="121"/>
    </row>
    <row r="149" spans="1:127" x14ac:dyDescent="0.25">
      <c r="A149" s="2">
        <f>COUNTIF($D$2:D149,'Reporte de Nomina'!$E$2)</f>
        <v>0</v>
      </c>
      <c r="B149" s="125">
        <f>Lista!A148</f>
        <v>0</v>
      </c>
      <c r="C149" s="125">
        <f>Lista!B148</f>
        <v>0</v>
      </c>
      <c r="D149" s="125">
        <f>Lista!C148</f>
        <v>0</v>
      </c>
      <c r="E149" s="125">
        <f>Lista!D148</f>
        <v>0</v>
      </c>
      <c r="F149" s="125">
        <f>Lista!E148</f>
        <v>0</v>
      </c>
      <c r="G149" s="125">
        <f>Lista!F148</f>
        <v>0</v>
      </c>
      <c r="H149" s="125">
        <f>Lista!G148</f>
        <v>0</v>
      </c>
      <c r="I149" s="125">
        <f>Lista!H148</f>
        <v>0</v>
      </c>
      <c r="J149" s="125">
        <f>Lista!I148</f>
        <v>0</v>
      </c>
      <c r="K149" s="125">
        <f>Lista!J148</f>
        <v>0</v>
      </c>
      <c r="L149" s="125">
        <f>Lista!K148</f>
        <v>0</v>
      </c>
      <c r="M149" s="125">
        <f>Lista!L148</f>
        <v>0</v>
      </c>
      <c r="N149" s="125">
        <f>Lista!M148</f>
        <v>0</v>
      </c>
      <c r="O149" s="125">
        <f>Lista!N148</f>
        <v>0</v>
      </c>
      <c r="P149" s="125">
        <f>Lista!O148</f>
        <v>0</v>
      </c>
      <c r="Q149" s="125">
        <f>Lista!P148</f>
        <v>0</v>
      </c>
      <c r="R149" s="125">
        <f>Lista!Q148</f>
        <v>0</v>
      </c>
      <c r="S149" s="125">
        <f>Lista!R148</f>
        <v>0</v>
      </c>
      <c r="T149" s="81"/>
      <c r="U149" s="81"/>
      <c r="V149" s="81"/>
      <c r="W149" s="81"/>
      <c r="X149" s="81"/>
      <c r="Y149" s="81"/>
      <c r="Z149" s="81"/>
      <c r="AA149" s="81"/>
      <c r="AB149" s="81"/>
      <c r="AC149" s="81"/>
      <c r="AD149" s="81"/>
      <c r="AE149" s="81"/>
      <c r="AF149" s="81"/>
      <c r="AG149" s="81"/>
      <c r="AH149" s="81"/>
      <c r="AI149" s="81"/>
      <c r="AJ149" s="81"/>
      <c r="AK149" s="81"/>
      <c r="AL149" s="81"/>
      <c r="AM149" s="81"/>
      <c r="AN149" s="81"/>
      <c r="AO149" s="81"/>
      <c r="AP149" s="81"/>
      <c r="AQ149" s="81"/>
      <c r="AR149" s="81"/>
      <c r="AS149" s="81"/>
      <c r="AT149" s="81"/>
      <c r="AU149" s="81"/>
      <c r="AV149" s="81"/>
      <c r="AW149" s="81"/>
      <c r="AX149" s="81"/>
      <c r="AY149" s="81"/>
      <c r="AZ149" s="81"/>
      <c r="BA149" s="81"/>
      <c r="BB149" s="81"/>
      <c r="BC149" s="81"/>
      <c r="BD149" s="81"/>
      <c r="BE149" s="81"/>
      <c r="BF149" s="81"/>
      <c r="BG149" s="81"/>
      <c r="BH149" s="81"/>
      <c r="BI149" s="81"/>
      <c r="BJ149" s="81"/>
      <c r="BK149" s="81"/>
      <c r="BL149" s="81"/>
      <c r="BM149" s="81"/>
      <c r="BN149" s="81"/>
      <c r="BO149" s="81"/>
      <c r="BP149" s="81"/>
      <c r="BQ149" s="81"/>
      <c r="BR149" s="81"/>
      <c r="BS149" s="81"/>
      <c r="BT149" s="81"/>
      <c r="BU149" s="81"/>
      <c r="BV149" s="81"/>
      <c r="BW149" s="81"/>
      <c r="BX149" s="81"/>
      <c r="BY149" s="81"/>
      <c r="BZ149" s="81"/>
      <c r="CA149" s="81"/>
      <c r="CB149" s="81"/>
      <c r="CC149" s="81"/>
      <c r="CD149" s="81"/>
      <c r="CE149" s="81"/>
      <c r="CF149" s="81"/>
      <c r="CG149" s="81"/>
      <c r="CH149" s="81"/>
      <c r="CI149" s="81"/>
      <c r="CJ149" s="81"/>
      <c r="CK149" s="81"/>
      <c r="CL149" s="81"/>
      <c r="CM149" s="81"/>
      <c r="CN149" s="81"/>
      <c r="CO149" s="81"/>
      <c r="CP149" s="81"/>
      <c r="CQ149" s="81"/>
      <c r="CR149" s="81"/>
      <c r="CS149" s="81"/>
      <c r="CT149" s="81"/>
      <c r="CU149" s="81"/>
      <c r="CV149" s="81"/>
      <c r="CW149" s="81"/>
      <c r="CX149" s="81"/>
      <c r="CY149" s="81"/>
      <c r="CZ149" s="81"/>
      <c r="DA149" s="81"/>
      <c r="DB149" s="81"/>
      <c r="DC149" s="81"/>
      <c r="DD149" s="81"/>
      <c r="DE149" s="81"/>
      <c r="DF149" s="81"/>
      <c r="DG149" s="81"/>
      <c r="DH149" s="81"/>
      <c r="DI149" s="81"/>
      <c r="DJ149" s="81"/>
      <c r="DK149" s="81"/>
      <c r="DL149" s="81"/>
      <c r="DM149" s="81"/>
      <c r="DN149" s="81"/>
      <c r="DO149" s="81"/>
      <c r="DP149" s="81"/>
      <c r="DQ149" s="81"/>
      <c r="DR149" s="81"/>
      <c r="DS149" s="81"/>
      <c r="DT149" s="81"/>
      <c r="DU149" s="81"/>
      <c r="DV149" s="81"/>
      <c r="DW149" s="121"/>
    </row>
    <row r="150" spans="1:127" x14ac:dyDescent="0.25">
      <c r="A150" s="2">
        <f>COUNTIF($D$2:D150,'Reporte de Nomina'!$E$2)</f>
        <v>0</v>
      </c>
      <c r="B150" s="125">
        <f>Lista!A149</f>
        <v>0</v>
      </c>
      <c r="C150" s="125">
        <f>Lista!B149</f>
        <v>0</v>
      </c>
      <c r="D150" s="125">
        <f>Lista!C149</f>
        <v>0</v>
      </c>
      <c r="E150" s="125">
        <f>Lista!D149</f>
        <v>0</v>
      </c>
      <c r="F150" s="125">
        <f>Lista!E149</f>
        <v>0</v>
      </c>
      <c r="G150" s="125">
        <f>Lista!F149</f>
        <v>0</v>
      </c>
      <c r="H150" s="125">
        <f>Lista!G149</f>
        <v>0</v>
      </c>
      <c r="I150" s="125">
        <f>Lista!H149</f>
        <v>0</v>
      </c>
      <c r="J150" s="125">
        <f>Lista!I149</f>
        <v>0</v>
      </c>
      <c r="K150" s="125">
        <f>Lista!J149</f>
        <v>0</v>
      </c>
      <c r="L150" s="125">
        <f>Lista!K149</f>
        <v>0</v>
      </c>
      <c r="M150" s="125">
        <f>Lista!L149</f>
        <v>0</v>
      </c>
      <c r="N150" s="125">
        <f>Lista!M149</f>
        <v>0</v>
      </c>
      <c r="O150" s="125">
        <f>Lista!N149</f>
        <v>0</v>
      </c>
      <c r="P150" s="125">
        <f>Lista!O149</f>
        <v>0</v>
      </c>
      <c r="Q150" s="125">
        <f>Lista!P149</f>
        <v>0</v>
      </c>
      <c r="R150" s="125">
        <f>Lista!Q149</f>
        <v>0</v>
      </c>
      <c r="S150" s="125">
        <f>Lista!R149</f>
        <v>0</v>
      </c>
      <c r="T150" s="81"/>
      <c r="U150" s="81"/>
      <c r="V150" s="81"/>
      <c r="W150" s="81"/>
      <c r="X150" s="81"/>
      <c r="Y150" s="81"/>
      <c r="Z150" s="81"/>
      <c r="AA150" s="81"/>
      <c r="AB150" s="81"/>
      <c r="AC150" s="81"/>
      <c r="AD150" s="81"/>
      <c r="AE150" s="81"/>
      <c r="AF150" s="81"/>
      <c r="AG150" s="81"/>
      <c r="AH150" s="81"/>
      <c r="AI150" s="81"/>
      <c r="AJ150" s="81"/>
      <c r="AK150" s="81"/>
      <c r="AL150" s="81"/>
      <c r="AM150" s="81"/>
      <c r="AN150" s="81"/>
      <c r="AO150" s="81"/>
      <c r="AP150" s="81"/>
      <c r="AQ150" s="81"/>
      <c r="AR150" s="81"/>
      <c r="AS150" s="81"/>
      <c r="AT150" s="81"/>
      <c r="AU150" s="81"/>
      <c r="AV150" s="81"/>
      <c r="AW150" s="81"/>
      <c r="AX150" s="81"/>
      <c r="AY150" s="81"/>
      <c r="AZ150" s="81"/>
      <c r="BA150" s="81"/>
      <c r="BB150" s="81"/>
      <c r="BC150" s="81"/>
      <c r="BD150" s="81"/>
      <c r="BE150" s="81"/>
      <c r="BF150" s="81"/>
      <c r="BG150" s="81"/>
      <c r="BH150" s="81"/>
      <c r="BI150" s="81"/>
      <c r="BJ150" s="81"/>
      <c r="BK150" s="81"/>
      <c r="BL150" s="81"/>
      <c r="BM150" s="81"/>
      <c r="BN150" s="81"/>
      <c r="BO150" s="81"/>
      <c r="BP150" s="81"/>
      <c r="BQ150" s="81"/>
      <c r="BR150" s="81"/>
      <c r="BS150" s="81"/>
      <c r="BT150" s="81"/>
      <c r="BU150" s="81"/>
      <c r="BV150" s="81"/>
      <c r="BW150" s="81"/>
      <c r="BX150" s="81"/>
      <c r="BY150" s="81"/>
      <c r="BZ150" s="81"/>
      <c r="CA150" s="81"/>
      <c r="CB150" s="81"/>
      <c r="CC150" s="81"/>
      <c r="CD150" s="81"/>
      <c r="CE150" s="81"/>
      <c r="CF150" s="81"/>
      <c r="CG150" s="81"/>
      <c r="CH150" s="81"/>
      <c r="CI150" s="81"/>
      <c r="CJ150" s="81"/>
      <c r="CK150" s="81"/>
      <c r="CL150" s="81"/>
      <c r="CM150" s="81"/>
      <c r="CN150" s="81"/>
      <c r="CO150" s="81"/>
      <c r="CP150" s="81"/>
      <c r="CQ150" s="81"/>
      <c r="CR150" s="81"/>
      <c r="CS150" s="81"/>
      <c r="CT150" s="81"/>
      <c r="CU150" s="81"/>
      <c r="CV150" s="81"/>
      <c r="CW150" s="81"/>
      <c r="CX150" s="81"/>
      <c r="CY150" s="81"/>
      <c r="CZ150" s="81"/>
      <c r="DA150" s="81"/>
      <c r="DB150" s="81"/>
      <c r="DC150" s="81"/>
      <c r="DD150" s="81"/>
      <c r="DE150" s="81"/>
      <c r="DF150" s="81"/>
      <c r="DG150" s="81"/>
      <c r="DH150" s="81"/>
      <c r="DI150" s="81"/>
      <c r="DJ150" s="81"/>
      <c r="DK150" s="81"/>
      <c r="DL150" s="81"/>
      <c r="DM150" s="81"/>
      <c r="DN150" s="81"/>
      <c r="DO150" s="81"/>
      <c r="DP150" s="81"/>
      <c r="DQ150" s="81"/>
      <c r="DR150" s="81"/>
      <c r="DS150" s="81"/>
      <c r="DT150" s="81"/>
      <c r="DU150" s="81"/>
      <c r="DV150" s="81"/>
      <c r="DW150" s="121"/>
    </row>
    <row r="151" spans="1:127" x14ac:dyDescent="0.25">
      <c r="A151" s="2">
        <f>COUNTIF($D$2:D151,'Reporte de Nomina'!$E$2)</f>
        <v>0</v>
      </c>
      <c r="B151" s="125">
        <f>Lista!A150</f>
        <v>0</v>
      </c>
      <c r="C151" s="125">
        <f>Lista!B150</f>
        <v>0</v>
      </c>
      <c r="D151" s="125">
        <f>Lista!C150</f>
        <v>0</v>
      </c>
      <c r="E151" s="125">
        <f>Lista!D150</f>
        <v>0</v>
      </c>
      <c r="F151" s="125">
        <f>Lista!E150</f>
        <v>0</v>
      </c>
      <c r="G151" s="125">
        <f>Lista!F150</f>
        <v>0</v>
      </c>
      <c r="H151" s="125">
        <f>Lista!G150</f>
        <v>0</v>
      </c>
      <c r="I151" s="125">
        <f>Lista!H150</f>
        <v>0</v>
      </c>
      <c r="J151" s="125">
        <f>Lista!I150</f>
        <v>0</v>
      </c>
      <c r="K151" s="125">
        <f>Lista!J150</f>
        <v>0</v>
      </c>
      <c r="L151" s="125">
        <f>Lista!K150</f>
        <v>0</v>
      </c>
      <c r="M151" s="125">
        <f>Lista!L150</f>
        <v>0</v>
      </c>
      <c r="N151" s="125">
        <f>Lista!M150</f>
        <v>0</v>
      </c>
      <c r="O151" s="125">
        <f>Lista!N150</f>
        <v>0</v>
      </c>
      <c r="P151" s="125">
        <f>Lista!O150</f>
        <v>0</v>
      </c>
      <c r="Q151" s="125">
        <f>Lista!P150</f>
        <v>0</v>
      </c>
      <c r="R151" s="125">
        <f>Lista!Q150</f>
        <v>0</v>
      </c>
      <c r="S151" s="125">
        <f>Lista!R150</f>
        <v>0</v>
      </c>
      <c r="T151" s="81"/>
      <c r="U151" s="81"/>
      <c r="V151" s="81"/>
      <c r="W151" s="81"/>
      <c r="X151" s="81"/>
      <c r="Y151" s="81"/>
      <c r="Z151" s="81"/>
      <c r="AA151" s="81"/>
      <c r="AB151" s="81"/>
      <c r="AC151" s="81"/>
      <c r="AD151" s="81"/>
      <c r="AE151" s="81"/>
      <c r="AF151" s="81"/>
      <c r="AG151" s="81"/>
      <c r="AH151" s="81"/>
      <c r="AI151" s="81"/>
      <c r="AJ151" s="81"/>
      <c r="AK151" s="81"/>
      <c r="AL151" s="81"/>
      <c r="AM151" s="81"/>
      <c r="AN151" s="81"/>
      <c r="AO151" s="81"/>
      <c r="AP151" s="81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  <c r="BA151" s="81"/>
      <c r="BB151" s="81"/>
      <c r="BC151" s="81"/>
      <c r="BD151" s="81"/>
      <c r="BE151" s="81"/>
      <c r="BF151" s="81"/>
      <c r="BG151" s="81"/>
      <c r="BH151" s="81"/>
      <c r="BI151" s="81"/>
      <c r="BJ151" s="81"/>
      <c r="BK151" s="81"/>
      <c r="BL151" s="81"/>
      <c r="BM151" s="81"/>
      <c r="BN151" s="81"/>
      <c r="BO151" s="81"/>
      <c r="BP151" s="81"/>
      <c r="BQ151" s="81"/>
      <c r="BR151" s="81"/>
      <c r="BS151" s="81"/>
      <c r="BT151" s="81"/>
      <c r="BU151" s="81"/>
      <c r="BV151" s="81"/>
      <c r="BW151" s="81"/>
      <c r="BX151" s="81"/>
      <c r="BY151" s="81"/>
      <c r="BZ151" s="81"/>
      <c r="CA151" s="81"/>
      <c r="CB151" s="81"/>
      <c r="CC151" s="81"/>
      <c r="CD151" s="81"/>
      <c r="CE151" s="81"/>
      <c r="CF151" s="81"/>
      <c r="CG151" s="81"/>
      <c r="CH151" s="81"/>
      <c r="CI151" s="81"/>
      <c r="CJ151" s="81"/>
      <c r="CK151" s="81"/>
      <c r="CL151" s="81"/>
      <c r="CM151" s="81"/>
      <c r="CN151" s="81"/>
      <c r="CO151" s="81"/>
      <c r="CP151" s="81"/>
      <c r="CQ151" s="81"/>
      <c r="CR151" s="81"/>
      <c r="CS151" s="81"/>
      <c r="CT151" s="81"/>
      <c r="CU151" s="81"/>
      <c r="CV151" s="81"/>
      <c r="CW151" s="81"/>
      <c r="CX151" s="81"/>
      <c r="CY151" s="81"/>
      <c r="CZ151" s="81"/>
      <c r="DA151" s="81"/>
      <c r="DB151" s="81"/>
      <c r="DC151" s="81"/>
      <c r="DD151" s="81"/>
      <c r="DE151" s="81"/>
      <c r="DF151" s="81"/>
      <c r="DG151" s="81"/>
      <c r="DH151" s="81"/>
      <c r="DI151" s="81"/>
      <c r="DJ151" s="81"/>
      <c r="DK151" s="81"/>
      <c r="DL151" s="81"/>
      <c r="DM151" s="81"/>
      <c r="DN151" s="81"/>
      <c r="DO151" s="81"/>
      <c r="DP151" s="81"/>
      <c r="DQ151" s="81"/>
      <c r="DR151" s="81"/>
      <c r="DS151" s="81"/>
      <c r="DT151" s="81"/>
      <c r="DU151" s="81"/>
      <c r="DV151" s="81"/>
      <c r="DW151" s="121"/>
    </row>
    <row r="152" spans="1:127" x14ac:dyDescent="0.25">
      <c r="A152" s="2">
        <f>COUNTIF($D$2:D152,'Reporte de Nomina'!$E$2)</f>
        <v>0</v>
      </c>
      <c r="B152" s="125">
        <f>Lista!A151</f>
        <v>0</v>
      </c>
      <c r="C152" s="125">
        <f>Lista!B151</f>
        <v>0</v>
      </c>
      <c r="D152" s="125">
        <f>Lista!C151</f>
        <v>0</v>
      </c>
      <c r="E152" s="125">
        <f>Lista!D151</f>
        <v>0</v>
      </c>
      <c r="F152" s="125">
        <f>Lista!E151</f>
        <v>0</v>
      </c>
      <c r="G152" s="125">
        <f>Lista!F151</f>
        <v>0</v>
      </c>
      <c r="H152" s="125">
        <f>Lista!G151</f>
        <v>0</v>
      </c>
      <c r="I152" s="125">
        <f>Lista!H151</f>
        <v>0</v>
      </c>
      <c r="J152" s="125">
        <f>Lista!I151</f>
        <v>0</v>
      </c>
      <c r="K152" s="125">
        <f>Lista!J151</f>
        <v>0</v>
      </c>
      <c r="L152" s="125">
        <f>Lista!K151</f>
        <v>0</v>
      </c>
      <c r="M152" s="125">
        <f>Lista!L151</f>
        <v>0</v>
      </c>
      <c r="N152" s="125">
        <f>Lista!M151</f>
        <v>0</v>
      </c>
      <c r="O152" s="125">
        <f>Lista!N151</f>
        <v>0</v>
      </c>
      <c r="P152" s="125">
        <f>Lista!O151</f>
        <v>0</v>
      </c>
      <c r="Q152" s="125">
        <f>Lista!P151</f>
        <v>0</v>
      </c>
      <c r="R152" s="125">
        <f>Lista!Q151</f>
        <v>0</v>
      </c>
      <c r="S152" s="125">
        <f>Lista!R151</f>
        <v>0</v>
      </c>
      <c r="T152" s="81"/>
      <c r="U152" s="81"/>
      <c r="V152" s="81"/>
      <c r="W152" s="81"/>
      <c r="X152" s="81"/>
      <c r="Y152" s="81"/>
      <c r="Z152" s="81"/>
      <c r="AA152" s="81"/>
      <c r="AB152" s="81"/>
      <c r="AC152" s="81"/>
      <c r="AD152" s="81"/>
      <c r="AE152" s="81"/>
      <c r="AF152" s="81"/>
      <c r="AG152" s="81"/>
      <c r="AH152" s="81"/>
      <c r="AI152" s="81"/>
      <c r="AJ152" s="81"/>
      <c r="AK152" s="81"/>
      <c r="AL152" s="81"/>
      <c r="AM152" s="81"/>
      <c r="AN152" s="81"/>
      <c r="AO152" s="81"/>
      <c r="AP152" s="81"/>
      <c r="AQ152" s="81"/>
      <c r="AR152" s="81"/>
      <c r="AS152" s="81"/>
      <c r="AT152" s="81"/>
      <c r="AU152" s="81"/>
      <c r="AV152" s="81"/>
      <c r="AW152" s="81"/>
      <c r="AX152" s="81"/>
      <c r="AY152" s="81"/>
      <c r="AZ152" s="81"/>
      <c r="BA152" s="81"/>
      <c r="BB152" s="81"/>
      <c r="BC152" s="81"/>
      <c r="BD152" s="81"/>
      <c r="BE152" s="81"/>
      <c r="BF152" s="81"/>
      <c r="BG152" s="81"/>
      <c r="BH152" s="81"/>
      <c r="BI152" s="81"/>
      <c r="BJ152" s="81"/>
      <c r="BK152" s="81"/>
      <c r="BL152" s="81"/>
      <c r="BM152" s="81"/>
      <c r="BN152" s="81"/>
      <c r="BO152" s="81"/>
      <c r="BP152" s="81"/>
      <c r="BQ152" s="81"/>
      <c r="BR152" s="81"/>
      <c r="BS152" s="81"/>
      <c r="BT152" s="81"/>
      <c r="BU152" s="81"/>
      <c r="BV152" s="81"/>
      <c r="BW152" s="81"/>
      <c r="BX152" s="81"/>
      <c r="BY152" s="81"/>
      <c r="BZ152" s="81"/>
      <c r="CA152" s="81"/>
      <c r="CB152" s="81"/>
      <c r="CC152" s="81"/>
      <c r="CD152" s="81"/>
      <c r="CE152" s="81"/>
      <c r="CF152" s="81"/>
      <c r="CG152" s="81"/>
      <c r="CH152" s="81"/>
      <c r="CI152" s="81"/>
      <c r="CJ152" s="81"/>
      <c r="CK152" s="81"/>
      <c r="CL152" s="81"/>
      <c r="CM152" s="81"/>
      <c r="CN152" s="81"/>
      <c r="CO152" s="81"/>
      <c r="CP152" s="81"/>
      <c r="CQ152" s="81"/>
      <c r="CR152" s="81"/>
      <c r="CS152" s="81"/>
      <c r="CT152" s="81"/>
      <c r="CU152" s="81"/>
      <c r="CV152" s="81"/>
      <c r="CW152" s="81"/>
      <c r="CX152" s="81"/>
      <c r="CY152" s="81"/>
      <c r="CZ152" s="81"/>
      <c r="DA152" s="81"/>
      <c r="DB152" s="81"/>
      <c r="DC152" s="81"/>
      <c r="DD152" s="81"/>
      <c r="DE152" s="81"/>
      <c r="DF152" s="81"/>
      <c r="DG152" s="81"/>
      <c r="DH152" s="81"/>
      <c r="DI152" s="81"/>
      <c r="DJ152" s="81"/>
      <c r="DK152" s="81"/>
      <c r="DL152" s="81"/>
      <c r="DM152" s="81"/>
      <c r="DN152" s="81"/>
      <c r="DO152" s="81"/>
      <c r="DP152" s="81"/>
      <c r="DQ152" s="81"/>
      <c r="DR152" s="81"/>
      <c r="DS152" s="81"/>
      <c r="DT152" s="81"/>
      <c r="DU152" s="81"/>
      <c r="DV152" s="81"/>
      <c r="DW152" s="121"/>
    </row>
    <row r="153" spans="1:127" x14ac:dyDescent="0.25">
      <c r="A153" s="2">
        <f>COUNTIF($D$2:D153,'Reporte de Nomina'!$E$2)</f>
        <v>0</v>
      </c>
      <c r="B153" s="125">
        <f>Lista!A152</f>
        <v>0</v>
      </c>
      <c r="C153" s="125">
        <f>Lista!B152</f>
        <v>0</v>
      </c>
      <c r="D153" s="125">
        <f>Lista!C152</f>
        <v>0</v>
      </c>
      <c r="E153" s="125">
        <f>Lista!D152</f>
        <v>0</v>
      </c>
      <c r="F153" s="125">
        <f>Lista!E152</f>
        <v>0</v>
      </c>
      <c r="G153" s="125">
        <f>Lista!F152</f>
        <v>0</v>
      </c>
      <c r="H153" s="125">
        <f>Lista!G152</f>
        <v>0</v>
      </c>
      <c r="I153" s="125">
        <f>Lista!H152</f>
        <v>0</v>
      </c>
      <c r="J153" s="125">
        <f>Lista!I152</f>
        <v>0</v>
      </c>
      <c r="K153" s="125">
        <f>Lista!J152</f>
        <v>0</v>
      </c>
      <c r="L153" s="125">
        <f>Lista!K152</f>
        <v>0</v>
      </c>
      <c r="M153" s="125">
        <f>Lista!L152</f>
        <v>0</v>
      </c>
      <c r="N153" s="125">
        <f>Lista!M152</f>
        <v>0</v>
      </c>
      <c r="O153" s="125">
        <f>Lista!N152</f>
        <v>0</v>
      </c>
      <c r="P153" s="125">
        <f>Lista!O152</f>
        <v>0</v>
      </c>
      <c r="Q153" s="125">
        <f>Lista!P152</f>
        <v>0</v>
      </c>
      <c r="R153" s="125">
        <f>Lista!Q152</f>
        <v>0</v>
      </c>
      <c r="S153" s="125">
        <f>Lista!R152</f>
        <v>0</v>
      </c>
      <c r="T153" s="81"/>
      <c r="U153" s="81"/>
      <c r="V153" s="81"/>
      <c r="W153" s="81"/>
      <c r="X153" s="81"/>
      <c r="Y153" s="81"/>
      <c r="Z153" s="81"/>
      <c r="AA153" s="81"/>
      <c r="AB153" s="81"/>
      <c r="AC153" s="81"/>
      <c r="AD153" s="81"/>
      <c r="AE153" s="81"/>
      <c r="AF153" s="81"/>
      <c r="AG153" s="81"/>
      <c r="AH153" s="81"/>
      <c r="AI153" s="81"/>
      <c r="AJ153" s="81"/>
      <c r="AK153" s="81"/>
      <c r="AL153" s="81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  <c r="BA153" s="81"/>
      <c r="BB153" s="81"/>
      <c r="BC153" s="81"/>
      <c r="BD153" s="81"/>
      <c r="BE153" s="81"/>
      <c r="BF153" s="81"/>
      <c r="BG153" s="81"/>
      <c r="BH153" s="81"/>
      <c r="BI153" s="81"/>
      <c r="BJ153" s="81"/>
      <c r="BK153" s="81"/>
      <c r="BL153" s="81"/>
      <c r="BM153" s="81"/>
      <c r="BN153" s="81"/>
      <c r="BO153" s="81"/>
      <c r="BP153" s="81"/>
      <c r="BQ153" s="81"/>
      <c r="BR153" s="81"/>
      <c r="BS153" s="81"/>
      <c r="BT153" s="81"/>
      <c r="BU153" s="81"/>
      <c r="BV153" s="81"/>
      <c r="BW153" s="81"/>
      <c r="BX153" s="81"/>
      <c r="BY153" s="81"/>
      <c r="BZ153" s="81"/>
      <c r="CA153" s="81"/>
      <c r="CB153" s="81"/>
      <c r="CC153" s="81"/>
      <c r="CD153" s="81"/>
      <c r="CE153" s="81"/>
      <c r="CF153" s="81"/>
      <c r="CG153" s="81"/>
      <c r="CH153" s="81"/>
      <c r="CI153" s="81"/>
      <c r="CJ153" s="81"/>
      <c r="CK153" s="81"/>
      <c r="CL153" s="81"/>
      <c r="CM153" s="81"/>
      <c r="CN153" s="81"/>
      <c r="CO153" s="81"/>
      <c r="CP153" s="81"/>
      <c r="CQ153" s="81"/>
      <c r="CR153" s="81"/>
      <c r="CS153" s="81"/>
      <c r="CT153" s="81"/>
      <c r="CU153" s="81"/>
      <c r="CV153" s="81"/>
      <c r="CW153" s="81"/>
      <c r="CX153" s="81"/>
      <c r="CY153" s="81"/>
      <c r="CZ153" s="81"/>
      <c r="DA153" s="81"/>
      <c r="DB153" s="81"/>
      <c r="DC153" s="81"/>
      <c r="DD153" s="81"/>
      <c r="DE153" s="81"/>
      <c r="DF153" s="81"/>
      <c r="DG153" s="81"/>
      <c r="DH153" s="81"/>
      <c r="DI153" s="81"/>
      <c r="DJ153" s="81"/>
      <c r="DK153" s="81"/>
      <c r="DL153" s="81"/>
      <c r="DM153" s="81"/>
      <c r="DN153" s="81"/>
      <c r="DO153" s="81"/>
      <c r="DP153" s="81"/>
      <c r="DQ153" s="81"/>
      <c r="DR153" s="81"/>
      <c r="DS153" s="81"/>
      <c r="DT153" s="81"/>
      <c r="DU153" s="81"/>
      <c r="DV153" s="81"/>
      <c r="DW153" s="121"/>
    </row>
    <row r="154" spans="1:127" x14ac:dyDescent="0.25">
      <c r="A154" s="2">
        <f>COUNTIF($D$2:D154,'Reporte de Nomina'!$E$2)</f>
        <v>0</v>
      </c>
      <c r="B154" s="125">
        <f>Lista!A153</f>
        <v>0</v>
      </c>
      <c r="C154" s="125">
        <f>Lista!B153</f>
        <v>0</v>
      </c>
      <c r="D154" s="125">
        <f>Lista!C153</f>
        <v>0</v>
      </c>
      <c r="E154" s="125">
        <f>Lista!D153</f>
        <v>0</v>
      </c>
      <c r="F154" s="125">
        <f>Lista!E153</f>
        <v>0</v>
      </c>
      <c r="G154" s="125">
        <f>Lista!F153</f>
        <v>0</v>
      </c>
      <c r="H154" s="125">
        <f>Lista!G153</f>
        <v>0</v>
      </c>
      <c r="I154" s="125">
        <f>Lista!H153</f>
        <v>0</v>
      </c>
      <c r="J154" s="125">
        <f>Lista!I153</f>
        <v>0</v>
      </c>
      <c r="K154" s="125">
        <f>Lista!J153</f>
        <v>0</v>
      </c>
      <c r="L154" s="125">
        <f>Lista!K153</f>
        <v>0</v>
      </c>
      <c r="M154" s="125">
        <f>Lista!L153</f>
        <v>0</v>
      </c>
      <c r="N154" s="125">
        <f>Lista!M153</f>
        <v>0</v>
      </c>
      <c r="O154" s="125">
        <f>Lista!N153</f>
        <v>0</v>
      </c>
      <c r="P154" s="125">
        <f>Lista!O153</f>
        <v>0</v>
      </c>
      <c r="Q154" s="125">
        <f>Lista!P153</f>
        <v>0</v>
      </c>
      <c r="R154" s="125">
        <f>Lista!Q153</f>
        <v>0</v>
      </c>
      <c r="S154" s="125">
        <f>Lista!R153</f>
        <v>0</v>
      </c>
      <c r="T154" s="81"/>
      <c r="U154" s="81"/>
      <c r="V154" s="81"/>
      <c r="W154" s="81"/>
      <c r="X154" s="81"/>
      <c r="Y154" s="81"/>
      <c r="Z154" s="81"/>
      <c r="AA154" s="81"/>
      <c r="AB154" s="81"/>
      <c r="AC154" s="81"/>
      <c r="AD154" s="81"/>
      <c r="AE154" s="81"/>
      <c r="AF154" s="81"/>
      <c r="AG154" s="81"/>
      <c r="AH154" s="81"/>
      <c r="AI154" s="81"/>
      <c r="AJ154" s="81"/>
      <c r="AK154" s="81"/>
      <c r="AL154" s="81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  <c r="BA154" s="81"/>
      <c r="BB154" s="81"/>
      <c r="BC154" s="81"/>
      <c r="BD154" s="81"/>
      <c r="BE154" s="81"/>
      <c r="BF154" s="81"/>
      <c r="BG154" s="81"/>
      <c r="BH154" s="81"/>
      <c r="BI154" s="81"/>
      <c r="BJ154" s="81"/>
      <c r="BK154" s="81"/>
      <c r="BL154" s="81"/>
      <c r="BM154" s="81"/>
      <c r="BN154" s="81"/>
      <c r="BO154" s="81"/>
      <c r="BP154" s="81"/>
      <c r="BQ154" s="81"/>
      <c r="BR154" s="81"/>
      <c r="BS154" s="81"/>
      <c r="BT154" s="81"/>
      <c r="BU154" s="81"/>
      <c r="BV154" s="81"/>
      <c r="BW154" s="81"/>
      <c r="BX154" s="81"/>
      <c r="BY154" s="81"/>
      <c r="BZ154" s="81"/>
      <c r="CA154" s="81"/>
      <c r="CB154" s="81"/>
      <c r="CC154" s="81"/>
      <c r="CD154" s="81"/>
      <c r="CE154" s="81"/>
      <c r="CF154" s="81"/>
      <c r="CG154" s="81"/>
      <c r="CH154" s="81"/>
      <c r="CI154" s="81"/>
      <c r="CJ154" s="81"/>
      <c r="CK154" s="81"/>
      <c r="CL154" s="81"/>
      <c r="CM154" s="81"/>
      <c r="CN154" s="81"/>
      <c r="CO154" s="81"/>
      <c r="CP154" s="81"/>
      <c r="CQ154" s="81"/>
      <c r="CR154" s="81"/>
      <c r="CS154" s="81"/>
      <c r="CT154" s="81"/>
      <c r="CU154" s="81"/>
      <c r="CV154" s="81"/>
      <c r="CW154" s="81"/>
      <c r="CX154" s="81"/>
      <c r="CY154" s="81"/>
      <c r="CZ154" s="81"/>
      <c r="DA154" s="81"/>
      <c r="DB154" s="81"/>
      <c r="DC154" s="81"/>
      <c r="DD154" s="81"/>
      <c r="DE154" s="81"/>
      <c r="DF154" s="81"/>
      <c r="DG154" s="81"/>
      <c r="DH154" s="81"/>
      <c r="DI154" s="81"/>
      <c r="DJ154" s="81"/>
      <c r="DK154" s="81"/>
      <c r="DL154" s="81"/>
      <c r="DM154" s="81"/>
      <c r="DN154" s="81"/>
      <c r="DO154" s="81"/>
      <c r="DP154" s="81"/>
      <c r="DQ154" s="81"/>
      <c r="DR154" s="81"/>
      <c r="DS154" s="81"/>
      <c r="DT154" s="81"/>
      <c r="DU154" s="81"/>
      <c r="DV154" s="81"/>
      <c r="DW154" s="121"/>
    </row>
    <row r="155" spans="1:127" x14ac:dyDescent="0.25">
      <c r="A155" s="2">
        <f>COUNTIF($D$2:D155,'Reporte de Nomina'!$E$2)</f>
        <v>0</v>
      </c>
      <c r="B155" s="125">
        <f>Lista!A154</f>
        <v>0</v>
      </c>
      <c r="C155" s="125">
        <f>Lista!B154</f>
        <v>0</v>
      </c>
      <c r="D155" s="125">
        <f>Lista!C154</f>
        <v>0</v>
      </c>
      <c r="E155" s="125">
        <f>Lista!D154</f>
        <v>0</v>
      </c>
      <c r="F155" s="125">
        <f>Lista!E154</f>
        <v>0</v>
      </c>
      <c r="G155" s="125">
        <f>Lista!F154</f>
        <v>0</v>
      </c>
      <c r="H155" s="125">
        <f>Lista!G154</f>
        <v>0</v>
      </c>
      <c r="I155" s="125">
        <f>Lista!H154</f>
        <v>0</v>
      </c>
      <c r="J155" s="125">
        <f>Lista!I154</f>
        <v>0</v>
      </c>
      <c r="K155" s="125">
        <f>Lista!J154</f>
        <v>0</v>
      </c>
      <c r="L155" s="125">
        <f>Lista!K154</f>
        <v>0</v>
      </c>
      <c r="M155" s="125">
        <f>Lista!L154</f>
        <v>0</v>
      </c>
      <c r="N155" s="125">
        <f>Lista!M154</f>
        <v>0</v>
      </c>
      <c r="O155" s="125">
        <f>Lista!N154</f>
        <v>0</v>
      </c>
      <c r="P155" s="125">
        <f>Lista!O154</f>
        <v>0</v>
      </c>
      <c r="Q155" s="125">
        <f>Lista!P154</f>
        <v>0</v>
      </c>
      <c r="R155" s="125">
        <f>Lista!Q154</f>
        <v>0</v>
      </c>
      <c r="S155" s="125">
        <f>Lista!R154</f>
        <v>0</v>
      </c>
      <c r="T155" s="81"/>
      <c r="U155" s="81"/>
      <c r="V155" s="81"/>
      <c r="W155" s="81"/>
      <c r="X155" s="81"/>
      <c r="Y155" s="81"/>
      <c r="Z155" s="81"/>
      <c r="AA155" s="81"/>
      <c r="AB155" s="81"/>
      <c r="AC155" s="81"/>
      <c r="AD155" s="81"/>
      <c r="AE155" s="81"/>
      <c r="AF155" s="81"/>
      <c r="AG155" s="81"/>
      <c r="AH155" s="81"/>
      <c r="AI155" s="81"/>
      <c r="AJ155" s="81"/>
      <c r="AK155" s="81"/>
      <c r="AL155" s="81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  <c r="BA155" s="81"/>
      <c r="BB155" s="81"/>
      <c r="BC155" s="81"/>
      <c r="BD155" s="81"/>
      <c r="BE155" s="81"/>
      <c r="BF155" s="81"/>
      <c r="BG155" s="81"/>
      <c r="BH155" s="81"/>
      <c r="BI155" s="81"/>
      <c r="BJ155" s="81"/>
      <c r="BK155" s="81"/>
      <c r="BL155" s="81"/>
      <c r="BM155" s="81"/>
      <c r="BN155" s="81"/>
      <c r="BO155" s="81"/>
      <c r="BP155" s="81"/>
      <c r="BQ155" s="81"/>
      <c r="BR155" s="81"/>
      <c r="BS155" s="81"/>
      <c r="BT155" s="81"/>
      <c r="BU155" s="81"/>
      <c r="BV155" s="81"/>
      <c r="BW155" s="81"/>
      <c r="BX155" s="81"/>
      <c r="BY155" s="81"/>
      <c r="BZ155" s="81"/>
      <c r="CA155" s="81"/>
      <c r="CB155" s="81"/>
      <c r="CC155" s="81"/>
      <c r="CD155" s="81"/>
      <c r="CE155" s="81"/>
      <c r="CF155" s="81"/>
      <c r="CG155" s="81"/>
      <c r="CH155" s="81"/>
      <c r="CI155" s="81"/>
      <c r="CJ155" s="81"/>
      <c r="CK155" s="81"/>
      <c r="CL155" s="81"/>
      <c r="CM155" s="81"/>
      <c r="CN155" s="81"/>
      <c r="CO155" s="81"/>
      <c r="CP155" s="81"/>
      <c r="CQ155" s="81"/>
      <c r="CR155" s="81"/>
      <c r="CS155" s="81"/>
      <c r="CT155" s="81"/>
      <c r="CU155" s="81"/>
      <c r="CV155" s="81"/>
      <c r="CW155" s="81"/>
      <c r="CX155" s="81"/>
      <c r="CY155" s="81"/>
      <c r="CZ155" s="81"/>
      <c r="DA155" s="81"/>
      <c r="DB155" s="81"/>
      <c r="DC155" s="81"/>
      <c r="DD155" s="81"/>
      <c r="DE155" s="81"/>
      <c r="DF155" s="81"/>
      <c r="DG155" s="81"/>
      <c r="DH155" s="81"/>
      <c r="DI155" s="81"/>
      <c r="DJ155" s="81"/>
      <c r="DK155" s="81"/>
      <c r="DL155" s="81"/>
      <c r="DM155" s="81"/>
      <c r="DN155" s="81"/>
      <c r="DO155" s="81"/>
      <c r="DP155" s="81"/>
      <c r="DQ155" s="81"/>
      <c r="DR155" s="81"/>
      <c r="DS155" s="81"/>
      <c r="DT155" s="81"/>
      <c r="DU155" s="81"/>
      <c r="DV155" s="81"/>
      <c r="DW155" s="121"/>
    </row>
    <row r="156" spans="1:127" x14ac:dyDescent="0.25">
      <c r="A156" s="2">
        <f>COUNTIF($D$2:D156,'Reporte de Nomina'!$E$2)</f>
        <v>0</v>
      </c>
      <c r="B156" s="125">
        <f>Lista!A155</f>
        <v>0</v>
      </c>
      <c r="C156" s="125">
        <f>Lista!B155</f>
        <v>0</v>
      </c>
      <c r="D156" s="125">
        <f>Lista!C155</f>
        <v>0</v>
      </c>
      <c r="E156" s="125">
        <f>Lista!D155</f>
        <v>0</v>
      </c>
      <c r="F156" s="125">
        <f>Lista!E155</f>
        <v>0</v>
      </c>
      <c r="G156" s="125">
        <f>Lista!F155</f>
        <v>0</v>
      </c>
      <c r="H156" s="125">
        <f>Lista!G155</f>
        <v>0</v>
      </c>
      <c r="I156" s="125">
        <f>Lista!H155</f>
        <v>0</v>
      </c>
      <c r="J156" s="125">
        <f>Lista!I155</f>
        <v>0</v>
      </c>
      <c r="K156" s="125">
        <f>Lista!J155</f>
        <v>0</v>
      </c>
      <c r="L156" s="125">
        <f>Lista!K155</f>
        <v>0</v>
      </c>
      <c r="M156" s="125">
        <f>Lista!L155</f>
        <v>0</v>
      </c>
      <c r="N156" s="125">
        <f>Lista!M155</f>
        <v>0</v>
      </c>
      <c r="O156" s="125">
        <f>Lista!N155</f>
        <v>0</v>
      </c>
      <c r="P156" s="125">
        <f>Lista!O155</f>
        <v>0</v>
      </c>
      <c r="Q156" s="125">
        <f>Lista!P155</f>
        <v>0</v>
      </c>
      <c r="R156" s="125">
        <f>Lista!Q155</f>
        <v>0</v>
      </c>
      <c r="S156" s="125">
        <f>Lista!R155</f>
        <v>0</v>
      </c>
      <c r="T156" s="81"/>
      <c r="U156" s="81"/>
      <c r="V156" s="81"/>
      <c r="W156" s="81"/>
      <c r="X156" s="81"/>
      <c r="Y156" s="81"/>
      <c r="Z156" s="81"/>
      <c r="AA156" s="81"/>
      <c r="AB156" s="81"/>
      <c r="AC156" s="81"/>
      <c r="AD156" s="81"/>
      <c r="AE156" s="81"/>
      <c r="AF156" s="81"/>
      <c r="AG156" s="81"/>
      <c r="AH156" s="81"/>
      <c r="AI156" s="81"/>
      <c r="AJ156" s="81"/>
      <c r="AK156" s="81"/>
      <c r="AL156" s="81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  <c r="BA156" s="81"/>
      <c r="BB156" s="81"/>
      <c r="BC156" s="81"/>
      <c r="BD156" s="81"/>
      <c r="BE156" s="81"/>
      <c r="BF156" s="81"/>
      <c r="BG156" s="81"/>
      <c r="BH156" s="81"/>
      <c r="BI156" s="81"/>
      <c r="BJ156" s="81"/>
      <c r="BK156" s="81"/>
      <c r="BL156" s="81"/>
      <c r="BM156" s="81"/>
      <c r="BN156" s="81"/>
      <c r="BO156" s="81"/>
      <c r="BP156" s="81"/>
      <c r="BQ156" s="81"/>
      <c r="BR156" s="81"/>
      <c r="BS156" s="81"/>
      <c r="BT156" s="81"/>
      <c r="BU156" s="81"/>
      <c r="BV156" s="81"/>
      <c r="BW156" s="81"/>
      <c r="BX156" s="81"/>
      <c r="BY156" s="81"/>
      <c r="BZ156" s="81"/>
      <c r="CA156" s="81"/>
      <c r="CB156" s="81"/>
      <c r="CC156" s="81"/>
      <c r="CD156" s="81"/>
      <c r="CE156" s="81"/>
      <c r="CF156" s="81"/>
      <c r="CG156" s="81"/>
      <c r="CH156" s="81"/>
      <c r="CI156" s="81"/>
      <c r="CJ156" s="81"/>
      <c r="CK156" s="81"/>
      <c r="CL156" s="81"/>
      <c r="CM156" s="81"/>
      <c r="CN156" s="81"/>
      <c r="CO156" s="81"/>
      <c r="CP156" s="81"/>
      <c r="CQ156" s="81"/>
      <c r="CR156" s="81"/>
      <c r="CS156" s="81"/>
      <c r="CT156" s="81"/>
      <c r="CU156" s="81"/>
      <c r="CV156" s="81"/>
      <c r="CW156" s="81"/>
      <c r="CX156" s="81"/>
      <c r="CY156" s="81"/>
      <c r="CZ156" s="81"/>
      <c r="DA156" s="81"/>
      <c r="DB156" s="81"/>
      <c r="DC156" s="81"/>
      <c r="DD156" s="81"/>
      <c r="DE156" s="81"/>
      <c r="DF156" s="81"/>
      <c r="DG156" s="81"/>
      <c r="DH156" s="81"/>
      <c r="DI156" s="81"/>
      <c r="DJ156" s="81"/>
      <c r="DK156" s="81"/>
      <c r="DL156" s="81"/>
      <c r="DM156" s="81"/>
      <c r="DN156" s="81"/>
      <c r="DO156" s="81"/>
      <c r="DP156" s="81"/>
      <c r="DQ156" s="81"/>
      <c r="DR156" s="81"/>
      <c r="DS156" s="81"/>
      <c r="DT156" s="81"/>
      <c r="DU156" s="81"/>
      <c r="DV156" s="81"/>
      <c r="DW156" s="121"/>
    </row>
    <row r="157" spans="1:127" x14ac:dyDescent="0.25">
      <c r="A157" s="2">
        <f>COUNTIF($D$2:D157,'Reporte de Nomina'!$E$2)</f>
        <v>0</v>
      </c>
      <c r="B157" s="125">
        <f>Lista!A156</f>
        <v>0</v>
      </c>
      <c r="C157" s="125">
        <f>Lista!B156</f>
        <v>0</v>
      </c>
      <c r="D157" s="125">
        <f>Lista!C156</f>
        <v>0</v>
      </c>
      <c r="E157" s="125">
        <f>Lista!D156</f>
        <v>0</v>
      </c>
      <c r="F157" s="125">
        <f>Lista!E156</f>
        <v>0</v>
      </c>
      <c r="G157" s="125">
        <f>Lista!F156</f>
        <v>0</v>
      </c>
      <c r="H157" s="125">
        <f>Lista!G156</f>
        <v>0</v>
      </c>
      <c r="I157" s="125">
        <f>Lista!H156</f>
        <v>0</v>
      </c>
      <c r="J157" s="125">
        <f>Lista!I156</f>
        <v>0</v>
      </c>
      <c r="K157" s="125">
        <f>Lista!J156</f>
        <v>0</v>
      </c>
      <c r="L157" s="125">
        <f>Lista!K156</f>
        <v>0</v>
      </c>
      <c r="M157" s="125">
        <f>Lista!L156</f>
        <v>0</v>
      </c>
      <c r="N157" s="125">
        <f>Lista!M156</f>
        <v>0</v>
      </c>
      <c r="O157" s="125">
        <f>Lista!N156</f>
        <v>0</v>
      </c>
      <c r="P157" s="125">
        <f>Lista!O156</f>
        <v>0</v>
      </c>
      <c r="Q157" s="125">
        <f>Lista!P156</f>
        <v>0</v>
      </c>
      <c r="R157" s="125">
        <f>Lista!Q156</f>
        <v>0</v>
      </c>
      <c r="S157" s="125">
        <f>Lista!R156</f>
        <v>0</v>
      </c>
      <c r="T157" s="81"/>
      <c r="U157" s="81"/>
      <c r="V157" s="81"/>
      <c r="W157" s="81"/>
      <c r="X157" s="81"/>
      <c r="Y157" s="81"/>
      <c r="Z157" s="81"/>
      <c r="AA157" s="81"/>
      <c r="AB157" s="81"/>
      <c r="AC157" s="81"/>
      <c r="AD157" s="81"/>
      <c r="AE157" s="81"/>
      <c r="AF157" s="81"/>
      <c r="AG157" s="81"/>
      <c r="AH157" s="81"/>
      <c r="AI157" s="81"/>
      <c r="AJ157" s="81"/>
      <c r="AK157" s="81"/>
      <c r="AL157" s="81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  <c r="BA157" s="81"/>
      <c r="BB157" s="81"/>
      <c r="BC157" s="81"/>
      <c r="BD157" s="81"/>
      <c r="BE157" s="81"/>
      <c r="BF157" s="81"/>
      <c r="BG157" s="81"/>
      <c r="BH157" s="81"/>
      <c r="BI157" s="81"/>
      <c r="BJ157" s="81"/>
      <c r="BK157" s="81"/>
      <c r="BL157" s="81"/>
      <c r="BM157" s="81"/>
      <c r="BN157" s="81"/>
      <c r="BO157" s="81"/>
      <c r="BP157" s="81"/>
      <c r="BQ157" s="81"/>
      <c r="BR157" s="81"/>
      <c r="BS157" s="81"/>
      <c r="BT157" s="81"/>
      <c r="BU157" s="81"/>
      <c r="BV157" s="81"/>
      <c r="BW157" s="81"/>
      <c r="BX157" s="81"/>
      <c r="BY157" s="81"/>
      <c r="BZ157" s="81"/>
      <c r="CA157" s="81"/>
      <c r="CB157" s="81"/>
      <c r="CC157" s="81"/>
      <c r="CD157" s="81"/>
      <c r="CE157" s="81"/>
      <c r="CF157" s="81"/>
      <c r="CG157" s="81"/>
      <c r="CH157" s="81"/>
      <c r="CI157" s="81"/>
      <c r="CJ157" s="81"/>
      <c r="CK157" s="81"/>
      <c r="CL157" s="81"/>
      <c r="CM157" s="81"/>
      <c r="CN157" s="81"/>
      <c r="CO157" s="81"/>
      <c r="CP157" s="81"/>
      <c r="CQ157" s="81"/>
      <c r="CR157" s="81"/>
      <c r="CS157" s="81"/>
      <c r="CT157" s="81"/>
      <c r="CU157" s="81"/>
      <c r="CV157" s="81"/>
      <c r="CW157" s="81"/>
      <c r="CX157" s="81"/>
      <c r="CY157" s="81"/>
      <c r="CZ157" s="81"/>
      <c r="DA157" s="81"/>
      <c r="DB157" s="81"/>
      <c r="DC157" s="81"/>
      <c r="DD157" s="81"/>
      <c r="DE157" s="81"/>
      <c r="DF157" s="81"/>
      <c r="DG157" s="81"/>
      <c r="DH157" s="81"/>
      <c r="DI157" s="81"/>
      <c r="DJ157" s="81"/>
      <c r="DK157" s="81"/>
      <c r="DL157" s="81"/>
      <c r="DM157" s="81"/>
      <c r="DN157" s="81"/>
      <c r="DO157" s="81"/>
      <c r="DP157" s="81"/>
      <c r="DQ157" s="81"/>
      <c r="DR157" s="81"/>
      <c r="DS157" s="81"/>
      <c r="DT157" s="81"/>
      <c r="DU157" s="81"/>
      <c r="DV157" s="81"/>
      <c r="DW157" s="121"/>
    </row>
    <row r="158" spans="1:127" x14ac:dyDescent="0.25">
      <c r="A158" s="2">
        <f>COUNTIF($D$2:D158,'Reporte de Nomina'!$E$2)</f>
        <v>0</v>
      </c>
      <c r="B158" s="125">
        <f>Lista!A157</f>
        <v>0</v>
      </c>
      <c r="C158" s="125">
        <f>Lista!B157</f>
        <v>0</v>
      </c>
      <c r="D158" s="125">
        <f>Lista!C157</f>
        <v>0</v>
      </c>
      <c r="E158" s="125">
        <f>Lista!D157</f>
        <v>0</v>
      </c>
      <c r="F158" s="125">
        <f>Lista!E157</f>
        <v>0</v>
      </c>
      <c r="G158" s="125">
        <f>Lista!F157</f>
        <v>0</v>
      </c>
      <c r="H158" s="125">
        <f>Lista!G157</f>
        <v>0</v>
      </c>
      <c r="I158" s="125">
        <f>Lista!H157</f>
        <v>0</v>
      </c>
      <c r="J158" s="125">
        <f>Lista!I157</f>
        <v>0</v>
      </c>
      <c r="K158" s="125">
        <f>Lista!J157</f>
        <v>0</v>
      </c>
      <c r="L158" s="125">
        <f>Lista!K157</f>
        <v>0</v>
      </c>
      <c r="M158" s="125">
        <f>Lista!L157</f>
        <v>0</v>
      </c>
      <c r="N158" s="125">
        <f>Lista!M157</f>
        <v>0</v>
      </c>
      <c r="O158" s="125">
        <f>Lista!N157</f>
        <v>0</v>
      </c>
      <c r="P158" s="125">
        <f>Lista!O157</f>
        <v>0</v>
      </c>
      <c r="Q158" s="125">
        <f>Lista!P157</f>
        <v>0</v>
      </c>
      <c r="R158" s="125">
        <f>Lista!Q157</f>
        <v>0</v>
      </c>
      <c r="S158" s="125">
        <f>Lista!R157</f>
        <v>0</v>
      </c>
      <c r="T158" s="81"/>
      <c r="U158" s="81"/>
      <c r="V158" s="81"/>
      <c r="W158" s="81"/>
      <c r="X158" s="81"/>
      <c r="Y158" s="81"/>
      <c r="Z158" s="81"/>
      <c r="AA158" s="81"/>
      <c r="AB158" s="81"/>
      <c r="AC158" s="81"/>
      <c r="AD158" s="81"/>
      <c r="AE158" s="81"/>
      <c r="AF158" s="81"/>
      <c r="AG158" s="81"/>
      <c r="AH158" s="81"/>
      <c r="AI158" s="81"/>
      <c r="AJ158" s="81"/>
      <c r="AK158" s="81"/>
      <c r="AL158" s="81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  <c r="BA158" s="81"/>
      <c r="BB158" s="81"/>
      <c r="BC158" s="81"/>
      <c r="BD158" s="81"/>
      <c r="BE158" s="81"/>
      <c r="BF158" s="81"/>
      <c r="BG158" s="81"/>
      <c r="BH158" s="81"/>
      <c r="BI158" s="81"/>
      <c r="BJ158" s="81"/>
      <c r="BK158" s="81"/>
      <c r="BL158" s="81"/>
      <c r="BM158" s="81"/>
      <c r="BN158" s="81"/>
      <c r="BO158" s="81"/>
      <c r="BP158" s="81"/>
      <c r="BQ158" s="81"/>
      <c r="BR158" s="81"/>
      <c r="BS158" s="81"/>
      <c r="BT158" s="81"/>
      <c r="BU158" s="81"/>
      <c r="BV158" s="81"/>
      <c r="BW158" s="81"/>
      <c r="BX158" s="81"/>
      <c r="BY158" s="81"/>
      <c r="BZ158" s="81"/>
      <c r="CA158" s="81"/>
      <c r="CB158" s="81"/>
      <c r="CC158" s="81"/>
      <c r="CD158" s="81"/>
      <c r="CE158" s="81"/>
      <c r="CF158" s="81"/>
      <c r="CG158" s="81"/>
      <c r="CH158" s="81"/>
      <c r="CI158" s="81"/>
      <c r="CJ158" s="81"/>
      <c r="CK158" s="81"/>
      <c r="CL158" s="81"/>
      <c r="CM158" s="81"/>
      <c r="CN158" s="81"/>
      <c r="CO158" s="81"/>
      <c r="CP158" s="81"/>
      <c r="CQ158" s="81"/>
      <c r="CR158" s="81"/>
      <c r="CS158" s="81"/>
      <c r="CT158" s="81"/>
      <c r="CU158" s="81"/>
      <c r="CV158" s="81"/>
      <c r="CW158" s="81"/>
      <c r="CX158" s="81"/>
      <c r="CY158" s="81"/>
      <c r="CZ158" s="81"/>
      <c r="DA158" s="81"/>
      <c r="DB158" s="81"/>
      <c r="DC158" s="81"/>
      <c r="DD158" s="81"/>
      <c r="DE158" s="81"/>
      <c r="DF158" s="81"/>
      <c r="DG158" s="81"/>
      <c r="DH158" s="81"/>
      <c r="DI158" s="81"/>
      <c r="DJ158" s="81"/>
      <c r="DK158" s="81"/>
      <c r="DL158" s="81"/>
      <c r="DM158" s="81"/>
      <c r="DN158" s="81"/>
      <c r="DO158" s="81"/>
      <c r="DP158" s="81"/>
      <c r="DQ158" s="81"/>
      <c r="DR158" s="81"/>
      <c r="DS158" s="81"/>
      <c r="DT158" s="81"/>
      <c r="DU158" s="81"/>
      <c r="DV158" s="81"/>
      <c r="DW158" s="121"/>
    </row>
    <row r="159" spans="1:127" x14ac:dyDescent="0.25">
      <c r="A159" s="2">
        <f>COUNTIF($D$2:D159,'Reporte de Nomina'!$E$2)</f>
        <v>0</v>
      </c>
      <c r="B159" s="125">
        <f>Lista!A158</f>
        <v>0</v>
      </c>
      <c r="C159" s="125">
        <f>Lista!B158</f>
        <v>0</v>
      </c>
      <c r="D159" s="125">
        <f>Lista!C158</f>
        <v>0</v>
      </c>
      <c r="E159" s="125">
        <f>Lista!D158</f>
        <v>0</v>
      </c>
      <c r="F159" s="125">
        <f>Lista!E158</f>
        <v>0</v>
      </c>
      <c r="G159" s="125">
        <f>Lista!F158</f>
        <v>0</v>
      </c>
      <c r="H159" s="125">
        <f>Lista!G158</f>
        <v>0</v>
      </c>
      <c r="I159" s="125">
        <f>Lista!H158</f>
        <v>0</v>
      </c>
      <c r="J159" s="125">
        <f>Lista!I158</f>
        <v>0</v>
      </c>
      <c r="K159" s="125">
        <f>Lista!J158</f>
        <v>0</v>
      </c>
      <c r="L159" s="125">
        <f>Lista!K158</f>
        <v>0</v>
      </c>
      <c r="M159" s="125">
        <f>Lista!L158</f>
        <v>0</v>
      </c>
      <c r="N159" s="125">
        <f>Lista!M158</f>
        <v>0</v>
      </c>
      <c r="O159" s="125">
        <f>Lista!N158</f>
        <v>0</v>
      </c>
      <c r="P159" s="125">
        <f>Lista!O158</f>
        <v>0</v>
      </c>
      <c r="Q159" s="125">
        <f>Lista!P158</f>
        <v>0</v>
      </c>
      <c r="R159" s="125">
        <f>Lista!Q158</f>
        <v>0</v>
      </c>
      <c r="S159" s="125">
        <f>Lista!R158</f>
        <v>0</v>
      </c>
      <c r="T159" s="81"/>
      <c r="U159" s="81"/>
      <c r="V159" s="81"/>
      <c r="W159" s="81"/>
      <c r="X159" s="81"/>
      <c r="Y159" s="81"/>
      <c r="Z159" s="81"/>
      <c r="AA159" s="81"/>
      <c r="AB159" s="81"/>
      <c r="AC159" s="81"/>
      <c r="AD159" s="81"/>
      <c r="AE159" s="81"/>
      <c r="AF159" s="81"/>
      <c r="AG159" s="81"/>
      <c r="AH159" s="81"/>
      <c r="AI159" s="81"/>
      <c r="AJ159" s="81"/>
      <c r="AK159" s="81"/>
      <c r="AL159" s="81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  <c r="BA159" s="81"/>
      <c r="BB159" s="81"/>
      <c r="BC159" s="81"/>
      <c r="BD159" s="81"/>
      <c r="BE159" s="81"/>
      <c r="BF159" s="81"/>
      <c r="BG159" s="81"/>
      <c r="BH159" s="81"/>
      <c r="BI159" s="81"/>
      <c r="BJ159" s="81"/>
      <c r="BK159" s="81"/>
      <c r="BL159" s="81"/>
      <c r="BM159" s="81"/>
      <c r="BN159" s="81"/>
      <c r="BO159" s="81"/>
      <c r="BP159" s="81"/>
      <c r="BQ159" s="81"/>
      <c r="BR159" s="81"/>
      <c r="BS159" s="81"/>
      <c r="BT159" s="81"/>
      <c r="BU159" s="81"/>
      <c r="BV159" s="81"/>
      <c r="BW159" s="81"/>
      <c r="BX159" s="81"/>
      <c r="BY159" s="81"/>
      <c r="BZ159" s="81"/>
      <c r="CA159" s="81"/>
      <c r="CB159" s="81"/>
      <c r="CC159" s="81"/>
      <c r="CD159" s="81"/>
      <c r="CE159" s="81"/>
      <c r="CF159" s="81"/>
      <c r="CG159" s="81"/>
      <c r="CH159" s="81"/>
      <c r="CI159" s="81"/>
      <c r="CJ159" s="81"/>
      <c r="CK159" s="81"/>
      <c r="CL159" s="81"/>
      <c r="CM159" s="81"/>
      <c r="CN159" s="81"/>
      <c r="CO159" s="81"/>
      <c r="CP159" s="81"/>
      <c r="CQ159" s="81"/>
      <c r="CR159" s="81"/>
      <c r="CS159" s="81"/>
      <c r="CT159" s="81"/>
      <c r="CU159" s="81"/>
      <c r="CV159" s="81"/>
      <c r="CW159" s="81"/>
      <c r="CX159" s="81"/>
      <c r="CY159" s="81"/>
      <c r="CZ159" s="81"/>
      <c r="DA159" s="81"/>
      <c r="DB159" s="81"/>
      <c r="DC159" s="81"/>
      <c r="DD159" s="81"/>
      <c r="DE159" s="81"/>
      <c r="DF159" s="81"/>
      <c r="DG159" s="81"/>
      <c r="DH159" s="81"/>
      <c r="DI159" s="81"/>
      <c r="DJ159" s="81"/>
      <c r="DK159" s="81"/>
      <c r="DL159" s="81"/>
      <c r="DM159" s="81"/>
      <c r="DN159" s="81"/>
      <c r="DO159" s="81"/>
      <c r="DP159" s="81"/>
      <c r="DQ159" s="81"/>
      <c r="DR159" s="81"/>
      <c r="DS159" s="81"/>
      <c r="DT159" s="81"/>
      <c r="DU159" s="81"/>
      <c r="DV159" s="81"/>
      <c r="DW159" s="121"/>
    </row>
    <row r="160" spans="1:127" x14ac:dyDescent="0.25">
      <c r="A160" s="2">
        <f>COUNTIF($D$2:D160,'Reporte de Nomina'!$E$2)</f>
        <v>0</v>
      </c>
      <c r="B160" s="125">
        <f>Lista!A159</f>
        <v>0</v>
      </c>
      <c r="C160" s="125">
        <f>Lista!B159</f>
        <v>0</v>
      </c>
      <c r="D160" s="125">
        <f>Lista!C159</f>
        <v>0</v>
      </c>
      <c r="E160" s="125">
        <f>Lista!D159</f>
        <v>0</v>
      </c>
      <c r="F160" s="125">
        <f>Lista!E159</f>
        <v>0</v>
      </c>
      <c r="G160" s="125">
        <f>Lista!F159</f>
        <v>0</v>
      </c>
      <c r="H160" s="125">
        <f>Lista!G159</f>
        <v>0</v>
      </c>
      <c r="I160" s="125">
        <f>Lista!H159</f>
        <v>0</v>
      </c>
      <c r="J160" s="125">
        <f>Lista!I159</f>
        <v>0</v>
      </c>
      <c r="K160" s="125">
        <f>Lista!J159</f>
        <v>0</v>
      </c>
      <c r="L160" s="125">
        <f>Lista!K159</f>
        <v>0</v>
      </c>
      <c r="M160" s="125">
        <f>Lista!L159</f>
        <v>0</v>
      </c>
      <c r="N160" s="125">
        <f>Lista!M159</f>
        <v>0</v>
      </c>
      <c r="O160" s="125">
        <f>Lista!N159</f>
        <v>0</v>
      </c>
      <c r="P160" s="125">
        <f>Lista!O159</f>
        <v>0</v>
      </c>
      <c r="Q160" s="125">
        <f>Lista!P159</f>
        <v>0</v>
      </c>
      <c r="R160" s="125">
        <f>Lista!Q159</f>
        <v>0</v>
      </c>
      <c r="S160" s="125">
        <f>Lista!R159</f>
        <v>0</v>
      </c>
      <c r="T160" s="81"/>
      <c r="U160" s="81"/>
      <c r="V160" s="81"/>
      <c r="W160" s="81"/>
      <c r="X160" s="81"/>
      <c r="Y160" s="81"/>
      <c r="Z160" s="81"/>
      <c r="AA160" s="81"/>
      <c r="AB160" s="81"/>
      <c r="AC160" s="81"/>
      <c r="AD160" s="81"/>
      <c r="AE160" s="81"/>
      <c r="AF160" s="81"/>
      <c r="AG160" s="81"/>
      <c r="AH160" s="81"/>
      <c r="AI160" s="81"/>
      <c r="AJ160" s="81"/>
      <c r="AK160" s="81"/>
      <c r="AL160" s="81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  <c r="BA160" s="81"/>
      <c r="BB160" s="81"/>
      <c r="BC160" s="81"/>
      <c r="BD160" s="81"/>
      <c r="BE160" s="81"/>
      <c r="BF160" s="81"/>
      <c r="BG160" s="81"/>
      <c r="BH160" s="81"/>
      <c r="BI160" s="81"/>
      <c r="BJ160" s="81"/>
      <c r="BK160" s="81"/>
      <c r="BL160" s="81"/>
      <c r="BM160" s="81"/>
      <c r="BN160" s="81"/>
      <c r="BO160" s="81"/>
      <c r="BP160" s="81"/>
      <c r="BQ160" s="81"/>
      <c r="BR160" s="81"/>
      <c r="BS160" s="81"/>
      <c r="BT160" s="81"/>
      <c r="BU160" s="81"/>
      <c r="BV160" s="81"/>
      <c r="BW160" s="81"/>
      <c r="BX160" s="81"/>
      <c r="BY160" s="81"/>
      <c r="BZ160" s="81"/>
      <c r="CA160" s="81"/>
      <c r="CB160" s="81"/>
      <c r="CC160" s="81"/>
      <c r="CD160" s="81"/>
      <c r="CE160" s="81"/>
      <c r="CF160" s="81"/>
      <c r="CG160" s="81"/>
      <c r="CH160" s="81"/>
      <c r="CI160" s="81"/>
      <c r="CJ160" s="81"/>
      <c r="CK160" s="81"/>
      <c r="CL160" s="81"/>
      <c r="CM160" s="81"/>
      <c r="CN160" s="81"/>
      <c r="CO160" s="81"/>
      <c r="CP160" s="81"/>
      <c r="CQ160" s="81"/>
      <c r="CR160" s="81"/>
      <c r="CS160" s="81"/>
      <c r="CT160" s="81"/>
      <c r="CU160" s="81"/>
      <c r="CV160" s="81"/>
      <c r="CW160" s="81"/>
      <c r="CX160" s="81"/>
      <c r="CY160" s="81"/>
      <c r="CZ160" s="81"/>
      <c r="DA160" s="81"/>
      <c r="DB160" s="81"/>
      <c r="DC160" s="81"/>
      <c r="DD160" s="81"/>
      <c r="DE160" s="81"/>
      <c r="DF160" s="81"/>
      <c r="DG160" s="81"/>
      <c r="DH160" s="81"/>
      <c r="DI160" s="81"/>
      <c r="DJ160" s="81"/>
      <c r="DK160" s="81"/>
      <c r="DL160" s="81"/>
      <c r="DM160" s="81"/>
      <c r="DN160" s="81"/>
      <c r="DO160" s="81"/>
      <c r="DP160" s="81"/>
      <c r="DQ160" s="81"/>
      <c r="DR160" s="81"/>
      <c r="DS160" s="81"/>
      <c r="DT160" s="81"/>
      <c r="DU160" s="81"/>
      <c r="DV160" s="81"/>
      <c r="DW160" s="121"/>
    </row>
    <row r="161" spans="1:127" x14ac:dyDescent="0.25">
      <c r="A161" s="2">
        <f>COUNTIF($D$2:D161,'Reporte de Nomina'!$E$2)</f>
        <v>0</v>
      </c>
      <c r="B161" s="125">
        <f>Lista!A160</f>
        <v>0</v>
      </c>
      <c r="C161" s="125">
        <f>Lista!B160</f>
        <v>0</v>
      </c>
      <c r="D161" s="125">
        <f>Lista!C160</f>
        <v>0</v>
      </c>
      <c r="E161" s="125">
        <f>Lista!D160</f>
        <v>0</v>
      </c>
      <c r="F161" s="125">
        <f>Lista!E160</f>
        <v>0</v>
      </c>
      <c r="G161" s="125">
        <f>Lista!F160</f>
        <v>0</v>
      </c>
      <c r="H161" s="125">
        <f>Lista!G160</f>
        <v>0</v>
      </c>
      <c r="I161" s="125">
        <f>Lista!H160</f>
        <v>0</v>
      </c>
      <c r="J161" s="125">
        <f>Lista!I160</f>
        <v>0</v>
      </c>
      <c r="K161" s="125">
        <f>Lista!J160</f>
        <v>0</v>
      </c>
      <c r="L161" s="125">
        <f>Lista!K160</f>
        <v>0</v>
      </c>
      <c r="M161" s="125">
        <f>Lista!L160</f>
        <v>0</v>
      </c>
      <c r="N161" s="125">
        <f>Lista!M160</f>
        <v>0</v>
      </c>
      <c r="O161" s="125">
        <f>Lista!N160</f>
        <v>0</v>
      </c>
      <c r="P161" s="125">
        <f>Lista!O160</f>
        <v>0</v>
      </c>
      <c r="Q161" s="125">
        <f>Lista!P160</f>
        <v>0</v>
      </c>
      <c r="R161" s="125">
        <f>Lista!Q160</f>
        <v>0</v>
      </c>
      <c r="S161" s="125">
        <f>Lista!R160</f>
        <v>0</v>
      </c>
      <c r="T161" s="81"/>
      <c r="U161" s="81"/>
      <c r="V161" s="81"/>
      <c r="W161" s="81"/>
      <c r="X161" s="81"/>
      <c r="Y161" s="81"/>
      <c r="Z161" s="81"/>
      <c r="AA161" s="81"/>
      <c r="AB161" s="81"/>
      <c r="AC161" s="81"/>
      <c r="AD161" s="81"/>
      <c r="AE161" s="81"/>
      <c r="AF161" s="81"/>
      <c r="AG161" s="81"/>
      <c r="AH161" s="81"/>
      <c r="AI161" s="81"/>
      <c r="AJ161" s="81"/>
      <c r="AK161" s="81"/>
      <c r="AL161" s="81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  <c r="BA161" s="81"/>
      <c r="BB161" s="81"/>
      <c r="BC161" s="81"/>
      <c r="BD161" s="81"/>
      <c r="BE161" s="81"/>
      <c r="BF161" s="81"/>
      <c r="BG161" s="81"/>
      <c r="BH161" s="81"/>
      <c r="BI161" s="81"/>
      <c r="BJ161" s="81"/>
      <c r="BK161" s="81"/>
      <c r="BL161" s="81"/>
      <c r="BM161" s="81"/>
      <c r="BN161" s="81"/>
      <c r="BO161" s="81"/>
      <c r="BP161" s="81"/>
      <c r="BQ161" s="81"/>
      <c r="BR161" s="81"/>
      <c r="BS161" s="81"/>
      <c r="BT161" s="81"/>
      <c r="BU161" s="81"/>
      <c r="BV161" s="81"/>
      <c r="BW161" s="81"/>
      <c r="BX161" s="81"/>
      <c r="BY161" s="81"/>
      <c r="BZ161" s="81"/>
      <c r="CA161" s="81"/>
      <c r="CB161" s="81"/>
      <c r="CC161" s="81"/>
      <c r="CD161" s="81"/>
      <c r="CE161" s="81"/>
      <c r="CF161" s="81"/>
      <c r="CG161" s="81"/>
      <c r="CH161" s="81"/>
      <c r="CI161" s="81"/>
      <c r="CJ161" s="81"/>
      <c r="CK161" s="81"/>
      <c r="CL161" s="81"/>
      <c r="CM161" s="81"/>
      <c r="CN161" s="81"/>
      <c r="CO161" s="81"/>
      <c r="CP161" s="81"/>
      <c r="CQ161" s="81"/>
      <c r="CR161" s="81"/>
      <c r="CS161" s="81"/>
      <c r="CT161" s="81"/>
      <c r="CU161" s="81"/>
      <c r="CV161" s="81"/>
      <c r="CW161" s="81"/>
      <c r="CX161" s="81"/>
      <c r="CY161" s="81"/>
      <c r="CZ161" s="81"/>
      <c r="DA161" s="81"/>
      <c r="DB161" s="81"/>
      <c r="DC161" s="81"/>
      <c r="DD161" s="81"/>
      <c r="DE161" s="81"/>
      <c r="DF161" s="81"/>
      <c r="DG161" s="81"/>
      <c r="DH161" s="81"/>
      <c r="DI161" s="81"/>
      <c r="DJ161" s="81"/>
      <c r="DK161" s="81"/>
      <c r="DL161" s="81"/>
      <c r="DM161" s="81"/>
      <c r="DN161" s="81"/>
      <c r="DO161" s="81"/>
      <c r="DP161" s="81"/>
      <c r="DQ161" s="81"/>
      <c r="DR161" s="81"/>
      <c r="DS161" s="81"/>
      <c r="DT161" s="81"/>
      <c r="DU161" s="81"/>
      <c r="DV161" s="81"/>
      <c r="DW161" s="121"/>
    </row>
    <row r="162" spans="1:127" x14ac:dyDescent="0.25">
      <c r="A162" s="2">
        <f>COUNTIF($D$2:D162,'Reporte de Nomina'!$E$2)</f>
        <v>0</v>
      </c>
      <c r="B162" s="125">
        <f>Lista!A161</f>
        <v>0</v>
      </c>
      <c r="C162" s="125">
        <f>Lista!B161</f>
        <v>0</v>
      </c>
      <c r="D162" s="125">
        <f>Lista!C161</f>
        <v>0</v>
      </c>
      <c r="E162" s="125">
        <f>Lista!D161</f>
        <v>0</v>
      </c>
      <c r="F162" s="125">
        <f>Lista!E161</f>
        <v>0</v>
      </c>
      <c r="G162" s="125">
        <f>Lista!F161</f>
        <v>0</v>
      </c>
      <c r="H162" s="125">
        <f>Lista!G161</f>
        <v>0</v>
      </c>
      <c r="I162" s="125">
        <f>Lista!H161</f>
        <v>0</v>
      </c>
      <c r="J162" s="125">
        <f>Lista!I161</f>
        <v>0</v>
      </c>
      <c r="K162" s="125">
        <f>Lista!J161</f>
        <v>0</v>
      </c>
      <c r="L162" s="125">
        <f>Lista!K161</f>
        <v>0</v>
      </c>
      <c r="M162" s="125">
        <f>Lista!L161</f>
        <v>0</v>
      </c>
      <c r="N162" s="125">
        <f>Lista!M161</f>
        <v>0</v>
      </c>
      <c r="O162" s="125">
        <f>Lista!N161</f>
        <v>0</v>
      </c>
      <c r="P162" s="125">
        <f>Lista!O161</f>
        <v>0</v>
      </c>
      <c r="Q162" s="125">
        <f>Lista!P161</f>
        <v>0</v>
      </c>
      <c r="R162" s="125">
        <f>Lista!Q161</f>
        <v>0</v>
      </c>
      <c r="S162" s="125">
        <f>Lista!R161</f>
        <v>0</v>
      </c>
      <c r="T162" s="81"/>
      <c r="U162" s="81"/>
      <c r="V162" s="81"/>
      <c r="W162" s="81"/>
      <c r="X162" s="81"/>
      <c r="Y162" s="81"/>
      <c r="Z162" s="81"/>
      <c r="AA162" s="81"/>
      <c r="AB162" s="81"/>
      <c r="AC162" s="81"/>
      <c r="AD162" s="81"/>
      <c r="AE162" s="81"/>
      <c r="AF162" s="81"/>
      <c r="AG162" s="81"/>
      <c r="AH162" s="81"/>
      <c r="AI162" s="81"/>
      <c r="AJ162" s="81"/>
      <c r="AK162" s="81"/>
      <c r="AL162" s="81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  <c r="BA162" s="81"/>
      <c r="BB162" s="81"/>
      <c r="BC162" s="81"/>
      <c r="BD162" s="81"/>
      <c r="BE162" s="81"/>
      <c r="BF162" s="81"/>
      <c r="BG162" s="81"/>
      <c r="BH162" s="81"/>
      <c r="BI162" s="81"/>
      <c r="BJ162" s="81"/>
      <c r="BK162" s="81"/>
      <c r="BL162" s="81"/>
      <c r="BM162" s="81"/>
      <c r="BN162" s="81"/>
      <c r="BO162" s="81"/>
      <c r="BP162" s="81"/>
      <c r="BQ162" s="81"/>
      <c r="BR162" s="81"/>
      <c r="BS162" s="81"/>
      <c r="BT162" s="81"/>
      <c r="BU162" s="81"/>
      <c r="BV162" s="81"/>
      <c r="BW162" s="81"/>
      <c r="BX162" s="81"/>
      <c r="BY162" s="81"/>
      <c r="BZ162" s="81"/>
      <c r="CA162" s="81"/>
      <c r="CB162" s="81"/>
      <c r="CC162" s="81"/>
      <c r="CD162" s="81"/>
      <c r="CE162" s="81"/>
      <c r="CF162" s="81"/>
      <c r="CG162" s="81"/>
      <c r="CH162" s="81"/>
      <c r="CI162" s="81"/>
      <c r="CJ162" s="81"/>
      <c r="CK162" s="81"/>
      <c r="CL162" s="81"/>
      <c r="CM162" s="81"/>
      <c r="CN162" s="81"/>
      <c r="CO162" s="81"/>
      <c r="CP162" s="81"/>
      <c r="CQ162" s="81"/>
      <c r="CR162" s="81"/>
      <c r="CS162" s="81"/>
      <c r="CT162" s="81"/>
      <c r="CU162" s="81"/>
      <c r="CV162" s="81"/>
      <c r="CW162" s="81"/>
      <c r="CX162" s="81"/>
      <c r="CY162" s="81"/>
      <c r="CZ162" s="81"/>
      <c r="DA162" s="81"/>
      <c r="DB162" s="81"/>
      <c r="DC162" s="81"/>
      <c r="DD162" s="81"/>
      <c r="DE162" s="81"/>
      <c r="DF162" s="81"/>
      <c r="DG162" s="81"/>
      <c r="DH162" s="81"/>
      <c r="DI162" s="81"/>
      <c r="DJ162" s="81"/>
      <c r="DK162" s="81"/>
      <c r="DL162" s="81"/>
      <c r="DM162" s="81"/>
      <c r="DN162" s="81"/>
      <c r="DO162" s="81"/>
      <c r="DP162" s="81"/>
      <c r="DQ162" s="81"/>
      <c r="DR162" s="81"/>
      <c r="DS162" s="81"/>
      <c r="DT162" s="81"/>
      <c r="DU162" s="81"/>
      <c r="DV162" s="81"/>
      <c r="DW162" s="121"/>
    </row>
    <row r="163" spans="1:127" x14ac:dyDescent="0.25">
      <c r="A163" s="2">
        <f>COUNTIF($D$2:D163,'Reporte de Nomina'!$E$2)</f>
        <v>0</v>
      </c>
      <c r="B163" s="125">
        <f>Lista!A162</f>
        <v>0</v>
      </c>
      <c r="C163" s="125">
        <f>Lista!B162</f>
        <v>0</v>
      </c>
      <c r="D163" s="125">
        <f>Lista!C162</f>
        <v>0</v>
      </c>
      <c r="E163" s="125">
        <f>Lista!D162</f>
        <v>0</v>
      </c>
      <c r="F163" s="125">
        <f>Lista!E162</f>
        <v>0</v>
      </c>
      <c r="G163" s="125">
        <f>Lista!F162</f>
        <v>0</v>
      </c>
      <c r="H163" s="125">
        <f>Lista!G162</f>
        <v>0</v>
      </c>
      <c r="I163" s="125">
        <f>Lista!H162</f>
        <v>0</v>
      </c>
      <c r="J163" s="125">
        <f>Lista!I162</f>
        <v>0</v>
      </c>
      <c r="K163" s="125">
        <f>Lista!J162</f>
        <v>0</v>
      </c>
      <c r="L163" s="125">
        <f>Lista!K162</f>
        <v>0</v>
      </c>
      <c r="M163" s="125">
        <f>Lista!L162</f>
        <v>0</v>
      </c>
      <c r="N163" s="125">
        <f>Lista!M162</f>
        <v>0</v>
      </c>
      <c r="O163" s="125">
        <f>Lista!N162</f>
        <v>0</v>
      </c>
      <c r="P163" s="125">
        <f>Lista!O162</f>
        <v>0</v>
      </c>
      <c r="Q163" s="125">
        <f>Lista!P162</f>
        <v>0</v>
      </c>
      <c r="R163" s="125">
        <f>Lista!Q162</f>
        <v>0</v>
      </c>
      <c r="S163" s="125">
        <f>Lista!R162</f>
        <v>0</v>
      </c>
      <c r="T163" s="81"/>
      <c r="U163" s="81"/>
      <c r="V163" s="81"/>
      <c r="W163" s="81"/>
      <c r="X163" s="81"/>
      <c r="Y163" s="81"/>
      <c r="Z163" s="81"/>
      <c r="AA163" s="81"/>
      <c r="AB163" s="81"/>
      <c r="AC163" s="81"/>
      <c r="AD163" s="81"/>
      <c r="AE163" s="81"/>
      <c r="AF163" s="81"/>
      <c r="AG163" s="81"/>
      <c r="AH163" s="81"/>
      <c r="AI163" s="81"/>
      <c r="AJ163" s="81"/>
      <c r="AK163" s="81"/>
      <c r="AL163" s="81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  <c r="BA163" s="81"/>
      <c r="BB163" s="81"/>
      <c r="BC163" s="81"/>
      <c r="BD163" s="81"/>
      <c r="BE163" s="81"/>
      <c r="BF163" s="81"/>
      <c r="BG163" s="81"/>
      <c r="BH163" s="81"/>
      <c r="BI163" s="81"/>
      <c r="BJ163" s="81"/>
      <c r="BK163" s="81"/>
      <c r="BL163" s="81"/>
      <c r="BM163" s="81"/>
      <c r="BN163" s="81"/>
      <c r="BO163" s="81"/>
      <c r="BP163" s="81"/>
      <c r="BQ163" s="81"/>
      <c r="BR163" s="81"/>
      <c r="BS163" s="81"/>
      <c r="BT163" s="81"/>
      <c r="BU163" s="81"/>
      <c r="BV163" s="81"/>
      <c r="BW163" s="81"/>
      <c r="BX163" s="81"/>
      <c r="BY163" s="81"/>
      <c r="BZ163" s="81"/>
      <c r="CA163" s="81"/>
      <c r="CB163" s="81"/>
      <c r="CC163" s="81"/>
      <c r="CD163" s="81"/>
      <c r="CE163" s="81"/>
      <c r="CF163" s="81"/>
      <c r="CG163" s="81"/>
      <c r="CH163" s="81"/>
      <c r="CI163" s="81"/>
      <c r="CJ163" s="81"/>
      <c r="CK163" s="81"/>
      <c r="CL163" s="81"/>
      <c r="CM163" s="81"/>
      <c r="CN163" s="81"/>
      <c r="CO163" s="81"/>
      <c r="CP163" s="81"/>
      <c r="CQ163" s="81"/>
      <c r="CR163" s="81"/>
      <c r="CS163" s="81"/>
      <c r="CT163" s="81"/>
      <c r="CU163" s="81"/>
      <c r="CV163" s="81"/>
      <c r="CW163" s="81"/>
      <c r="CX163" s="81"/>
      <c r="CY163" s="81"/>
      <c r="CZ163" s="81"/>
      <c r="DA163" s="81"/>
      <c r="DB163" s="81"/>
      <c r="DC163" s="81"/>
      <c r="DD163" s="81"/>
      <c r="DE163" s="81"/>
      <c r="DF163" s="81"/>
      <c r="DG163" s="81"/>
      <c r="DH163" s="81"/>
      <c r="DI163" s="81"/>
      <c r="DJ163" s="81"/>
      <c r="DK163" s="81"/>
      <c r="DL163" s="81"/>
      <c r="DM163" s="81"/>
      <c r="DN163" s="81"/>
      <c r="DO163" s="81"/>
      <c r="DP163" s="81"/>
      <c r="DQ163" s="81"/>
      <c r="DR163" s="81"/>
      <c r="DS163" s="81"/>
      <c r="DT163" s="81"/>
      <c r="DU163" s="81"/>
      <c r="DV163" s="81"/>
      <c r="DW163" s="121"/>
    </row>
    <row r="164" spans="1:127" x14ac:dyDescent="0.25">
      <c r="A164" s="2">
        <f>COUNTIF($D$2:D164,'Reporte de Nomina'!$E$2)</f>
        <v>0</v>
      </c>
      <c r="B164" s="125">
        <f>Lista!A163</f>
        <v>0</v>
      </c>
      <c r="C164" s="125">
        <f>Lista!B163</f>
        <v>0</v>
      </c>
      <c r="D164" s="125">
        <f>Lista!C163</f>
        <v>0</v>
      </c>
      <c r="E164" s="125">
        <f>Lista!D163</f>
        <v>0</v>
      </c>
      <c r="F164" s="125">
        <f>Lista!E163</f>
        <v>0</v>
      </c>
      <c r="G164" s="125">
        <f>Lista!F163</f>
        <v>0</v>
      </c>
      <c r="H164" s="125">
        <f>Lista!G163</f>
        <v>0</v>
      </c>
      <c r="I164" s="125">
        <f>Lista!H163</f>
        <v>0</v>
      </c>
      <c r="J164" s="125">
        <f>Lista!I163</f>
        <v>0</v>
      </c>
      <c r="K164" s="125">
        <f>Lista!J163</f>
        <v>0</v>
      </c>
      <c r="L164" s="125">
        <f>Lista!K163</f>
        <v>0</v>
      </c>
      <c r="M164" s="125">
        <f>Lista!L163</f>
        <v>0</v>
      </c>
      <c r="N164" s="125">
        <f>Lista!M163</f>
        <v>0</v>
      </c>
      <c r="O164" s="125">
        <f>Lista!N163</f>
        <v>0</v>
      </c>
      <c r="P164" s="125">
        <f>Lista!O163</f>
        <v>0</v>
      </c>
      <c r="Q164" s="125">
        <f>Lista!P163</f>
        <v>0</v>
      </c>
      <c r="R164" s="125">
        <f>Lista!Q163</f>
        <v>0</v>
      </c>
      <c r="S164" s="125">
        <f>Lista!R163</f>
        <v>0</v>
      </c>
      <c r="T164" s="81"/>
      <c r="U164" s="81"/>
      <c r="V164" s="81"/>
      <c r="W164" s="81"/>
      <c r="X164" s="81"/>
      <c r="Y164" s="81"/>
      <c r="Z164" s="81"/>
      <c r="AA164" s="81"/>
      <c r="AB164" s="81"/>
      <c r="AC164" s="81"/>
      <c r="AD164" s="81"/>
      <c r="AE164" s="81"/>
      <c r="AF164" s="81"/>
      <c r="AG164" s="81"/>
      <c r="AH164" s="81"/>
      <c r="AI164" s="81"/>
      <c r="AJ164" s="81"/>
      <c r="AK164" s="81"/>
      <c r="AL164" s="81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  <c r="BA164" s="81"/>
      <c r="BB164" s="81"/>
      <c r="BC164" s="81"/>
      <c r="BD164" s="81"/>
      <c r="BE164" s="81"/>
      <c r="BF164" s="81"/>
      <c r="BG164" s="81"/>
      <c r="BH164" s="81"/>
      <c r="BI164" s="81"/>
      <c r="BJ164" s="81"/>
      <c r="BK164" s="81"/>
      <c r="BL164" s="81"/>
      <c r="BM164" s="81"/>
      <c r="BN164" s="81"/>
      <c r="BO164" s="81"/>
      <c r="BP164" s="81"/>
      <c r="BQ164" s="81"/>
      <c r="BR164" s="81"/>
      <c r="BS164" s="81"/>
      <c r="BT164" s="81"/>
      <c r="BU164" s="81"/>
      <c r="BV164" s="81"/>
      <c r="BW164" s="81"/>
      <c r="BX164" s="81"/>
      <c r="BY164" s="81"/>
      <c r="BZ164" s="81"/>
      <c r="CA164" s="81"/>
      <c r="CB164" s="81"/>
      <c r="CC164" s="81"/>
      <c r="CD164" s="81"/>
      <c r="CE164" s="81"/>
      <c r="CF164" s="81"/>
      <c r="CG164" s="81"/>
      <c r="CH164" s="81"/>
      <c r="CI164" s="81"/>
      <c r="CJ164" s="81"/>
      <c r="CK164" s="81"/>
      <c r="CL164" s="81"/>
      <c r="CM164" s="81"/>
      <c r="CN164" s="81"/>
      <c r="CO164" s="81"/>
      <c r="CP164" s="81"/>
      <c r="CQ164" s="81"/>
      <c r="CR164" s="81"/>
      <c r="CS164" s="81"/>
      <c r="CT164" s="81"/>
      <c r="CU164" s="81"/>
      <c r="CV164" s="81"/>
      <c r="CW164" s="81"/>
      <c r="CX164" s="81"/>
      <c r="CY164" s="81"/>
      <c r="CZ164" s="81"/>
      <c r="DA164" s="81"/>
      <c r="DB164" s="81"/>
      <c r="DC164" s="81"/>
      <c r="DD164" s="81"/>
      <c r="DE164" s="81"/>
      <c r="DF164" s="81"/>
      <c r="DG164" s="81"/>
      <c r="DH164" s="81"/>
      <c r="DI164" s="81"/>
      <c r="DJ164" s="81"/>
      <c r="DK164" s="81"/>
      <c r="DL164" s="81"/>
      <c r="DM164" s="81"/>
      <c r="DN164" s="81"/>
      <c r="DO164" s="81"/>
      <c r="DP164" s="81"/>
      <c r="DQ164" s="81"/>
      <c r="DR164" s="81"/>
      <c r="DS164" s="81"/>
      <c r="DT164" s="81"/>
      <c r="DU164" s="81"/>
      <c r="DV164" s="81"/>
      <c r="DW164" s="121"/>
    </row>
    <row r="165" spans="1:127" x14ac:dyDescent="0.25">
      <c r="A165" s="2">
        <f>COUNTIF($D$2:D165,'Reporte de Nomina'!$E$2)</f>
        <v>0</v>
      </c>
      <c r="B165" s="125">
        <f>Lista!A164</f>
        <v>0</v>
      </c>
      <c r="C165" s="125">
        <f>Lista!B164</f>
        <v>0</v>
      </c>
      <c r="D165" s="125">
        <f>Lista!C164</f>
        <v>0</v>
      </c>
      <c r="E165" s="125">
        <f>Lista!D164</f>
        <v>0</v>
      </c>
      <c r="F165" s="125">
        <f>Lista!E164</f>
        <v>0</v>
      </c>
      <c r="G165" s="125">
        <f>Lista!F164</f>
        <v>0</v>
      </c>
      <c r="H165" s="125">
        <f>Lista!G164</f>
        <v>0</v>
      </c>
      <c r="I165" s="125">
        <f>Lista!H164</f>
        <v>0</v>
      </c>
      <c r="J165" s="125">
        <f>Lista!I164</f>
        <v>0</v>
      </c>
      <c r="K165" s="125">
        <f>Lista!J164</f>
        <v>0</v>
      </c>
      <c r="L165" s="125">
        <f>Lista!K164</f>
        <v>0</v>
      </c>
      <c r="M165" s="125">
        <f>Lista!L164</f>
        <v>0</v>
      </c>
      <c r="N165" s="125">
        <f>Lista!M164</f>
        <v>0</v>
      </c>
      <c r="O165" s="125">
        <f>Lista!N164</f>
        <v>0</v>
      </c>
      <c r="P165" s="125">
        <f>Lista!O164</f>
        <v>0</v>
      </c>
      <c r="Q165" s="125">
        <f>Lista!P164</f>
        <v>0</v>
      </c>
      <c r="R165" s="125">
        <f>Lista!Q164</f>
        <v>0</v>
      </c>
      <c r="S165" s="125">
        <f>Lista!R164</f>
        <v>0</v>
      </c>
      <c r="T165" s="81"/>
      <c r="U165" s="81"/>
      <c r="V165" s="81"/>
      <c r="W165" s="81"/>
      <c r="X165" s="81"/>
      <c r="Y165" s="81"/>
      <c r="Z165" s="81"/>
      <c r="AA165" s="81"/>
      <c r="AB165" s="81"/>
      <c r="AC165" s="81"/>
      <c r="AD165" s="81"/>
      <c r="AE165" s="81"/>
      <c r="AF165" s="81"/>
      <c r="AG165" s="81"/>
      <c r="AH165" s="81"/>
      <c r="AI165" s="81"/>
      <c r="AJ165" s="81"/>
      <c r="AK165" s="81"/>
      <c r="AL165" s="81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  <c r="BA165" s="81"/>
      <c r="BB165" s="81"/>
      <c r="BC165" s="81"/>
      <c r="BD165" s="81"/>
      <c r="BE165" s="81"/>
      <c r="BF165" s="81"/>
      <c r="BG165" s="81"/>
      <c r="BH165" s="81"/>
      <c r="BI165" s="81"/>
      <c r="BJ165" s="81"/>
      <c r="BK165" s="81"/>
      <c r="BL165" s="81"/>
      <c r="BM165" s="81"/>
      <c r="BN165" s="81"/>
      <c r="BO165" s="81"/>
      <c r="BP165" s="81"/>
      <c r="BQ165" s="81"/>
      <c r="BR165" s="81"/>
      <c r="BS165" s="81"/>
      <c r="BT165" s="81"/>
      <c r="BU165" s="81"/>
      <c r="BV165" s="81"/>
      <c r="BW165" s="81"/>
      <c r="BX165" s="81"/>
      <c r="BY165" s="81"/>
      <c r="BZ165" s="81"/>
      <c r="CA165" s="81"/>
      <c r="CB165" s="81"/>
      <c r="CC165" s="81"/>
      <c r="CD165" s="81"/>
      <c r="CE165" s="81"/>
      <c r="CF165" s="81"/>
      <c r="CG165" s="81"/>
      <c r="CH165" s="81"/>
      <c r="CI165" s="81"/>
      <c r="CJ165" s="81"/>
      <c r="CK165" s="81"/>
      <c r="CL165" s="81"/>
      <c r="CM165" s="81"/>
      <c r="CN165" s="81"/>
      <c r="CO165" s="81"/>
      <c r="CP165" s="81"/>
      <c r="CQ165" s="81"/>
      <c r="CR165" s="81"/>
      <c r="CS165" s="81"/>
      <c r="CT165" s="81"/>
      <c r="CU165" s="81"/>
      <c r="CV165" s="81"/>
      <c r="CW165" s="81"/>
      <c r="CX165" s="81"/>
      <c r="CY165" s="81"/>
      <c r="CZ165" s="81"/>
      <c r="DA165" s="81"/>
      <c r="DB165" s="81"/>
      <c r="DC165" s="81"/>
      <c r="DD165" s="81"/>
      <c r="DE165" s="81"/>
      <c r="DF165" s="81"/>
      <c r="DG165" s="81"/>
      <c r="DH165" s="81"/>
      <c r="DI165" s="81"/>
      <c r="DJ165" s="81"/>
      <c r="DK165" s="81"/>
      <c r="DL165" s="81"/>
      <c r="DM165" s="81"/>
      <c r="DN165" s="81"/>
      <c r="DO165" s="81"/>
      <c r="DP165" s="81"/>
      <c r="DQ165" s="81"/>
      <c r="DR165" s="81"/>
      <c r="DS165" s="81"/>
      <c r="DT165" s="81"/>
      <c r="DU165" s="81"/>
      <c r="DV165" s="81"/>
      <c r="DW165" s="121"/>
    </row>
    <row r="166" spans="1:127" x14ac:dyDescent="0.25">
      <c r="A166" s="2">
        <f>COUNTIF($D$2:D166,'Reporte de Nomina'!$E$2)</f>
        <v>0</v>
      </c>
      <c r="B166" s="125">
        <f>Lista!A165</f>
        <v>0</v>
      </c>
      <c r="C166" s="125">
        <f>Lista!B165</f>
        <v>0</v>
      </c>
      <c r="D166" s="125">
        <f>Lista!C165</f>
        <v>0</v>
      </c>
      <c r="E166" s="125">
        <f>Lista!D165</f>
        <v>0</v>
      </c>
      <c r="F166" s="125">
        <f>Lista!E165</f>
        <v>0</v>
      </c>
      <c r="G166" s="125">
        <f>Lista!F165</f>
        <v>0</v>
      </c>
      <c r="H166" s="125">
        <f>Lista!G165</f>
        <v>0</v>
      </c>
      <c r="I166" s="125">
        <f>Lista!H165</f>
        <v>0</v>
      </c>
      <c r="J166" s="125">
        <f>Lista!I165</f>
        <v>0</v>
      </c>
      <c r="K166" s="125">
        <f>Lista!J165</f>
        <v>0</v>
      </c>
      <c r="L166" s="125">
        <f>Lista!K165</f>
        <v>0</v>
      </c>
      <c r="M166" s="125">
        <f>Lista!L165</f>
        <v>0</v>
      </c>
      <c r="N166" s="125">
        <f>Lista!M165</f>
        <v>0</v>
      </c>
      <c r="O166" s="125">
        <f>Lista!N165</f>
        <v>0</v>
      </c>
      <c r="P166" s="125">
        <f>Lista!O165</f>
        <v>0</v>
      </c>
      <c r="Q166" s="125">
        <f>Lista!P165</f>
        <v>0</v>
      </c>
      <c r="R166" s="125">
        <f>Lista!Q165</f>
        <v>0</v>
      </c>
      <c r="S166" s="125">
        <f>Lista!R165</f>
        <v>0</v>
      </c>
      <c r="T166" s="81"/>
      <c r="U166" s="81"/>
      <c r="V166" s="81"/>
      <c r="W166" s="81"/>
      <c r="X166" s="81"/>
      <c r="Y166" s="81"/>
      <c r="Z166" s="81"/>
      <c r="AA166" s="81"/>
      <c r="AB166" s="81"/>
      <c r="AC166" s="81"/>
      <c r="AD166" s="81"/>
      <c r="AE166" s="81"/>
      <c r="AF166" s="81"/>
      <c r="AG166" s="81"/>
      <c r="AH166" s="81"/>
      <c r="AI166" s="81"/>
      <c r="AJ166" s="81"/>
      <c r="AK166" s="81"/>
      <c r="AL166" s="81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  <c r="BA166" s="81"/>
      <c r="BB166" s="81"/>
      <c r="BC166" s="81"/>
      <c r="BD166" s="81"/>
      <c r="BE166" s="81"/>
      <c r="BF166" s="81"/>
      <c r="BG166" s="81"/>
      <c r="BH166" s="81"/>
      <c r="BI166" s="81"/>
      <c r="BJ166" s="81"/>
      <c r="BK166" s="81"/>
      <c r="BL166" s="81"/>
      <c r="BM166" s="81"/>
      <c r="BN166" s="81"/>
      <c r="BO166" s="81"/>
      <c r="BP166" s="81"/>
      <c r="BQ166" s="81"/>
      <c r="BR166" s="81"/>
      <c r="BS166" s="81"/>
      <c r="BT166" s="81"/>
      <c r="BU166" s="81"/>
      <c r="BV166" s="81"/>
      <c r="BW166" s="81"/>
      <c r="BX166" s="81"/>
      <c r="BY166" s="81"/>
      <c r="BZ166" s="81"/>
      <c r="CA166" s="81"/>
      <c r="CB166" s="81"/>
      <c r="CC166" s="81"/>
      <c r="CD166" s="81"/>
      <c r="CE166" s="81"/>
      <c r="CF166" s="81"/>
      <c r="CG166" s="81"/>
      <c r="CH166" s="81"/>
      <c r="CI166" s="81"/>
      <c r="CJ166" s="81"/>
      <c r="CK166" s="81"/>
      <c r="CL166" s="81"/>
      <c r="CM166" s="81"/>
      <c r="CN166" s="81"/>
      <c r="CO166" s="81"/>
      <c r="CP166" s="81"/>
      <c r="CQ166" s="81"/>
      <c r="CR166" s="81"/>
      <c r="CS166" s="81"/>
      <c r="CT166" s="81"/>
      <c r="CU166" s="81"/>
      <c r="CV166" s="81"/>
      <c r="CW166" s="81"/>
      <c r="CX166" s="81"/>
      <c r="CY166" s="81"/>
      <c r="CZ166" s="81"/>
      <c r="DA166" s="81"/>
      <c r="DB166" s="81"/>
      <c r="DC166" s="81"/>
      <c r="DD166" s="81"/>
      <c r="DE166" s="81"/>
      <c r="DF166" s="81"/>
      <c r="DG166" s="81"/>
      <c r="DH166" s="81"/>
      <c r="DI166" s="81"/>
      <c r="DJ166" s="81"/>
      <c r="DK166" s="81"/>
      <c r="DL166" s="81"/>
      <c r="DM166" s="81"/>
      <c r="DN166" s="81"/>
      <c r="DO166" s="81"/>
      <c r="DP166" s="81"/>
      <c r="DQ166" s="81"/>
      <c r="DR166" s="81"/>
      <c r="DS166" s="81"/>
      <c r="DT166" s="81"/>
      <c r="DU166" s="81"/>
      <c r="DV166" s="81"/>
      <c r="DW166" s="121"/>
    </row>
    <row r="167" spans="1:127" x14ac:dyDescent="0.25">
      <c r="A167" s="2">
        <f>COUNTIF($D$2:D167,'Reporte de Nomina'!$E$2)</f>
        <v>0</v>
      </c>
      <c r="B167" s="125">
        <f>Lista!A166</f>
        <v>0</v>
      </c>
      <c r="C167" s="125">
        <f>Lista!B166</f>
        <v>0</v>
      </c>
      <c r="D167" s="125">
        <f>Lista!C166</f>
        <v>0</v>
      </c>
      <c r="E167" s="125">
        <f>Lista!D166</f>
        <v>0</v>
      </c>
      <c r="F167" s="125">
        <f>Lista!E166</f>
        <v>0</v>
      </c>
      <c r="G167" s="125">
        <f>Lista!F166</f>
        <v>0</v>
      </c>
      <c r="H167" s="125">
        <f>Lista!G166</f>
        <v>0</v>
      </c>
      <c r="I167" s="125">
        <f>Lista!H166</f>
        <v>0</v>
      </c>
      <c r="J167" s="125">
        <f>Lista!I166</f>
        <v>0</v>
      </c>
      <c r="K167" s="125">
        <f>Lista!J166</f>
        <v>0</v>
      </c>
      <c r="L167" s="125">
        <f>Lista!K166</f>
        <v>0</v>
      </c>
      <c r="M167" s="125">
        <f>Lista!L166</f>
        <v>0</v>
      </c>
      <c r="N167" s="125">
        <f>Lista!M166</f>
        <v>0</v>
      </c>
      <c r="O167" s="125">
        <f>Lista!N166</f>
        <v>0</v>
      </c>
      <c r="P167" s="125">
        <f>Lista!O166</f>
        <v>0</v>
      </c>
      <c r="Q167" s="125">
        <f>Lista!P166</f>
        <v>0</v>
      </c>
      <c r="R167" s="125">
        <f>Lista!Q166</f>
        <v>0</v>
      </c>
      <c r="S167" s="125">
        <f>Lista!R166</f>
        <v>0</v>
      </c>
      <c r="T167" s="81"/>
      <c r="U167" s="81"/>
      <c r="V167" s="81"/>
      <c r="W167" s="81"/>
      <c r="X167" s="81"/>
      <c r="Y167" s="81"/>
      <c r="Z167" s="81"/>
      <c r="AA167" s="81"/>
      <c r="AB167" s="81"/>
      <c r="AC167" s="81"/>
      <c r="AD167" s="81"/>
      <c r="AE167" s="81"/>
      <c r="AF167" s="81"/>
      <c r="AG167" s="81"/>
      <c r="AH167" s="81"/>
      <c r="AI167" s="81"/>
      <c r="AJ167" s="81"/>
      <c r="AK167" s="81"/>
      <c r="AL167" s="81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  <c r="BA167" s="81"/>
      <c r="BB167" s="81"/>
      <c r="BC167" s="81"/>
      <c r="BD167" s="81"/>
      <c r="BE167" s="81"/>
      <c r="BF167" s="81"/>
      <c r="BG167" s="81"/>
      <c r="BH167" s="81"/>
      <c r="BI167" s="81"/>
      <c r="BJ167" s="81"/>
      <c r="BK167" s="81"/>
      <c r="BL167" s="81"/>
      <c r="BM167" s="81"/>
      <c r="BN167" s="81"/>
      <c r="BO167" s="81"/>
      <c r="BP167" s="81"/>
      <c r="BQ167" s="81"/>
      <c r="BR167" s="81"/>
      <c r="BS167" s="81"/>
      <c r="BT167" s="81"/>
      <c r="BU167" s="81"/>
      <c r="BV167" s="81"/>
      <c r="BW167" s="81"/>
      <c r="BX167" s="81"/>
      <c r="BY167" s="81"/>
      <c r="BZ167" s="81"/>
      <c r="CA167" s="81"/>
      <c r="CB167" s="81"/>
      <c r="CC167" s="81"/>
      <c r="CD167" s="81"/>
      <c r="CE167" s="81"/>
      <c r="CF167" s="81"/>
      <c r="CG167" s="81"/>
      <c r="CH167" s="81"/>
      <c r="CI167" s="81"/>
      <c r="CJ167" s="81"/>
      <c r="CK167" s="81"/>
      <c r="CL167" s="81"/>
      <c r="CM167" s="81"/>
      <c r="CN167" s="81"/>
      <c r="CO167" s="81"/>
      <c r="CP167" s="81"/>
      <c r="CQ167" s="81"/>
      <c r="CR167" s="81"/>
      <c r="CS167" s="81"/>
      <c r="CT167" s="81"/>
      <c r="CU167" s="81"/>
      <c r="CV167" s="81"/>
      <c r="CW167" s="81"/>
      <c r="CX167" s="81"/>
      <c r="CY167" s="81"/>
      <c r="CZ167" s="81"/>
      <c r="DA167" s="81"/>
      <c r="DB167" s="81"/>
      <c r="DC167" s="81"/>
      <c r="DD167" s="81"/>
      <c r="DE167" s="81"/>
      <c r="DF167" s="81"/>
      <c r="DG167" s="81"/>
      <c r="DH167" s="81"/>
      <c r="DI167" s="81"/>
      <c r="DJ167" s="81"/>
      <c r="DK167" s="81"/>
      <c r="DL167" s="81"/>
      <c r="DM167" s="81"/>
      <c r="DN167" s="81"/>
      <c r="DO167" s="81"/>
      <c r="DP167" s="81"/>
      <c r="DQ167" s="81"/>
      <c r="DR167" s="81"/>
      <c r="DS167" s="81"/>
      <c r="DT167" s="81"/>
      <c r="DU167" s="81"/>
      <c r="DV167" s="81"/>
      <c r="DW167" s="121"/>
    </row>
    <row r="168" spans="1:127" x14ac:dyDescent="0.25">
      <c r="A168" s="2">
        <f>COUNTIF($D$2:D168,'Reporte de Nomina'!$E$2)</f>
        <v>0</v>
      </c>
      <c r="B168" s="125">
        <f>Lista!A167</f>
        <v>0</v>
      </c>
      <c r="C168" s="125">
        <f>Lista!B167</f>
        <v>0</v>
      </c>
      <c r="D168" s="125">
        <f>Lista!C167</f>
        <v>0</v>
      </c>
      <c r="E168" s="125">
        <f>Lista!D167</f>
        <v>0</v>
      </c>
      <c r="F168" s="125">
        <f>Lista!E167</f>
        <v>0</v>
      </c>
      <c r="G168" s="125">
        <f>Lista!F167</f>
        <v>0</v>
      </c>
      <c r="H168" s="125">
        <f>Lista!G167</f>
        <v>0</v>
      </c>
      <c r="I168" s="125">
        <f>Lista!H167</f>
        <v>0</v>
      </c>
      <c r="J168" s="125">
        <f>Lista!I167</f>
        <v>0</v>
      </c>
      <c r="K168" s="125">
        <f>Lista!J167</f>
        <v>0</v>
      </c>
      <c r="L168" s="125">
        <f>Lista!K167</f>
        <v>0</v>
      </c>
      <c r="M168" s="125">
        <f>Lista!L167</f>
        <v>0</v>
      </c>
      <c r="N168" s="125">
        <f>Lista!M167</f>
        <v>0</v>
      </c>
      <c r="O168" s="125">
        <f>Lista!N167</f>
        <v>0</v>
      </c>
      <c r="P168" s="125">
        <f>Lista!O167</f>
        <v>0</v>
      </c>
      <c r="Q168" s="125">
        <f>Lista!P167</f>
        <v>0</v>
      </c>
      <c r="R168" s="125">
        <f>Lista!Q167</f>
        <v>0</v>
      </c>
      <c r="S168" s="125">
        <f>Lista!R167</f>
        <v>0</v>
      </c>
      <c r="T168" s="81"/>
      <c r="U168" s="81"/>
      <c r="V168" s="81"/>
      <c r="W168" s="81"/>
      <c r="X168" s="81"/>
      <c r="Y168" s="81"/>
      <c r="Z168" s="81"/>
      <c r="AA168" s="81"/>
      <c r="AB168" s="81"/>
      <c r="AC168" s="81"/>
      <c r="AD168" s="81"/>
      <c r="AE168" s="81"/>
      <c r="AF168" s="81"/>
      <c r="AG168" s="81"/>
      <c r="AH168" s="81"/>
      <c r="AI168" s="81"/>
      <c r="AJ168" s="81"/>
      <c r="AK168" s="81"/>
      <c r="AL168" s="81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  <c r="BA168" s="81"/>
      <c r="BB168" s="81"/>
      <c r="BC168" s="81"/>
      <c r="BD168" s="81"/>
      <c r="BE168" s="81"/>
      <c r="BF168" s="81"/>
      <c r="BG168" s="81"/>
      <c r="BH168" s="81"/>
      <c r="BI168" s="81"/>
      <c r="BJ168" s="81"/>
      <c r="BK168" s="81"/>
      <c r="BL168" s="81"/>
      <c r="BM168" s="81"/>
      <c r="BN168" s="81"/>
      <c r="BO168" s="81"/>
      <c r="BP168" s="81"/>
      <c r="BQ168" s="81"/>
      <c r="BR168" s="81"/>
      <c r="BS168" s="81"/>
      <c r="BT168" s="81"/>
      <c r="BU168" s="81"/>
      <c r="BV168" s="81"/>
      <c r="BW168" s="81"/>
      <c r="BX168" s="81"/>
      <c r="BY168" s="81"/>
      <c r="BZ168" s="81"/>
      <c r="CA168" s="81"/>
      <c r="CB168" s="81"/>
      <c r="CC168" s="81"/>
      <c r="CD168" s="81"/>
      <c r="CE168" s="81"/>
      <c r="CF168" s="81"/>
      <c r="CG168" s="81"/>
      <c r="CH168" s="81"/>
      <c r="CI168" s="81"/>
      <c r="CJ168" s="81"/>
      <c r="CK168" s="81"/>
      <c r="CL168" s="81"/>
      <c r="CM168" s="81"/>
      <c r="CN168" s="81"/>
      <c r="CO168" s="81"/>
      <c r="CP168" s="81"/>
      <c r="CQ168" s="81"/>
      <c r="CR168" s="81"/>
      <c r="CS168" s="81"/>
      <c r="CT168" s="81"/>
      <c r="CU168" s="81"/>
      <c r="CV168" s="81"/>
      <c r="CW168" s="81"/>
      <c r="CX168" s="81"/>
      <c r="CY168" s="81"/>
      <c r="CZ168" s="81"/>
      <c r="DA168" s="81"/>
      <c r="DB168" s="81"/>
      <c r="DC168" s="81"/>
      <c r="DD168" s="81"/>
      <c r="DE168" s="81"/>
      <c r="DF168" s="81"/>
      <c r="DG168" s="81"/>
      <c r="DH168" s="81"/>
      <c r="DI168" s="81"/>
      <c r="DJ168" s="81"/>
      <c r="DK168" s="81"/>
      <c r="DL168" s="81"/>
      <c r="DM168" s="81"/>
      <c r="DN168" s="81"/>
      <c r="DO168" s="81"/>
      <c r="DP168" s="81"/>
      <c r="DQ168" s="81"/>
      <c r="DR168" s="81"/>
      <c r="DS168" s="81"/>
      <c r="DT168" s="81"/>
      <c r="DU168" s="81"/>
      <c r="DV168" s="81"/>
      <c r="DW168" s="121"/>
    </row>
    <row r="169" spans="1:127" x14ac:dyDescent="0.25">
      <c r="A169" s="2">
        <f>COUNTIF($D$2:D169,'Reporte de Nomina'!$E$2)</f>
        <v>0</v>
      </c>
      <c r="B169" s="125">
        <f>Lista!A168</f>
        <v>0</v>
      </c>
      <c r="C169" s="125">
        <f>Lista!B168</f>
        <v>0</v>
      </c>
      <c r="D169" s="125">
        <f>Lista!C168</f>
        <v>0</v>
      </c>
      <c r="E169" s="125">
        <f>Lista!D168</f>
        <v>0</v>
      </c>
      <c r="F169" s="125">
        <f>Lista!E168</f>
        <v>0</v>
      </c>
      <c r="G169" s="125">
        <f>Lista!F168</f>
        <v>0</v>
      </c>
      <c r="H169" s="125">
        <f>Lista!G168</f>
        <v>0</v>
      </c>
      <c r="I169" s="125">
        <f>Lista!H168</f>
        <v>0</v>
      </c>
      <c r="J169" s="125">
        <f>Lista!I168</f>
        <v>0</v>
      </c>
      <c r="K169" s="125">
        <f>Lista!J168</f>
        <v>0</v>
      </c>
      <c r="L169" s="125">
        <f>Lista!K168</f>
        <v>0</v>
      </c>
      <c r="M169" s="125">
        <f>Lista!L168</f>
        <v>0</v>
      </c>
      <c r="N169" s="125">
        <f>Lista!M168</f>
        <v>0</v>
      </c>
      <c r="O169" s="125">
        <f>Lista!N168</f>
        <v>0</v>
      </c>
      <c r="P169" s="125">
        <f>Lista!O168</f>
        <v>0</v>
      </c>
      <c r="Q169" s="125">
        <f>Lista!P168</f>
        <v>0</v>
      </c>
      <c r="R169" s="125">
        <f>Lista!Q168</f>
        <v>0</v>
      </c>
      <c r="S169" s="125">
        <f>Lista!R168</f>
        <v>0</v>
      </c>
      <c r="T169" s="81"/>
      <c r="U169" s="81"/>
      <c r="V169" s="81"/>
      <c r="W169" s="81"/>
      <c r="X169" s="81"/>
      <c r="Y169" s="81"/>
      <c r="Z169" s="81"/>
      <c r="AA169" s="81"/>
      <c r="AB169" s="81"/>
      <c r="AC169" s="81"/>
      <c r="AD169" s="81"/>
      <c r="AE169" s="81"/>
      <c r="AF169" s="81"/>
      <c r="AG169" s="81"/>
      <c r="AH169" s="81"/>
      <c r="AI169" s="81"/>
      <c r="AJ169" s="81"/>
      <c r="AK169" s="81"/>
      <c r="AL169" s="81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  <c r="BA169" s="81"/>
      <c r="BB169" s="81"/>
      <c r="BC169" s="81"/>
      <c r="BD169" s="81"/>
      <c r="BE169" s="81"/>
      <c r="BF169" s="81"/>
      <c r="BG169" s="81"/>
      <c r="BH169" s="81"/>
      <c r="BI169" s="81"/>
      <c r="BJ169" s="81"/>
      <c r="BK169" s="81"/>
      <c r="BL169" s="81"/>
      <c r="BM169" s="81"/>
      <c r="BN169" s="81"/>
      <c r="BO169" s="81"/>
      <c r="BP169" s="81"/>
      <c r="BQ169" s="81"/>
      <c r="BR169" s="81"/>
      <c r="BS169" s="81"/>
      <c r="BT169" s="81"/>
      <c r="BU169" s="81"/>
      <c r="BV169" s="81"/>
      <c r="BW169" s="81"/>
      <c r="BX169" s="81"/>
      <c r="BY169" s="81"/>
      <c r="BZ169" s="81"/>
      <c r="CA169" s="81"/>
      <c r="CB169" s="81"/>
      <c r="CC169" s="81"/>
      <c r="CD169" s="81"/>
      <c r="CE169" s="81"/>
      <c r="CF169" s="81"/>
      <c r="CG169" s="81"/>
      <c r="CH169" s="81"/>
      <c r="CI169" s="81"/>
      <c r="CJ169" s="81"/>
      <c r="CK169" s="81"/>
      <c r="CL169" s="81"/>
      <c r="CM169" s="81"/>
      <c r="CN169" s="81"/>
      <c r="CO169" s="81"/>
      <c r="CP169" s="81"/>
      <c r="CQ169" s="81"/>
      <c r="CR169" s="81"/>
      <c r="CS169" s="81"/>
      <c r="CT169" s="81"/>
      <c r="CU169" s="81"/>
      <c r="CV169" s="81"/>
      <c r="CW169" s="81"/>
      <c r="CX169" s="81"/>
      <c r="CY169" s="81"/>
      <c r="CZ169" s="81"/>
      <c r="DA169" s="81"/>
      <c r="DB169" s="81"/>
      <c r="DC169" s="81"/>
      <c r="DD169" s="81"/>
      <c r="DE169" s="81"/>
      <c r="DF169" s="81"/>
      <c r="DG169" s="81"/>
      <c r="DH169" s="81"/>
      <c r="DI169" s="81"/>
      <c r="DJ169" s="81"/>
      <c r="DK169" s="81"/>
      <c r="DL169" s="81"/>
      <c r="DM169" s="81"/>
      <c r="DN169" s="81"/>
      <c r="DO169" s="81"/>
      <c r="DP169" s="81"/>
      <c r="DQ169" s="81"/>
      <c r="DR169" s="81"/>
      <c r="DS169" s="81"/>
      <c r="DT169" s="81"/>
      <c r="DU169" s="81"/>
      <c r="DV169" s="81"/>
      <c r="DW169" s="121"/>
    </row>
    <row r="170" spans="1:127" x14ac:dyDescent="0.25">
      <c r="A170" s="2">
        <f>COUNTIF($D$2:D170,'Reporte de Nomina'!$E$2)</f>
        <v>0</v>
      </c>
      <c r="B170" s="125">
        <f>Lista!A169</f>
        <v>0</v>
      </c>
      <c r="C170" s="125">
        <f>Lista!B169</f>
        <v>0</v>
      </c>
      <c r="D170" s="125">
        <f>Lista!C169</f>
        <v>0</v>
      </c>
      <c r="E170" s="125">
        <f>Lista!D169</f>
        <v>0</v>
      </c>
      <c r="F170" s="125">
        <f>Lista!E169</f>
        <v>0</v>
      </c>
      <c r="G170" s="125">
        <f>Lista!F169</f>
        <v>0</v>
      </c>
      <c r="H170" s="125">
        <f>Lista!G169</f>
        <v>0</v>
      </c>
      <c r="I170" s="125">
        <f>Lista!H169</f>
        <v>0</v>
      </c>
      <c r="J170" s="125">
        <f>Lista!I169</f>
        <v>0</v>
      </c>
      <c r="K170" s="125">
        <f>Lista!J169</f>
        <v>0</v>
      </c>
      <c r="L170" s="125">
        <f>Lista!K169</f>
        <v>0</v>
      </c>
      <c r="M170" s="125">
        <f>Lista!L169</f>
        <v>0</v>
      </c>
      <c r="N170" s="125">
        <f>Lista!M169</f>
        <v>0</v>
      </c>
      <c r="O170" s="125">
        <f>Lista!N169</f>
        <v>0</v>
      </c>
      <c r="P170" s="125">
        <f>Lista!O169</f>
        <v>0</v>
      </c>
      <c r="Q170" s="125">
        <f>Lista!P169</f>
        <v>0</v>
      </c>
      <c r="R170" s="125">
        <f>Lista!Q169</f>
        <v>0</v>
      </c>
      <c r="S170" s="125">
        <f>Lista!R169</f>
        <v>0</v>
      </c>
      <c r="T170" s="81"/>
      <c r="U170" s="81"/>
      <c r="V170" s="81"/>
      <c r="W170" s="81"/>
      <c r="X170" s="81"/>
      <c r="Y170" s="81"/>
      <c r="Z170" s="81"/>
      <c r="AA170" s="81"/>
      <c r="AB170" s="81"/>
      <c r="AC170" s="81"/>
      <c r="AD170" s="81"/>
      <c r="AE170" s="81"/>
      <c r="AF170" s="81"/>
      <c r="AG170" s="81"/>
      <c r="AH170" s="81"/>
      <c r="AI170" s="81"/>
      <c r="AJ170" s="81"/>
      <c r="AK170" s="81"/>
      <c r="AL170" s="81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  <c r="BA170" s="81"/>
      <c r="BB170" s="81"/>
      <c r="BC170" s="81"/>
      <c r="BD170" s="81"/>
      <c r="BE170" s="81"/>
      <c r="BF170" s="81"/>
      <c r="BG170" s="81"/>
      <c r="BH170" s="81"/>
      <c r="BI170" s="81"/>
      <c r="BJ170" s="81"/>
      <c r="BK170" s="81"/>
      <c r="BL170" s="81"/>
      <c r="BM170" s="81"/>
      <c r="BN170" s="81"/>
      <c r="BO170" s="81"/>
      <c r="BP170" s="81"/>
      <c r="BQ170" s="81"/>
      <c r="BR170" s="81"/>
      <c r="BS170" s="81"/>
      <c r="BT170" s="81"/>
      <c r="BU170" s="81"/>
      <c r="BV170" s="81"/>
      <c r="BW170" s="81"/>
      <c r="BX170" s="81"/>
      <c r="BY170" s="81"/>
      <c r="BZ170" s="81"/>
      <c r="CA170" s="81"/>
      <c r="CB170" s="81"/>
      <c r="CC170" s="81"/>
      <c r="CD170" s="81"/>
      <c r="CE170" s="81"/>
      <c r="CF170" s="81"/>
      <c r="CG170" s="81"/>
      <c r="CH170" s="81"/>
      <c r="CI170" s="81"/>
      <c r="CJ170" s="81"/>
      <c r="CK170" s="81"/>
      <c r="CL170" s="81"/>
      <c r="CM170" s="81"/>
      <c r="CN170" s="81"/>
      <c r="CO170" s="81"/>
      <c r="CP170" s="81"/>
      <c r="CQ170" s="81"/>
      <c r="CR170" s="81"/>
      <c r="CS170" s="81"/>
      <c r="CT170" s="81"/>
      <c r="CU170" s="81"/>
      <c r="CV170" s="81"/>
      <c r="CW170" s="81"/>
      <c r="CX170" s="81"/>
      <c r="CY170" s="81"/>
      <c r="CZ170" s="81"/>
      <c r="DA170" s="81"/>
      <c r="DB170" s="81"/>
      <c r="DC170" s="81"/>
      <c r="DD170" s="81"/>
      <c r="DE170" s="81"/>
      <c r="DF170" s="81"/>
      <c r="DG170" s="81"/>
      <c r="DH170" s="81"/>
      <c r="DI170" s="81"/>
      <c r="DJ170" s="81"/>
      <c r="DK170" s="81"/>
      <c r="DL170" s="81"/>
      <c r="DM170" s="81"/>
      <c r="DN170" s="81"/>
      <c r="DO170" s="81"/>
      <c r="DP170" s="81"/>
      <c r="DQ170" s="81"/>
      <c r="DR170" s="81"/>
      <c r="DS170" s="81"/>
      <c r="DT170" s="81"/>
      <c r="DU170" s="81"/>
      <c r="DV170" s="81"/>
      <c r="DW170" s="121"/>
    </row>
    <row r="171" spans="1:127" x14ac:dyDescent="0.25">
      <c r="A171" s="2">
        <f>COUNTIF($D$2:D171,'Reporte de Nomina'!$E$2)</f>
        <v>0</v>
      </c>
      <c r="B171" s="125">
        <f>Lista!A170</f>
        <v>0</v>
      </c>
      <c r="C171" s="125">
        <f>Lista!B170</f>
        <v>0</v>
      </c>
      <c r="D171" s="125">
        <f>Lista!C170</f>
        <v>0</v>
      </c>
      <c r="E171" s="125">
        <f>Lista!D170</f>
        <v>0</v>
      </c>
      <c r="F171" s="125">
        <f>Lista!E170</f>
        <v>0</v>
      </c>
      <c r="G171" s="125">
        <f>Lista!F170</f>
        <v>0</v>
      </c>
      <c r="H171" s="125">
        <f>Lista!G170</f>
        <v>0</v>
      </c>
      <c r="I171" s="125">
        <f>Lista!H170</f>
        <v>0</v>
      </c>
      <c r="J171" s="125">
        <f>Lista!I170</f>
        <v>0</v>
      </c>
      <c r="K171" s="125">
        <f>Lista!J170</f>
        <v>0</v>
      </c>
      <c r="L171" s="125">
        <f>Lista!K170</f>
        <v>0</v>
      </c>
      <c r="M171" s="125">
        <f>Lista!L170</f>
        <v>0</v>
      </c>
      <c r="N171" s="125">
        <f>Lista!M170</f>
        <v>0</v>
      </c>
      <c r="O171" s="125">
        <f>Lista!N170</f>
        <v>0</v>
      </c>
      <c r="P171" s="125">
        <f>Lista!O170</f>
        <v>0</v>
      </c>
      <c r="Q171" s="125">
        <f>Lista!P170</f>
        <v>0</v>
      </c>
      <c r="R171" s="125">
        <f>Lista!Q170</f>
        <v>0</v>
      </c>
      <c r="S171" s="125">
        <f>Lista!R170</f>
        <v>0</v>
      </c>
      <c r="T171" s="81"/>
      <c r="U171" s="81"/>
      <c r="V171" s="81"/>
      <c r="W171" s="81"/>
      <c r="X171" s="81"/>
      <c r="Y171" s="81"/>
      <c r="Z171" s="81"/>
      <c r="AA171" s="81"/>
      <c r="AB171" s="81"/>
      <c r="AC171" s="81"/>
      <c r="AD171" s="81"/>
      <c r="AE171" s="81"/>
      <c r="AF171" s="81"/>
      <c r="AG171" s="81"/>
      <c r="AH171" s="81"/>
      <c r="AI171" s="81"/>
      <c r="AJ171" s="81"/>
      <c r="AK171" s="81"/>
      <c r="AL171" s="81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  <c r="BA171" s="81"/>
      <c r="BB171" s="81"/>
      <c r="BC171" s="81"/>
      <c r="BD171" s="81"/>
      <c r="BE171" s="81"/>
      <c r="BF171" s="81"/>
      <c r="BG171" s="81"/>
      <c r="BH171" s="81"/>
      <c r="BI171" s="81"/>
      <c r="BJ171" s="81"/>
      <c r="BK171" s="81"/>
      <c r="BL171" s="81"/>
      <c r="BM171" s="81"/>
      <c r="BN171" s="81"/>
      <c r="BO171" s="81"/>
      <c r="BP171" s="81"/>
      <c r="BQ171" s="81"/>
      <c r="BR171" s="81"/>
      <c r="BS171" s="81"/>
      <c r="BT171" s="81"/>
      <c r="BU171" s="81"/>
      <c r="BV171" s="81"/>
      <c r="BW171" s="81"/>
      <c r="BX171" s="81"/>
      <c r="BY171" s="81"/>
      <c r="BZ171" s="81"/>
      <c r="CA171" s="81"/>
      <c r="CB171" s="81"/>
      <c r="CC171" s="81"/>
      <c r="CD171" s="81"/>
      <c r="CE171" s="81"/>
      <c r="CF171" s="81"/>
      <c r="CG171" s="81"/>
      <c r="CH171" s="81"/>
      <c r="CI171" s="81"/>
      <c r="CJ171" s="81"/>
      <c r="CK171" s="81"/>
      <c r="CL171" s="81"/>
      <c r="CM171" s="81"/>
      <c r="CN171" s="81"/>
      <c r="CO171" s="81"/>
      <c r="CP171" s="81"/>
      <c r="CQ171" s="81"/>
      <c r="CR171" s="81"/>
      <c r="CS171" s="81"/>
      <c r="CT171" s="81"/>
      <c r="CU171" s="81"/>
      <c r="CV171" s="81"/>
      <c r="CW171" s="81"/>
      <c r="CX171" s="81"/>
      <c r="CY171" s="81"/>
      <c r="CZ171" s="81"/>
      <c r="DA171" s="81"/>
      <c r="DB171" s="81"/>
      <c r="DC171" s="81"/>
      <c r="DD171" s="81"/>
      <c r="DE171" s="81"/>
      <c r="DF171" s="81"/>
      <c r="DG171" s="81"/>
      <c r="DH171" s="81"/>
      <c r="DI171" s="81"/>
      <c r="DJ171" s="81"/>
      <c r="DK171" s="81"/>
      <c r="DL171" s="81"/>
      <c r="DM171" s="81"/>
      <c r="DN171" s="81"/>
      <c r="DO171" s="81"/>
      <c r="DP171" s="81"/>
      <c r="DQ171" s="81"/>
      <c r="DR171" s="81"/>
      <c r="DS171" s="81"/>
      <c r="DT171" s="81"/>
      <c r="DU171" s="81"/>
      <c r="DV171" s="81"/>
      <c r="DW171" s="121"/>
    </row>
    <row r="172" spans="1:127" x14ac:dyDescent="0.25">
      <c r="A172" s="2">
        <f>COUNTIF($D$2:D172,'Reporte de Nomina'!$E$2)</f>
        <v>0</v>
      </c>
      <c r="B172" s="125">
        <f>Lista!A171</f>
        <v>0</v>
      </c>
      <c r="C172" s="125">
        <f>Lista!B171</f>
        <v>0</v>
      </c>
      <c r="D172" s="125">
        <f>Lista!C171</f>
        <v>0</v>
      </c>
      <c r="E172" s="125">
        <f>Lista!D171</f>
        <v>0</v>
      </c>
      <c r="F172" s="125">
        <f>Lista!E171</f>
        <v>0</v>
      </c>
      <c r="G172" s="125">
        <f>Lista!F171</f>
        <v>0</v>
      </c>
      <c r="H172" s="125">
        <f>Lista!G171</f>
        <v>0</v>
      </c>
      <c r="I172" s="125">
        <f>Lista!H171</f>
        <v>0</v>
      </c>
      <c r="J172" s="125">
        <f>Lista!I171</f>
        <v>0</v>
      </c>
      <c r="K172" s="125">
        <f>Lista!J171</f>
        <v>0</v>
      </c>
      <c r="L172" s="125">
        <f>Lista!K171</f>
        <v>0</v>
      </c>
      <c r="M172" s="125">
        <f>Lista!L171</f>
        <v>0</v>
      </c>
      <c r="N172" s="125">
        <f>Lista!M171</f>
        <v>0</v>
      </c>
      <c r="O172" s="125">
        <f>Lista!N171</f>
        <v>0</v>
      </c>
      <c r="P172" s="125">
        <f>Lista!O171</f>
        <v>0</v>
      </c>
      <c r="Q172" s="125">
        <f>Lista!P171</f>
        <v>0</v>
      </c>
      <c r="R172" s="125">
        <f>Lista!Q171</f>
        <v>0</v>
      </c>
      <c r="S172" s="125">
        <f>Lista!R171</f>
        <v>0</v>
      </c>
      <c r="T172" s="81"/>
      <c r="U172" s="81"/>
      <c r="V172" s="81"/>
      <c r="W172" s="81"/>
      <c r="X172" s="81"/>
      <c r="Y172" s="81"/>
      <c r="Z172" s="81"/>
      <c r="AA172" s="81"/>
      <c r="AB172" s="81"/>
      <c r="AC172" s="81"/>
      <c r="AD172" s="81"/>
      <c r="AE172" s="81"/>
      <c r="AF172" s="81"/>
      <c r="AG172" s="81"/>
      <c r="AH172" s="81"/>
      <c r="AI172" s="81"/>
      <c r="AJ172" s="81"/>
      <c r="AK172" s="81"/>
      <c r="AL172" s="81"/>
      <c r="AM172" s="81"/>
      <c r="AN172" s="81"/>
      <c r="AO172" s="81"/>
      <c r="AP172" s="81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  <c r="BA172" s="81"/>
      <c r="BB172" s="81"/>
      <c r="BC172" s="81"/>
      <c r="BD172" s="81"/>
      <c r="BE172" s="81"/>
      <c r="BF172" s="81"/>
      <c r="BG172" s="81"/>
      <c r="BH172" s="81"/>
      <c r="BI172" s="81"/>
      <c r="BJ172" s="81"/>
      <c r="BK172" s="81"/>
      <c r="BL172" s="81"/>
      <c r="BM172" s="81"/>
      <c r="BN172" s="81"/>
      <c r="BO172" s="81"/>
      <c r="BP172" s="81"/>
      <c r="BQ172" s="81"/>
      <c r="BR172" s="81"/>
      <c r="BS172" s="81"/>
      <c r="BT172" s="81"/>
      <c r="BU172" s="81"/>
      <c r="BV172" s="81"/>
      <c r="BW172" s="81"/>
      <c r="BX172" s="81"/>
      <c r="BY172" s="81"/>
      <c r="BZ172" s="81"/>
      <c r="CA172" s="81"/>
      <c r="CB172" s="81"/>
      <c r="CC172" s="81"/>
      <c r="CD172" s="81"/>
      <c r="CE172" s="81"/>
      <c r="CF172" s="81"/>
      <c r="CG172" s="81"/>
      <c r="CH172" s="81"/>
      <c r="CI172" s="81"/>
      <c r="CJ172" s="81"/>
      <c r="CK172" s="81"/>
      <c r="CL172" s="81"/>
      <c r="CM172" s="81"/>
      <c r="CN172" s="81"/>
      <c r="CO172" s="81"/>
      <c r="CP172" s="81"/>
      <c r="CQ172" s="81"/>
      <c r="CR172" s="81"/>
      <c r="CS172" s="81"/>
      <c r="CT172" s="81"/>
      <c r="CU172" s="81"/>
      <c r="CV172" s="81"/>
      <c r="CW172" s="81"/>
      <c r="CX172" s="81"/>
      <c r="CY172" s="81"/>
      <c r="CZ172" s="81"/>
      <c r="DA172" s="81"/>
      <c r="DB172" s="81"/>
      <c r="DC172" s="81"/>
      <c r="DD172" s="81"/>
      <c r="DE172" s="81"/>
      <c r="DF172" s="81"/>
      <c r="DG172" s="81"/>
      <c r="DH172" s="81"/>
      <c r="DI172" s="81"/>
      <c r="DJ172" s="81"/>
      <c r="DK172" s="81"/>
      <c r="DL172" s="81"/>
      <c r="DM172" s="81"/>
      <c r="DN172" s="81"/>
      <c r="DO172" s="81"/>
      <c r="DP172" s="81"/>
      <c r="DQ172" s="81"/>
      <c r="DR172" s="81"/>
      <c r="DS172" s="81"/>
      <c r="DT172" s="81"/>
      <c r="DU172" s="81"/>
      <c r="DV172" s="81"/>
      <c r="DW172" s="121"/>
    </row>
    <row r="173" spans="1:127" x14ac:dyDescent="0.25">
      <c r="A173" s="2">
        <f>COUNTIF($D$2:D173,'Reporte de Nomina'!$E$2)</f>
        <v>0</v>
      </c>
      <c r="B173" s="125">
        <f>Lista!A172</f>
        <v>0</v>
      </c>
      <c r="C173" s="125">
        <f>Lista!B172</f>
        <v>0</v>
      </c>
      <c r="D173" s="125">
        <f>Lista!C172</f>
        <v>0</v>
      </c>
      <c r="E173" s="125">
        <f>Lista!D172</f>
        <v>0</v>
      </c>
      <c r="F173" s="125">
        <f>Lista!E172</f>
        <v>0</v>
      </c>
      <c r="G173" s="125">
        <f>Lista!F172</f>
        <v>0</v>
      </c>
      <c r="H173" s="125">
        <f>Lista!G172</f>
        <v>0</v>
      </c>
      <c r="I173" s="125">
        <f>Lista!H172</f>
        <v>0</v>
      </c>
      <c r="J173" s="125">
        <f>Lista!I172</f>
        <v>0</v>
      </c>
      <c r="K173" s="125">
        <f>Lista!J172</f>
        <v>0</v>
      </c>
      <c r="L173" s="125">
        <f>Lista!K172</f>
        <v>0</v>
      </c>
      <c r="M173" s="125">
        <f>Lista!L172</f>
        <v>0</v>
      </c>
      <c r="N173" s="125">
        <f>Lista!M172</f>
        <v>0</v>
      </c>
      <c r="O173" s="125">
        <f>Lista!N172</f>
        <v>0</v>
      </c>
      <c r="P173" s="125">
        <f>Lista!O172</f>
        <v>0</v>
      </c>
      <c r="Q173" s="125">
        <f>Lista!P172</f>
        <v>0</v>
      </c>
      <c r="R173" s="125">
        <f>Lista!Q172</f>
        <v>0</v>
      </c>
      <c r="S173" s="125">
        <f>Lista!R172</f>
        <v>0</v>
      </c>
      <c r="T173" s="81"/>
      <c r="U173" s="81"/>
      <c r="V173" s="81"/>
      <c r="W173" s="81"/>
      <c r="X173" s="81"/>
      <c r="Y173" s="81"/>
      <c r="Z173" s="81"/>
      <c r="AA173" s="81"/>
      <c r="AB173" s="81"/>
      <c r="AC173" s="81"/>
      <c r="AD173" s="81"/>
      <c r="AE173" s="81"/>
      <c r="AF173" s="81"/>
      <c r="AG173" s="81"/>
      <c r="AH173" s="81"/>
      <c r="AI173" s="81"/>
      <c r="AJ173" s="81"/>
      <c r="AK173" s="81"/>
      <c r="AL173" s="81"/>
      <c r="AM173" s="81"/>
      <c r="AN173" s="81"/>
      <c r="AO173" s="81"/>
      <c r="AP173" s="81"/>
      <c r="AQ173" s="81"/>
      <c r="AR173" s="81"/>
      <c r="AS173" s="81"/>
      <c r="AT173" s="81"/>
      <c r="AU173" s="81"/>
      <c r="AV173" s="81"/>
      <c r="AW173" s="81"/>
      <c r="AX173" s="81"/>
      <c r="AY173" s="81"/>
      <c r="AZ173" s="81"/>
      <c r="BA173" s="81"/>
      <c r="BB173" s="81"/>
      <c r="BC173" s="81"/>
      <c r="BD173" s="81"/>
      <c r="BE173" s="81"/>
      <c r="BF173" s="81"/>
      <c r="BG173" s="81"/>
      <c r="BH173" s="81"/>
      <c r="BI173" s="81"/>
      <c r="BJ173" s="81"/>
      <c r="BK173" s="81"/>
      <c r="BL173" s="81"/>
      <c r="BM173" s="81"/>
      <c r="BN173" s="81"/>
      <c r="BO173" s="81"/>
      <c r="BP173" s="81"/>
      <c r="BQ173" s="81"/>
      <c r="BR173" s="81"/>
      <c r="BS173" s="81"/>
      <c r="BT173" s="81"/>
      <c r="BU173" s="81"/>
      <c r="BV173" s="81"/>
      <c r="BW173" s="81"/>
      <c r="BX173" s="81"/>
      <c r="BY173" s="81"/>
      <c r="BZ173" s="81"/>
      <c r="CA173" s="81"/>
      <c r="CB173" s="81"/>
      <c r="CC173" s="81"/>
      <c r="CD173" s="81"/>
      <c r="CE173" s="81"/>
      <c r="CF173" s="81"/>
      <c r="CG173" s="81"/>
      <c r="CH173" s="81"/>
      <c r="CI173" s="81"/>
      <c r="CJ173" s="81"/>
      <c r="CK173" s="81"/>
      <c r="CL173" s="81"/>
      <c r="CM173" s="81"/>
      <c r="CN173" s="81"/>
      <c r="CO173" s="81"/>
      <c r="CP173" s="81"/>
      <c r="CQ173" s="81"/>
      <c r="CR173" s="81"/>
      <c r="CS173" s="81"/>
      <c r="CT173" s="81"/>
      <c r="CU173" s="81"/>
      <c r="CV173" s="81"/>
      <c r="CW173" s="81"/>
      <c r="CX173" s="81"/>
      <c r="CY173" s="81"/>
      <c r="CZ173" s="81"/>
      <c r="DA173" s="81"/>
      <c r="DB173" s="81"/>
      <c r="DC173" s="81"/>
      <c r="DD173" s="81"/>
      <c r="DE173" s="81"/>
      <c r="DF173" s="81"/>
      <c r="DG173" s="81"/>
      <c r="DH173" s="81"/>
      <c r="DI173" s="81"/>
      <c r="DJ173" s="81"/>
      <c r="DK173" s="81"/>
      <c r="DL173" s="81"/>
      <c r="DM173" s="81"/>
      <c r="DN173" s="81"/>
      <c r="DO173" s="81"/>
      <c r="DP173" s="81"/>
      <c r="DQ173" s="81"/>
      <c r="DR173" s="81"/>
      <c r="DS173" s="81"/>
      <c r="DT173" s="81"/>
      <c r="DU173" s="81"/>
      <c r="DV173" s="81"/>
      <c r="DW173" s="121"/>
    </row>
    <row r="174" spans="1:127" x14ac:dyDescent="0.25">
      <c r="A174" s="2">
        <f>COUNTIF($D$2:D174,'Reporte de Nomina'!$E$2)</f>
        <v>0</v>
      </c>
      <c r="B174" s="125">
        <f>Lista!A173</f>
        <v>0</v>
      </c>
      <c r="C174" s="125">
        <f>Lista!B173</f>
        <v>0</v>
      </c>
      <c r="D174" s="125">
        <f>Lista!C173</f>
        <v>0</v>
      </c>
      <c r="E174" s="125">
        <f>Lista!D173</f>
        <v>0</v>
      </c>
      <c r="F174" s="125">
        <f>Lista!E173</f>
        <v>0</v>
      </c>
      <c r="G174" s="125">
        <f>Lista!F173</f>
        <v>0</v>
      </c>
      <c r="H174" s="125">
        <f>Lista!G173</f>
        <v>0</v>
      </c>
      <c r="I174" s="125">
        <f>Lista!H173</f>
        <v>0</v>
      </c>
      <c r="J174" s="125">
        <f>Lista!I173</f>
        <v>0</v>
      </c>
      <c r="K174" s="125">
        <f>Lista!J173</f>
        <v>0</v>
      </c>
      <c r="L174" s="125">
        <f>Lista!K173</f>
        <v>0</v>
      </c>
      <c r="M174" s="125">
        <f>Lista!L173</f>
        <v>0</v>
      </c>
      <c r="N174" s="125">
        <f>Lista!M173</f>
        <v>0</v>
      </c>
      <c r="O174" s="125">
        <f>Lista!N173</f>
        <v>0</v>
      </c>
      <c r="P174" s="125">
        <f>Lista!O173</f>
        <v>0</v>
      </c>
      <c r="Q174" s="125">
        <f>Lista!P173</f>
        <v>0</v>
      </c>
      <c r="R174" s="125">
        <f>Lista!Q173</f>
        <v>0</v>
      </c>
      <c r="S174" s="125">
        <f>Lista!R173</f>
        <v>0</v>
      </c>
      <c r="T174" s="81"/>
      <c r="U174" s="81"/>
      <c r="V174" s="81"/>
      <c r="W174" s="81"/>
      <c r="X174" s="81"/>
      <c r="Y174" s="81"/>
      <c r="Z174" s="81"/>
      <c r="AA174" s="81"/>
      <c r="AB174" s="81"/>
      <c r="AC174" s="81"/>
      <c r="AD174" s="81"/>
      <c r="AE174" s="81"/>
      <c r="AF174" s="81"/>
      <c r="AG174" s="81"/>
      <c r="AH174" s="81"/>
      <c r="AI174" s="81"/>
      <c r="AJ174" s="81"/>
      <c r="AK174" s="81"/>
      <c r="AL174" s="81"/>
      <c r="AM174" s="81"/>
      <c r="AN174" s="81"/>
      <c r="AO174" s="81"/>
      <c r="AP174" s="81"/>
      <c r="AQ174" s="81"/>
      <c r="AR174" s="81"/>
      <c r="AS174" s="81"/>
      <c r="AT174" s="81"/>
      <c r="AU174" s="81"/>
      <c r="AV174" s="81"/>
      <c r="AW174" s="81"/>
      <c r="AX174" s="81"/>
      <c r="AY174" s="81"/>
      <c r="AZ174" s="81"/>
      <c r="BA174" s="81"/>
      <c r="BB174" s="81"/>
      <c r="BC174" s="81"/>
      <c r="BD174" s="81"/>
      <c r="BE174" s="81"/>
      <c r="BF174" s="81"/>
      <c r="BG174" s="81"/>
      <c r="BH174" s="81"/>
      <c r="BI174" s="81"/>
      <c r="BJ174" s="81"/>
      <c r="BK174" s="81"/>
      <c r="BL174" s="81"/>
      <c r="BM174" s="81"/>
      <c r="BN174" s="81"/>
      <c r="BO174" s="81"/>
      <c r="BP174" s="81"/>
      <c r="BQ174" s="81"/>
      <c r="BR174" s="81"/>
      <c r="BS174" s="81"/>
      <c r="BT174" s="81"/>
      <c r="BU174" s="81"/>
      <c r="BV174" s="81"/>
      <c r="BW174" s="81"/>
      <c r="BX174" s="81"/>
      <c r="BY174" s="81"/>
      <c r="BZ174" s="81"/>
      <c r="CA174" s="81"/>
      <c r="CB174" s="81"/>
      <c r="CC174" s="81"/>
      <c r="CD174" s="81"/>
      <c r="CE174" s="81"/>
      <c r="CF174" s="81"/>
      <c r="CG174" s="81"/>
      <c r="CH174" s="81"/>
      <c r="CI174" s="81"/>
      <c r="CJ174" s="81"/>
      <c r="CK174" s="81"/>
      <c r="CL174" s="81"/>
      <c r="CM174" s="81"/>
      <c r="CN174" s="81"/>
      <c r="CO174" s="81"/>
      <c r="CP174" s="81"/>
      <c r="CQ174" s="81"/>
      <c r="CR174" s="81"/>
      <c r="CS174" s="81"/>
      <c r="CT174" s="81"/>
      <c r="CU174" s="81"/>
      <c r="CV174" s="81"/>
      <c r="CW174" s="81"/>
      <c r="CX174" s="81"/>
      <c r="CY174" s="81"/>
      <c r="CZ174" s="81"/>
      <c r="DA174" s="81"/>
      <c r="DB174" s="81"/>
      <c r="DC174" s="81"/>
      <c r="DD174" s="81"/>
      <c r="DE174" s="81"/>
      <c r="DF174" s="81"/>
      <c r="DG174" s="81"/>
      <c r="DH174" s="81"/>
      <c r="DI174" s="81"/>
      <c r="DJ174" s="81"/>
      <c r="DK174" s="81"/>
      <c r="DL174" s="81"/>
      <c r="DM174" s="81"/>
      <c r="DN174" s="81"/>
      <c r="DO174" s="81"/>
      <c r="DP174" s="81"/>
      <c r="DQ174" s="81"/>
      <c r="DR174" s="81"/>
      <c r="DS174" s="81"/>
      <c r="DT174" s="81"/>
      <c r="DU174" s="81"/>
      <c r="DV174" s="81"/>
      <c r="DW174" s="121"/>
    </row>
    <row r="175" spans="1:127" x14ac:dyDescent="0.25">
      <c r="A175" s="2">
        <f>COUNTIF($D$2:D175,'Reporte de Nomina'!$E$2)</f>
        <v>0</v>
      </c>
      <c r="B175" s="125">
        <f>Lista!A174</f>
        <v>0</v>
      </c>
      <c r="C175" s="125">
        <f>Lista!B174</f>
        <v>0</v>
      </c>
      <c r="D175" s="125">
        <f>Lista!C174</f>
        <v>0</v>
      </c>
      <c r="E175" s="125">
        <f>Lista!D174</f>
        <v>0</v>
      </c>
      <c r="F175" s="125">
        <f>Lista!E174</f>
        <v>0</v>
      </c>
      <c r="G175" s="125">
        <f>Lista!F174</f>
        <v>0</v>
      </c>
      <c r="H175" s="125">
        <f>Lista!G174</f>
        <v>0</v>
      </c>
      <c r="I175" s="125">
        <f>Lista!H174</f>
        <v>0</v>
      </c>
      <c r="J175" s="125">
        <f>Lista!I174</f>
        <v>0</v>
      </c>
      <c r="K175" s="125">
        <f>Lista!J174</f>
        <v>0</v>
      </c>
      <c r="L175" s="125">
        <f>Lista!K174</f>
        <v>0</v>
      </c>
      <c r="M175" s="125">
        <f>Lista!L174</f>
        <v>0</v>
      </c>
      <c r="N175" s="125">
        <f>Lista!M174</f>
        <v>0</v>
      </c>
      <c r="O175" s="125">
        <f>Lista!N174</f>
        <v>0</v>
      </c>
      <c r="P175" s="125">
        <f>Lista!O174</f>
        <v>0</v>
      </c>
      <c r="Q175" s="125">
        <f>Lista!P174</f>
        <v>0</v>
      </c>
      <c r="R175" s="125">
        <f>Lista!Q174</f>
        <v>0</v>
      </c>
      <c r="S175" s="125">
        <f>Lista!R174</f>
        <v>0</v>
      </c>
      <c r="T175" s="81"/>
      <c r="U175" s="81"/>
      <c r="V175" s="81"/>
      <c r="W175" s="81"/>
      <c r="X175" s="81"/>
      <c r="Y175" s="81"/>
      <c r="Z175" s="81"/>
      <c r="AA175" s="81"/>
      <c r="AB175" s="81"/>
      <c r="AC175" s="81"/>
      <c r="AD175" s="81"/>
      <c r="AE175" s="81"/>
      <c r="AF175" s="81"/>
      <c r="AG175" s="81"/>
      <c r="AH175" s="81"/>
      <c r="AI175" s="81"/>
      <c r="AJ175" s="81"/>
      <c r="AK175" s="81"/>
      <c r="AL175" s="81"/>
      <c r="AM175" s="81"/>
      <c r="AN175" s="81"/>
      <c r="AO175" s="81"/>
      <c r="AP175" s="81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  <c r="BA175" s="81"/>
      <c r="BB175" s="81"/>
      <c r="BC175" s="81"/>
      <c r="BD175" s="81"/>
      <c r="BE175" s="81"/>
      <c r="BF175" s="81"/>
      <c r="BG175" s="81"/>
      <c r="BH175" s="81"/>
      <c r="BI175" s="81"/>
      <c r="BJ175" s="81"/>
      <c r="BK175" s="81"/>
      <c r="BL175" s="81"/>
      <c r="BM175" s="81"/>
      <c r="BN175" s="81"/>
      <c r="BO175" s="81"/>
      <c r="BP175" s="81"/>
      <c r="BQ175" s="81"/>
      <c r="BR175" s="81"/>
      <c r="BS175" s="81"/>
      <c r="BT175" s="81"/>
      <c r="BU175" s="81"/>
      <c r="BV175" s="81"/>
      <c r="BW175" s="81"/>
      <c r="BX175" s="81"/>
      <c r="BY175" s="81"/>
      <c r="BZ175" s="81"/>
      <c r="CA175" s="81"/>
      <c r="CB175" s="81"/>
      <c r="CC175" s="81"/>
      <c r="CD175" s="81"/>
      <c r="CE175" s="81"/>
      <c r="CF175" s="81"/>
      <c r="CG175" s="81"/>
      <c r="CH175" s="81"/>
      <c r="CI175" s="81"/>
      <c r="CJ175" s="81"/>
      <c r="CK175" s="81"/>
      <c r="CL175" s="81"/>
      <c r="CM175" s="81"/>
      <c r="CN175" s="81"/>
      <c r="CO175" s="81"/>
      <c r="CP175" s="81"/>
      <c r="CQ175" s="81"/>
      <c r="CR175" s="81"/>
      <c r="CS175" s="81"/>
      <c r="CT175" s="81"/>
      <c r="CU175" s="81"/>
      <c r="CV175" s="81"/>
      <c r="CW175" s="81"/>
      <c r="CX175" s="81"/>
      <c r="CY175" s="81"/>
      <c r="CZ175" s="81"/>
      <c r="DA175" s="81"/>
      <c r="DB175" s="81"/>
      <c r="DC175" s="81"/>
      <c r="DD175" s="81"/>
      <c r="DE175" s="81"/>
      <c r="DF175" s="81"/>
      <c r="DG175" s="81"/>
      <c r="DH175" s="81"/>
      <c r="DI175" s="81"/>
      <c r="DJ175" s="81"/>
      <c r="DK175" s="81"/>
      <c r="DL175" s="81"/>
      <c r="DM175" s="81"/>
      <c r="DN175" s="81"/>
      <c r="DO175" s="81"/>
      <c r="DP175" s="81"/>
      <c r="DQ175" s="81"/>
      <c r="DR175" s="81"/>
      <c r="DS175" s="81"/>
      <c r="DT175" s="81"/>
      <c r="DU175" s="81"/>
      <c r="DV175" s="81"/>
      <c r="DW175" s="121"/>
    </row>
    <row r="176" spans="1:127" x14ac:dyDescent="0.25">
      <c r="A176" s="2">
        <f>COUNTIF($D$2:D176,'Reporte de Nomina'!$E$2)</f>
        <v>0</v>
      </c>
      <c r="B176" s="125">
        <f>Lista!A175</f>
        <v>0</v>
      </c>
      <c r="C176" s="125">
        <f>Lista!B175</f>
        <v>0</v>
      </c>
      <c r="D176" s="125">
        <f>Lista!C175</f>
        <v>0</v>
      </c>
      <c r="E176" s="125">
        <f>Lista!D175</f>
        <v>0</v>
      </c>
      <c r="F176" s="125">
        <f>Lista!E175</f>
        <v>0</v>
      </c>
      <c r="G176" s="125">
        <f>Lista!F175</f>
        <v>0</v>
      </c>
      <c r="H176" s="125">
        <f>Lista!G175</f>
        <v>0</v>
      </c>
      <c r="I176" s="125">
        <f>Lista!H175</f>
        <v>0</v>
      </c>
      <c r="J176" s="125">
        <f>Lista!I175</f>
        <v>0</v>
      </c>
      <c r="K176" s="125">
        <f>Lista!J175</f>
        <v>0</v>
      </c>
      <c r="L176" s="125">
        <f>Lista!K175</f>
        <v>0</v>
      </c>
      <c r="M176" s="125">
        <f>Lista!L175</f>
        <v>0</v>
      </c>
      <c r="N176" s="125">
        <f>Lista!M175</f>
        <v>0</v>
      </c>
      <c r="O176" s="125">
        <f>Lista!N175</f>
        <v>0</v>
      </c>
      <c r="P176" s="125">
        <f>Lista!O175</f>
        <v>0</v>
      </c>
      <c r="Q176" s="125">
        <f>Lista!P175</f>
        <v>0</v>
      </c>
      <c r="R176" s="125">
        <f>Lista!Q175</f>
        <v>0</v>
      </c>
      <c r="S176" s="125">
        <f>Lista!R175</f>
        <v>0</v>
      </c>
      <c r="T176" s="81"/>
      <c r="U176" s="81"/>
      <c r="V176" s="81"/>
      <c r="W176" s="81"/>
      <c r="X176" s="81"/>
      <c r="Y176" s="81"/>
      <c r="Z176" s="81"/>
      <c r="AA176" s="81"/>
      <c r="AB176" s="81"/>
      <c r="AC176" s="81"/>
      <c r="AD176" s="81"/>
      <c r="AE176" s="81"/>
      <c r="AF176" s="81"/>
      <c r="AG176" s="81"/>
      <c r="AH176" s="81"/>
      <c r="AI176" s="81"/>
      <c r="AJ176" s="81"/>
      <c r="AK176" s="81"/>
      <c r="AL176" s="81"/>
      <c r="AM176" s="81"/>
      <c r="AN176" s="81"/>
      <c r="AO176" s="81"/>
      <c r="AP176" s="81"/>
      <c r="AQ176" s="81"/>
      <c r="AR176" s="81"/>
      <c r="AS176" s="81"/>
      <c r="AT176" s="81"/>
      <c r="AU176" s="81"/>
      <c r="AV176" s="81"/>
      <c r="AW176" s="81"/>
      <c r="AX176" s="81"/>
      <c r="AY176" s="81"/>
      <c r="AZ176" s="81"/>
      <c r="BA176" s="81"/>
      <c r="BB176" s="81"/>
      <c r="BC176" s="81"/>
      <c r="BD176" s="81"/>
      <c r="BE176" s="81"/>
      <c r="BF176" s="81"/>
      <c r="BG176" s="81"/>
      <c r="BH176" s="81"/>
      <c r="BI176" s="81"/>
      <c r="BJ176" s="81"/>
      <c r="BK176" s="81"/>
      <c r="BL176" s="81"/>
      <c r="BM176" s="81"/>
      <c r="BN176" s="81"/>
      <c r="BO176" s="81"/>
      <c r="BP176" s="81"/>
      <c r="BQ176" s="81"/>
      <c r="BR176" s="81"/>
      <c r="BS176" s="81"/>
      <c r="BT176" s="81"/>
      <c r="BU176" s="81"/>
      <c r="BV176" s="81"/>
      <c r="BW176" s="81"/>
      <c r="BX176" s="81"/>
      <c r="BY176" s="81"/>
      <c r="BZ176" s="81"/>
      <c r="CA176" s="81"/>
      <c r="CB176" s="81"/>
      <c r="CC176" s="81"/>
      <c r="CD176" s="81"/>
      <c r="CE176" s="81"/>
      <c r="CF176" s="81"/>
      <c r="CG176" s="81"/>
      <c r="CH176" s="81"/>
      <c r="CI176" s="81"/>
      <c r="CJ176" s="81"/>
      <c r="CK176" s="81"/>
      <c r="CL176" s="81"/>
      <c r="CM176" s="81"/>
      <c r="CN176" s="81"/>
      <c r="CO176" s="81"/>
      <c r="CP176" s="81"/>
      <c r="CQ176" s="81"/>
      <c r="CR176" s="81"/>
      <c r="CS176" s="81"/>
      <c r="CT176" s="81"/>
      <c r="CU176" s="81"/>
      <c r="CV176" s="81"/>
      <c r="CW176" s="81"/>
      <c r="CX176" s="81"/>
      <c r="CY176" s="81"/>
      <c r="CZ176" s="81"/>
      <c r="DA176" s="81"/>
      <c r="DB176" s="81"/>
      <c r="DC176" s="81"/>
      <c r="DD176" s="81"/>
      <c r="DE176" s="81"/>
      <c r="DF176" s="81"/>
      <c r="DG176" s="81"/>
      <c r="DH176" s="81"/>
      <c r="DI176" s="81"/>
      <c r="DJ176" s="81"/>
      <c r="DK176" s="81"/>
      <c r="DL176" s="81"/>
      <c r="DM176" s="81"/>
      <c r="DN176" s="81"/>
      <c r="DO176" s="81"/>
      <c r="DP176" s="81"/>
      <c r="DQ176" s="81"/>
      <c r="DR176" s="81"/>
      <c r="DS176" s="81"/>
      <c r="DT176" s="81"/>
      <c r="DU176" s="81"/>
      <c r="DV176" s="81"/>
      <c r="DW176" s="121"/>
    </row>
    <row r="177" spans="1:127" x14ac:dyDescent="0.25">
      <c r="A177" s="2">
        <f>COUNTIF($D$2:D177,'Reporte de Nomina'!$E$2)</f>
        <v>0</v>
      </c>
      <c r="B177" s="125">
        <f>Lista!A176</f>
        <v>0</v>
      </c>
      <c r="C177" s="125">
        <f>Lista!B176</f>
        <v>0</v>
      </c>
      <c r="D177" s="125">
        <f>Lista!C176</f>
        <v>0</v>
      </c>
      <c r="E177" s="125">
        <f>Lista!D176</f>
        <v>0</v>
      </c>
      <c r="F177" s="125">
        <f>Lista!E176</f>
        <v>0</v>
      </c>
      <c r="G177" s="125">
        <f>Lista!F176</f>
        <v>0</v>
      </c>
      <c r="H177" s="125">
        <f>Lista!G176</f>
        <v>0</v>
      </c>
      <c r="I177" s="125">
        <f>Lista!H176</f>
        <v>0</v>
      </c>
      <c r="J177" s="125">
        <f>Lista!I176</f>
        <v>0</v>
      </c>
      <c r="K177" s="125">
        <f>Lista!J176</f>
        <v>0</v>
      </c>
      <c r="L177" s="125">
        <f>Lista!K176</f>
        <v>0</v>
      </c>
      <c r="M177" s="125">
        <f>Lista!L176</f>
        <v>0</v>
      </c>
      <c r="N177" s="125">
        <f>Lista!M176</f>
        <v>0</v>
      </c>
      <c r="O177" s="125">
        <f>Lista!N176</f>
        <v>0</v>
      </c>
      <c r="P177" s="125">
        <f>Lista!O176</f>
        <v>0</v>
      </c>
      <c r="Q177" s="125">
        <f>Lista!P176</f>
        <v>0</v>
      </c>
      <c r="R177" s="125">
        <f>Lista!Q176</f>
        <v>0</v>
      </c>
      <c r="S177" s="125">
        <f>Lista!R176</f>
        <v>0</v>
      </c>
      <c r="T177" s="81"/>
      <c r="U177" s="81"/>
      <c r="V177" s="81"/>
      <c r="W177" s="81"/>
      <c r="X177" s="81"/>
      <c r="Y177" s="81"/>
      <c r="Z177" s="81"/>
      <c r="AA177" s="81"/>
      <c r="AB177" s="81"/>
      <c r="AC177" s="81"/>
      <c r="AD177" s="81"/>
      <c r="AE177" s="81"/>
      <c r="AF177" s="81"/>
      <c r="AG177" s="81"/>
      <c r="AH177" s="81"/>
      <c r="AI177" s="81"/>
      <c r="AJ177" s="81"/>
      <c r="AK177" s="81"/>
      <c r="AL177" s="81"/>
      <c r="AM177" s="81"/>
      <c r="AN177" s="81"/>
      <c r="AO177" s="81"/>
      <c r="AP177" s="81"/>
      <c r="AQ177" s="81"/>
      <c r="AR177" s="81"/>
      <c r="AS177" s="81"/>
      <c r="AT177" s="81"/>
      <c r="AU177" s="81"/>
      <c r="AV177" s="81"/>
      <c r="AW177" s="81"/>
      <c r="AX177" s="81"/>
      <c r="AY177" s="81"/>
      <c r="AZ177" s="81"/>
      <c r="BA177" s="81"/>
      <c r="BB177" s="81"/>
      <c r="BC177" s="81"/>
      <c r="BD177" s="81"/>
      <c r="BE177" s="81"/>
      <c r="BF177" s="81"/>
      <c r="BG177" s="81"/>
      <c r="BH177" s="81"/>
      <c r="BI177" s="81"/>
      <c r="BJ177" s="81"/>
      <c r="BK177" s="81"/>
      <c r="BL177" s="81"/>
      <c r="BM177" s="81"/>
      <c r="BN177" s="81"/>
      <c r="BO177" s="81"/>
      <c r="BP177" s="81"/>
      <c r="BQ177" s="81"/>
      <c r="BR177" s="81"/>
      <c r="BS177" s="81"/>
      <c r="BT177" s="81"/>
      <c r="BU177" s="81"/>
      <c r="BV177" s="81"/>
      <c r="BW177" s="81"/>
      <c r="BX177" s="81"/>
      <c r="BY177" s="81"/>
      <c r="BZ177" s="81"/>
      <c r="CA177" s="81"/>
      <c r="CB177" s="81"/>
      <c r="CC177" s="81"/>
      <c r="CD177" s="81"/>
      <c r="CE177" s="81"/>
      <c r="CF177" s="81"/>
      <c r="CG177" s="81"/>
      <c r="CH177" s="81"/>
      <c r="CI177" s="81"/>
      <c r="CJ177" s="81"/>
      <c r="CK177" s="81"/>
      <c r="CL177" s="81"/>
      <c r="CM177" s="81"/>
      <c r="CN177" s="81"/>
      <c r="CO177" s="81"/>
      <c r="CP177" s="81"/>
      <c r="CQ177" s="81"/>
      <c r="CR177" s="81"/>
      <c r="CS177" s="81"/>
      <c r="CT177" s="81"/>
      <c r="CU177" s="81"/>
      <c r="CV177" s="81"/>
      <c r="CW177" s="81"/>
      <c r="CX177" s="81"/>
      <c r="CY177" s="81"/>
      <c r="CZ177" s="81"/>
      <c r="DA177" s="81"/>
      <c r="DB177" s="81"/>
      <c r="DC177" s="81"/>
      <c r="DD177" s="81"/>
      <c r="DE177" s="81"/>
      <c r="DF177" s="81"/>
      <c r="DG177" s="81"/>
      <c r="DH177" s="81"/>
      <c r="DI177" s="81"/>
      <c r="DJ177" s="81"/>
      <c r="DK177" s="81"/>
      <c r="DL177" s="81"/>
      <c r="DM177" s="81"/>
      <c r="DN177" s="81"/>
      <c r="DO177" s="81"/>
      <c r="DP177" s="81"/>
      <c r="DQ177" s="81"/>
      <c r="DR177" s="81"/>
      <c r="DS177" s="81"/>
      <c r="DT177" s="81"/>
      <c r="DU177" s="81"/>
      <c r="DV177" s="81"/>
      <c r="DW177" s="121"/>
    </row>
    <row r="178" spans="1:127" x14ac:dyDescent="0.25">
      <c r="A178" s="2">
        <f>COUNTIF($D$2:D178,'Reporte de Nomina'!$E$2)</f>
        <v>0</v>
      </c>
      <c r="B178" s="125">
        <f>Lista!A177</f>
        <v>0</v>
      </c>
      <c r="C178" s="125">
        <f>Lista!B177</f>
        <v>0</v>
      </c>
      <c r="D178" s="125">
        <f>Lista!C177</f>
        <v>0</v>
      </c>
      <c r="E178" s="125">
        <f>Lista!D177</f>
        <v>0</v>
      </c>
      <c r="F178" s="125">
        <f>Lista!E177</f>
        <v>0</v>
      </c>
      <c r="G178" s="125">
        <f>Lista!F177</f>
        <v>0</v>
      </c>
      <c r="H178" s="125">
        <f>Lista!G177</f>
        <v>0</v>
      </c>
      <c r="I178" s="125">
        <f>Lista!H177</f>
        <v>0</v>
      </c>
      <c r="J178" s="125">
        <f>Lista!I177</f>
        <v>0</v>
      </c>
      <c r="K178" s="125">
        <f>Lista!J177</f>
        <v>0</v>
      </c>
      <c r="L178" s="125">
        <f>Lista!K177</f>
        <v>0</v>
      </c>
      <c r="M178" s="125">
        <f>Lista!L177</f>
        <v>0</v>
      </c>
      <c r="N178" s="125">
        <f>Lista!M177</f>
        <v>0</v>
      </c>
      <c r="O178" s="125">
        <f>Lista!N177</f>
        <v>0</v>
      </c>
      <c r="P178" s="125">
        <f>Lista!O177</f>
        <v>0</v>
      </c>
      <c r="Q178" s="125">
        <f>Lista!P177</f>
        <v>0</v>
      </c>
      <c r="R178" s="125">
        <f>Lista!Q177</f>
        <v>0</v>
      </c>
      <c r="S178" s="125">
        <f>Lista!R177</f>
        <v>0</v>
      </c>
      <c r="T178" s="81"/>
      <c r="U178" s="81"/>
      <c r="V178" s="81"/>
      <c r="W178" s="81"/>
      <c r="X178" s="81"/>
      <c r="Y178" s="81"/>
      <c r="Z178" s="81"/>
      <c r="AA178" s="81"/>
      <c r="AB178" s="81"/>
      <c r="AC178" s="81"/>
      <c r="AD178" s="81"/>
      <c r="AE178" s="81"/>
      <c r="AF178" s="81"/>
      <c r="AG178" s="81"/>
      <c r="AH178" s="81"/>
      <c r="AI178" s="81"/>
      <c r="AJ178" s="81"/>
      <c r="AK178" s="81"/>
      <c r="AL178" s="81"/>
      <c r="AM178" s="81"/>
      <c r="AN178" s="81"/>
      <c r="AO178" s="81"/>
      <c r="AP178" s="81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  <c r="BA178" s="81"/>
      <c r="BB178" s="81"/>
      <c r="BC178" s="81"/>
      <c r="BD178" s="81"/>
      <c r="BE178" s="81"/>
      <c r="BF178" s="81"/>
      <c r="BG178" s="81"/>
      <c r="BH178" s="81"/>
      <c r="BI178" s="81"/>
      <c r="BJ178" s="81"/>
      <c r="BK178" s="81"/>
      <c r="BL178" s="81"/>
      <c r="BM178" s="81"/>
      <c r="BN178" s="81"/>
      <c r="BO178" s="81"/>
      <c r="BP178" s="81"/>
      <c r="BQ178" s="81"/>
      <c r="BR178" s="81"/>
      <c r="BS178" s="81"/>
      <c r="BT178" s="81"/>
      <c r="BU178" s="81"/>
      <c r="BV178" s="81"/>
      <c r="BW178" s="81"/>
      <c r="BX178" s="81"/>
      <c r="BY178" s="81"/>
      <c r="BZ178" s="81"/>
      <c r="CA178" s="81"/>
      <c r="CB178" s="81"/>
      <c r="CC178" s="81"/>
      <c r="CD178" s="81"/>
      <c r="CE178" s="81"/>
      <c r="CF178" s="81"/>
      <c r="CG178" s="81"/>
      <c r="CH178" s="81"/>
      <c r="CI178" s="81"/>
      <c r="CJ178" s="81"/>
      <c r="CK178" s="81"/>
      <c r="CL178" s="81"/>
      <c r="CM178" s="81"/>
      <c r="CN178" s="81"/>
      <c r="CO178" s="81"/>
      <c r="CP178" s="81"/>
      <c r="CQ178" s="81"/>
      <c r="CR178" s="81"/>
      <c r="CS178" s="81"/>
      <c r="CT178" s="81"/>
      <c r="CU178" s="81"/>
      <c r="CV178" s="81"/>
      <c r="CW178" s="81"/>
      <c r="CX178" s="81"/>
      <c r="CY178" s="81"/>
      <c r="CZ178" s="81"/>
      <c r="DA178" s="81"/>
      <c r="DB178" s="81"/>
      <c r="DC178" s="81"/>
      <c r="DD178" s="81"/>
      <c r="DE178" s="81"/>
      <c r="DF178" s="81"/>
      <c r="DG178" s="81"/>
      <c r="DH178" s="81"/>
      <c r="DI178" s="81"/>
      <c r="DJ178" s="81"/>
      <c r="DK178" s="81"/>
      <c r="DL178" s="81"/>
      <c r="DM178" s="81"/>
      <c r="DN178" s="81"/>
      <c r="DO178" s="81"/>
      <c r="DP178" s="81"/>
      <c r="DQ178" s="81"/>
      <c r="DR178" s="81"/>
      <c r="DS178" s="81"/>
      <c r="DT178" s="81"/>
      <c r="DU178" s="81"/>
      <c r="DV178" s="81"/>
      <c r="DW178" s="121"/>
    </row>
    <row r="179" spans="1:127" x14ac:dyDescent="0.25">
      <c r="A179" s="2">
        <f>COUNTIF($D$2:D179,'Reporte de Nomina'!$E$2)</f>
        <v>0</v>
      </c>
      <c r="B179" s="125">
        <f>Lista!A178</f>
        <v>0</v>
      </c>
      <c r="C179" s="125">
        <f>Lista!B178</f>
        <v>0</v>
      </c>
      <c r="D179" s="125">
        <f>Lista!C178</f>
        <v>0</v>
      </c>
      <c r="E179" s="125">
        <f>Lista!D178</f>
        <v>0</v>
      </c>
      <c r="F179" s="125">
        <f>Lista!E178</f>
        <v>0</v>
      </c>
      <c r="G179" s="125">
        <f>Lista!F178</f>
        <v>0</v>
      </c>
      <c r="H179" s="125">
        <f>Lista!G178</f>
        <v>0</v>
      </c>
      <c r="I179" s="125">
        <f>Lista!H178</f>
        <v>0</v>
      </c>
      <c r="J179" s="125">
        <f>Lista!I178</f>
        <v>0</v>
      </c>
      <c r="K179" s="125">
        <f>Lista!J178</f>
        <v>0</v>
      </c>
      <c r="L179" s="125">
        <f>Lista!K178</f>
        <v>0</v>
      </c>
      <c r="M179" s="125">
        <f>Lista!L178</f>
        <v>0</v>
      </c>
      <c r="N179" s="125">
        <f>Lista!M178</f>
        <v>0</v>
      </c>
      <c r="O179" s="125">
        <f>Lista!N178</f>
        <v>0</v>
      </c>
      <c r="P179" s="125">
        <f>Lista!O178</f>
        <v>0</v>
      </c>
      <c r="Q179" s="125">
        <f>Lista!P178</f>
        <v>0</v>
      </c>
      <c r="R179" s="125">
        <f>Lista!Q178</f>
        <v>0</v>
      </c>
      <c r="S179" s="125">
        <f>Lista!R178</f>
        <v>0</v>
      </c>
      <c r="T179" s="81"/>
      <c r="U179" s="81"/>
      <c r="V179" s="81"/>
      <c r="W179" s="81"/>
      <c r="X179" s="81"/>
      <c r="Y179" s="81"/>
      <c r="Z179" s="81"/>
      <c r="AA179" s="81"/>
      <c r="AB179" s="81"/>
      <c r="AC179" s="81"/>
      <c r="AD179" s="81"/>
      <c r="AE179" s="81"/>
      <c r="AF179" s="81"/>
      <c r="AG179" s="81"/>
      <c r="AH179" s="81"/>
      <c r="AI179" s="81"/>
      <c r="AJ179" s="81"/>
      <c r="AK179" s="81"/>
      <c r="AL179" s="81"/>
      <c r="AM179" s="81"/>
      <c r="AN179" s="81"/>
      <c r="AO179" s="81"/>
      <c r="AP179" s="81"/>
      <c r="AQ179" s="81"/>
      <c r="AR179" s="81"/>
      <c r="AS179" s="81"/>
      <c r="AT179" s="81"/>
      <c r="AU179" s="81"/>
      <c r="AV179" s="81"/>
      <c r="AW179" s="81"/>
      <c r="AX179" s="81"/>
      <c r="AY179" s="81"/>
      <c r="AZ179" s="81"/>
      <c r="BA179" s="81"/>
      <c r="BB179" s="81"/>
      <c r="BC179" s="81"/>
      <c r="BD179" s="81"/>
      <c r="BE179" s="81"/>
      <c r="BF179" s="81"/>
      <c r="BG179" s="81"/>
      <c r="BH179" s="81"/>
      <c r="BI179" s="81"/>
      <c r="BJ179" s="81"/>
      <c r="BK179" s="81"/>
      <c r="BL179" s="81"/>
      <c r="BM179" s="81"/>
      <c r="BN179" s="81"/>
      <c r="BO179" s="81"/>
      <c r="BP179" s="81"/>
      <c r="BQ179" s="81"/>
      <c r="BR179" s="81"/>
      <c r="BS179" s="81"/>
      <c r="BT179" s="81"/>
      <c r="BU179" s="81"/>
      <c r="BV179" s="81"/>
      <c r="BW179" s="81"/>
      <c r="BX179" s="81"/>
      <c r="BY179" s="81"/>
      <c r="BZ179" s="81"/>
      <c r="CA179" s="81"/>
      <c r="CB179" s="81"/>
      <c r="CC179" s="81"/>
      <c r="CD179" s="81"/>
      <c r="CE179" s="81"/>
      <c r="CF179" s="81"/>
      <c r="CG179" s="81"/>
      <c r="CH179" s="81"/>
      <c r="CI179" s="81"/>
      <c r="CJ179" s="81"/>
      <c r="CK179" s="81"/>
      <c r="CL179" s="81"/>
      <c r="CM179" s="81"/>
      <c r="CN179" s="81"/>
      <c r="CO179" s="81"/>
      <c r="CP179" s="81"/>
      <c r="CQ179" s="81"/>
      <c r="CR179" s="81"/>
      <c r="CS179" s="81"/>
      <c r="CT179" s="81"/>
      <c r="CU179" s="81"/>
      <c r="CV179" s="81"/>
      <c r="CW179" s="81"/>
      <c r="CX179" s="81"/>
      <c r="CY179" s="81"/>
      <c r="CZ179" s="81"/>
      <c r="DA179" s="81"/>
      <c r="DB179" s="81"/>
      <c r="DC179" s="81"/>
      <c r="DD179" s="81"/>
      <c r="DE179" s="81"/>
      <c r="DF179" s="81"/>
      <c r="DG179" s="81"/>
      <c r="DH179" s="81"/>
      <c r="DI179" s="81"/>
      <c r="DJ179" s="81"/>
      <c r="DK179" s="81"/>
      <c r="DL179" s="81"/>
      <c r="DM179" s="81"/>
      <c r="DN179" s="81"/>
      <c r="DO179" s="81"/>
      <c r="DP179" s="81"/>
      <c r="DQ179" s="81"/>
      <c r="DR179" s="81"/>
      <c r="DS179" s="81"/>
      <c r="DT179" s="81"/>
      <c r="DU179" s="81"/>
      <c r="DV179" s="81"/>
      <c r="DW179" s="121"/>
    </row>
    <row r="180" spans="1:127" x14ac:dyDescent="0.25">
      <c r="A180" s="2">
        <f>COUNTIF($D$2:D180,'Reporte de Nomina'!$E$2)</f>
        <v>0</v>
      </c>
      <c r="B180" s="125">
        <f>Lista!A179</f>
        <v>0</v>
      </c>
      <c r="C180" s="125">
        <f>Lista!B179</f>
        <v>0</v>
      </c>
      <c r="D180" s="125">
        <f>Lista!C179</f>
        <v>0</v>
      </c>
      <c r="E180" s="125">
        <f>Lista!D179</f>
        <v>0</v>
      </c>
      <c r="F180" s="125">
        <f>Lista!E179</f>
        <v>0</v>
      </c>
      <c r="G180" s="125">
        <f>Lista!F179</f>
        <v>0</v>
      </c>
      <c r="H180" s="125">
        <f>Lista!G179</f>
        <v>0</v>
      </c>
      <c r="I180" s="125">
        <f>Lista!H179</f>
        <v>0</v>
      </c>
      <c r="J180" s="125">
        <f>Lista!I179</f>
        <v>0</v>
      </c>
      <c r="K180" s="125">
        <f>Lista!J179</f>
        <v>0</v>
      </c>
      <c r="L180" s="125">
        <f>Lista!K179</f>
        <v>0</v>
      </c>
      <c r="M180" s="125">
        <f>Lista!L179</f>
        <v>0</v>
      </c>
      <c r="N180" s="125">
        <f>Lista!M179</f>
        <v>0</v>
      </c>
      <c r="O180" s="125">
        <f>Lista!N179</f>
        <v>0</v>
      </c>
      <c r="P180" s="125">
        <f>Lista!O179</f>
        <v>0</v>
      </c>
      <c r="Q180" s="125">
        <f>Lista!P179</f>
        <v>0</v>
      </c>
      <c r="R180" s="125">
        <f>Lista!Q179</f>
        <v>0</v>
      </c>
      <c r="S180" s="125">
        <f>Lista!R179</f>
        <v>0</v>
      </c>
      <c r="T180" s="81"/>
      <c r="U180" s="81"/>
      <c r="V180" s="81"/>
      <c r="W180" s="81"/>
      <c r="X180" s="81"/>
      <c r="Y180" s="81"/>
      <c r="Z180" s="81"/>
      <c r="AA180" s="81"/>
      <c r="AB180" s="81"/>
      <c r="AC180" s="81"/>
      <c r="AD180" s="81"/>
      <c r="AE180" s="81"/>
      <c r="AF180" s="81"/>
      <c r="AG180" s="81"/>
      <c r="AH180" s="81"/>
      <c r="AI180" s="81"/>
      <c r="AJ180" s="81"/>
      <c r="AK180" s="81"/>
      <c r="AL180" s="81"/>
      <c r="AM180" s="81"/>
      <c r="AN180" s="81"/>
      <c r="AO180" s="81"/>
      <c r="AP180" s="81"/>
      <c r="AQ180" s="81"/>
      <c r="AR180" s="81"/>
      <c r="AS180" s="81"/>
      <c r="AT180" s="81"/>
      <c r="AU180" s="81"/>
      <c r="AV180" s="81"/>
      <c r="AW180" s="81"/>
      <c r="AX180" s="81"/>
      <c r="AY180" s="81"/>
      <c r="AZ180" s="81"/>
      <c r="BA180" s="81"/>
      <c r="BB180" s="81"/>
      <c r="BC180" s="81"/>
      <c r="BD180" s="81"/>
      <c r="BE180" s="81"/>
      <c r="BF180" s="81"/>
      <c r="BG180" s="81"/>
      <c r="BH180" s="81"/>
      <c r="BI180" s="81"/>
      <c r="BJ180" s="81"/>
      <c r="BK180" s="81"/>
      <c r="BL180" s="81"/>
      <c r="BM180" s="81"/>
      <c r="BN180" s="81"/>
      <c r="BO180" s="81"/>
      <c r="BP180" s="81"/>
      <c r="BQ180" s="81"/>
      <c r="BR180" s="81"/>
      <c r="BS180" s="81"/>
      <c r="BT180" s="81"/>
      <c r="BU180" s="81"/>
      <c r="BV180" s="81"/>
      <c r="BW180" s="81"/>
      <c r="BX180" s="81"/>
      <c r="BY180" s="81"/>
      <c r="BZ180" s="81"/>
      <c r="CA180" s="81"/>
      <c r="CB180" s="81"/>
      <c r="CC180" s="81"/>
      <c r="CD180" s="81"/>
      <c r="CE180" s="81"/>
      <c r="CF180" s="81"/>
      <c r="CG180" s="81"/>
      <c r="CH180" s="81"/>
      <c r="CI180" s="81"/>
      <c r="CJ180" s="81"/>
      <c r="CK180" s="81"/>
      <c r="CL180" s="81"/>
      <c r="CM180" s="81"/>
      <c r="CN180" s="81"/>
      <c r="CO180" s="81"/>
      <c r="CP180" s="81"/>
      <c r="CQ180" s="81"/>
      <c r="CR180" s="81"/>
      <c r="CS180" s="81"/>
      <c r="CT180" s="81"/>
      <c r="CU180" s="81"/>
      <c r="CV180" s="81"/>
      <c r="CW180" s="81"/>
      <c r="CX180" s="81"/>
      <c r="CY180" s="81"/>
      <c r="CZ180" s="81"/>
      <c r="DA180" s="81"/>
      <c r="DB180" s="81"/>
      <c r="DC180" s="81"/>
      <c r="DD180" s="81"/>
      <c r="DE180" s="81"/>
      <c r="DF180" s="81"/>
      <c r="DG180" s="81"/>
      <c r="DH180" s="81"/>
      <c r="DI180" s="81"/>
      <c r="DJ180" s="81"/>
      <c r="DK180" s="81"/>
      <c r="DL180" s="81"/>
      <c r="DM180" s="81"/>
      <c r="DN180" s="81"/>
      <c r="DO180" s="81"/>
      <c r="DP180" s="81"/>
      <c r="DQ180" s="81"/>
      <c r="DR180" s="81"/>
      <c r="DS180" s="81"/>
      <c r="DT180" s="81"/>
      <c r="DU180" s="81"/>
      <c r="DV180" s="81"/>
      <c r="DW180" s="121"/>
    </row>
    <row r="181" spans="1:127" x14ac:dyDescent="0.25">
      <c r="A181" s="2">
        <f>COUNTIF($D$2:D181,'Reporte de Nomina'!$E$2)</f>
        <v>0</v>
      </c>
      <c r="B181" s="125">
        <f>Lista!A180</f>
        <v>0</v>
      </c>
      <c r="C181" s="125">
        <f>Lista!B180</f>
        <v>0</v>
      </c>
      <c r="D181" s="125">
        <f>Lista!C180</f>
        <v>0</v>
      </c>
      <c r="E181" s="125">
        <f>Lista!D180</f>
        <v>0</v>
      </c>
      <c r="F181" s="125">
        <f>Lista!E180</f>
        <v>0</v>
      </c>
      <c r="G181" s="125">
        <f>Lista!F180</f>
        <v>0</v>
      </c>
      <c r="H181" s="125">
        <f>Lista!G180</f>
        <v>0</v>
      </c>
      <c r="I181" s="125">
        <f>Lista!H180</f>
        <v>0</v>
      </c>
      <c r="J181" s="125">
        <f>Lista!I180</f>
        <v>0</v>
      </c>
      <c r="K181" s="125">
        <f>Lista!J180</f>
        <v>0</v>
      </c>
      <c r="L181" s="125">
        <f>Lista!K180</f>
        <v>0</v>
      </c>
      <c r="M181" s="125">
        <f>Lista!L180</f>
        <v>0</v>
      </c>
      <c r="N181" s="125">
        <f>Lista!M180</f>
        <v>0</v>
      </c>
      <c r="O181" s="125">
        <f>Lista!N180</f>
        <v>0</v>
      </c>
      <c r="P181" s="125">
        <f>Lista!O180</f>
        <v>0</v>
      </c>
      <c r="Q181" s="125">
        <f>Lista!P180</f>
        <v>0</v>
      </c>
      <c r="R181" s="125">
        <f>Lista!Q180</f>
        <v>0</v>
      </c>
      <c r="S181" s="125">
        <f>Lista!R180</f>
        <v>0</v>
      </c>
      <c r="T181" s="81"/>
      <c r="U181" s="81"/>
      <c r="V181" s="81"/>
      <c r="W181" s="81"/>
      <c r="X181" s="81"/>
      <c r="Y181" s="81"/>
      <c r="Z181" s="81"/>
      <c r="AA181" s="81"/>
      <c r="AB181" s="81"/>
      <c r="AC181" s="81"/>
      <c r="AD181" s="81"/>
      <c r="AE181" s="81"/>
      <c r="AF181" s="81"/>
      <c r="AG181" s="81"/>
      <c r="AH181" s="81"/>
      <c r="AI181" s="81"/>
      <c r="AJ181" s="81"/>
      <c r="AK181" s="81"/>
      <c r="AL181" s="81"/>
      <c r="AM181" s="81"/>
      <c r="AN181" s="81"/>
      <c r="AO181" s="81"/>
      <c r="AP181" s="81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  <c r="BA181" s="81"/>
      <c r="BB181" s="81"/>
      <c r="BC181" s="81"/>
      <c r="BD181" s="81"/>
      <c r="BE181" s="81"/>
      <c r="BF181" s="81"/>
      <c r="BG181" s="81"/>
      <c r="BH181" s="81"/>
      <c r="BI181" s="81"/>
      <c r="BJ181" s="81"/>
      <c r="BK181" s="81"/>
      <c r="BL181" s="81"/>
      <c r="BM181" s="81"/>
      <c r="BN181" s="81"/>
      <c r="BO181" s="81"/>
      <c r="BP181" s="81"/>
      <c r="BQ181" s="81"/>
      <c r="BR181" s="81"/>
      <c r="BS181" s="81"/>
      <c r="BT181" s="81"/>
      <c r="BU181" s="81"/>
      <c r="BV181" s="81"/>
      <c r="BW181" s="81"/>
      <c r="BX181" s="81"/>
      <c r="BY181" s="81"/>
      <c r="BZ181" s="81"/>
      <c r="CA181" s="81"/>
      <c r="CB181" s="81"/>
      <c r="CC181" s="81"/>
      <c r="CD181" s="81"/>
      <c r="CE181" s="81"/>
      <c r="CF181" s="81"/>
      <c r="CG181" s="81"/>
      <c r="CH181" s="81"/>
      <c r="CI181" s="81"/>
      <c r="CJ181" s="81"/>
      <c r="CK181" s="81"/>
      <c r="CL181" s="81"/>
      <c r="CM181" s="81"/>
      <c r="CN181" s="81"/>
      <c r="CO181" s="81"/>
      <c r="CP181" s="81"/>
      <c r="CQ181" s="81"/>
      <c r="CR181" s="81"/>
      <c r="CS181" s="81"/>
      <c r="CT181" s="81"/>
      <c r="CU181" s="81"/>
      <c r="CV181" s="81"/>
      <c r="CW181" s="81"/>
      <c r="CX181" s="81"/>
      <c r="CY181" s="81"/>
      <c r="CZ181" s="81"/>
      <c r="DA181" s="81"/>
      <c r="DB181" s="81"/>
      <c r="DC181" s="81"/>
      <c r="DD181" s="81"/>
      <c r="DE181" s="81"/>
      <c r="DF181" s="81"/>
      <c r="DG181" s="81"/>
      <c r="DH181" s="81"/>
      <c r="DI181" s="81"/>
      <c r="DJ181" s="81"/>
      <c r="DK181" s="81"/>
      <c r="DL181" s="81"/>
      <c r="DM181" s="81"/>
      <c r="DN181" s="81"/>
      <c r="DO181" s="81"/>
      <c r="DP181" s="81"/>
      <c r="DQ181" s="81"/>
      <c r="DR181" s="81"/>
      <c r="DS181" s="81"/>
      <c r="DT181" s="81"/>
      <c r="DU181" s="81"/>
      <c r="DV181" s="81"/>
      <c r="DW181" s="121"/>
    </row>
    <row r="182" spans="1:127" x14ac:dyDescent="0.25">
      <c r="A182" s="2">
        <f>COUNTIF($D$2:D182,'Reporte de Nomina'!$E$2)</f>
        <v>0</v>
      </c>
      <c r="B182" s="125">
        <f>Lista!A181</f>
        <v>0</v>
      </c>
      <c r="C182" s="125">
        <f>Lista!B181</f>
        <v>0</v>
      </c>
      <c r="D182" s="125">
        <f>Lista!C181</f>
        <v>0</v>
      </c>
      <c r="E182" s="125">
        <f>Lista!D181</f>
        <v>0</v>
      </c>
      <c r="F182" s="125">
        <f>Lista!E181</f>
        <v>0</v>
      </c>
      <c r="G182" s="125">
        <f>Lista!F181</f>
        <v>0</v>
      </c>
      <c r="H182" s="125">
        <f>Lista!G181</f>
        <v>0</v>
      </c>
      <c r="I182" s="125">
        <f>Lista!H181</f>
        <v>0</v>
      </c>
      <c r="J182" s="125">
        <f>Lista!I181</f>
        <v>0</v>
      </c>
      <c r="K182" s="125">
        <f>Lista!J181</f>
        <v>0</v>
      </c>
      <c r="L182" s="125">
        <f>Lista!K181</f>
        <v>0</v>
      </c>
      <c r="M182" s="125">
        <f>Lista!L181</f>
        <v>0</v>
      </c>
      <c r="N182" s="125">
        <f>Lista!M181</f>
        <v>0</v>
      </c>
      <c r="O182" s="125">
        <f>Lista!N181</f>
        <v>0</v>
      </c>
      <c r="P182" s="125">
        <f>Lista!O181</f>
        <v>0</v>
      </c>
      <c r="Q182" s="125">
        <f>Lista!P181</f>
        <v>0</v>
      </c>
      <c r="R182" s="125">
        <f>Lista!Q181</f>
        <v>0</v>
      </c>
      <c r="S182" s="125">
        <f>Lista!R181</f>
        <v>0</v>
      </c>
      <c r="T182" s="81"/>
      <c r="U182" s="81"/>
      <c r="V182" s="81"/>
      <c r="W182" s="81"/>
      <c r="X182" s="81"/>
      <c r="Y182" s="81"/>
      <c r="Z182" s="81"/>
      <c r="AA182" s="81"/>
      <c r="AB182" s="81"/>
      <c r="AC182" s="81"/>
      <c r="AD182" s="81"/>
      <c r="AE182" s="81"/>
      <c r="AF182" s="81"/>
      <c r="AG182" s="81"/>
      <c r="AH182" s="81"/>
      <c r="AI182" s="81"/>
      <c r="AJ182" s="81"/>
      <c r="AK182" s="81"/>
      <c r="AL182" s="81"/>
      <c r="AM182" s="81"/>
      <c r="AN182" s="81"/>
      <c r="AO182" s="81"/>
      <c r="AP182" s="81"/>
      <c r="AQ182" s="81"/>
      <c r="AR182" s="81"/>
      <c r="AS182" s="81"/>
      <c r="AT182" s="81"/>
      <c r="AU182" s="81"/>
      <c r="AV182" s="81"/>
      <c r="AW182" s="81"/>
      <c r="AX182" s="81"/>
      <c r="AY182" s="81"/>
      <c r="AZ182" s="81"/>
      <c r="BA182" s="81"/>
      <c r="BB182" s="81"/>
      <c r="BC182" s="81"/>
      <c r="BD182" s="81"/>
      <c r="BE182" s="81"/>
      <c r="BF182" s="81"/>
      <c r="BG182" s="81"/>
      <c r="BH182" s="81"/>
      <c r="BI182" s="81"/>
      <c r="BJ182" s="81"/>
      <c r="BK182" s="81"/>
      <c r="BL182" s="81"/>
      <c r="BM182" s="81"/>
      <c r="BN182" s="81"/>
      <c r="BO182" s="81"/>
      <c r="BP182" s="81"/>
      <c r="BQ182" s="81"/>
      <c r="BR182" s="81"/>
      <c r="BS182" s="81"/>
      <c r="BT182" s="81"/>
      <c r="BU182" s="81"/>
      <c r="BV182" s="81"/>
      <c r="BW182" s="81"/>
      <c r="BX182" s="81"/>
      <c r="BY182" s="81"/>
      <c r="BZ182" s="81"/>
      <c r="CA182" s="81"/>
      <c r="CB182" s="81"/>
      <c r="CC182" s="81"/>
      <c r="CD182" s="81"/>
      <c r="CE182" s="81"/>
      <c r="CF182" s="81"/>
      <c r="CG182" s="81"/>
      <c r="CH182" s="81"/>
      <c r="CI182" s="81"/>
      <c r="CJ182" s="81"/>
      <c r="CK182" s="81"/>
      <c r="CL182" s="81"/>
      <c r="CM182" s="81"/>
      <c r="CN182" s="81"/>
      <c r="CO182" s="81"/>
      <c r="CP182" s="81"/>
      <c r="CQ182" s="81"/>
      <c r="CR182" s="81"/>
      <c r="CS182" s="81"/>
      <c r="CT182" s="81"/>
      <c r="CU182" s="81"/>
      <c r="CV182" s="81"/>
      <c r="CW182" s="81"/>
      <c r="CX182" s="81"/>
      <c r="CY182" s="81"/>
      <c r="CZ182" s="81"/>
      <c r="DA182" s="81"/>
      <c r="DB182" s="81"/>
      <c r="DC182" s="81"/>
      <c r="DD182" s="81"/>
      <c r="DE182" s="81"/>
      <c r="DF182" s="81"/>
      <c r="DG182" s="81"/>
      <c r="DH182" s="81"/>
      <c r="DI182" s="81"/>
      <c r="DJ182" s="81"/>
      <c r="DK182" s="81"/>
      <c r="DL182" s="81"/>
      <c r="DM182" s="81"/>
      <c r="DN182" s="81"/>
      <c r="DO182" s="81"/>
      <c r="DP182" s="81"/>
      <c r="DQ182" s="81"/>
      <c r="DR182" s="81"/>
      <c r="DS182" s="81"/>
      <c r="DT182" s="81"/>
      <c r="DU182" s="81"/>
      <c r="DV182" s="81"/>
      <c r="DW182" s="121"/>
    </row>
    <row r="183" spans="1:127" x14ac:dyDescent="0.25">
      <c r="A183" s="2">
        <f>COUNTIF($D$2:D183,'Reporte de Nomina'!$E$2)</f>
        <v>0</v>
      </c>
      <c r="B183" s="125">
        <f>Lista!A182</f>
        <v>0</v>
      </c>
      <c r="C183" s="125">
        <f>Lista!B182</f>
        <v>0</v>
      </c>
      <c r="D183" s="125">
        <f>Lista!C182</f>
        <v>0</v>
      </c>
      <c r="E183" s="125">
        <f>Lista!D182</f>
        <v>0</v>
      </c>
      <c r="F183" s="125">
        <f>Lista!E182</f>
        <v>0</v>
      </c>
      <c r="G183" s="125">
        <f>Lista!F182</f>
        <v>0</v>
      </c>
      <c r="H183" s="125">
        <f>Lista!G182</f>
        <v>0</v>
      </c>
      <c r="I183" s="125">
        <f>Lista!H182</f>
        <v>0</v>
      </c>
      <c r="J183" s="125">
        <f>Lista!I182</f>
        <v>0</v>
      </c>
      <c r="K183" s="125">
        <f>Lista!J182</f>
        <v>0</v>
      </c>
      <c r="L183" s="125">
        <f>Lista!K182</f>
        <v>0</v>
      </c>
      <c r="M183" s="125">
        <f>Lista!L182</f>
        <v>0</v>
      </c>
      <c r="N183" s="125">
        <f>Lista!M182</f>
        <v>0</v>
      </c>
      <c r="O183" s="125">
        <f>Lista!N182</f>
        <v>0</v>
      </c>
      <c r="P183" s="125">
        <f>Lista!O182</f>
        <v>0</v>
      </c>
      <c r="Q183" s="125">
        <f>Lista!P182</f>
        <v>0</v>
      </c>
      <c r="R183" s="125">
        <f>Lista!Q182</f>
        <v>0</v>
      </c>
      <c r="S183" s="125">
        <f>Lista!R182</f>
        <v>0</v>
      </c>
      <c r="T183" s="81"/>
      <c r="U183" s="81"/>
      <c r="V183" s="81"/>
      <c r="W183" s="81"/>
      <c r="X183" s="81"/>
      <c r="Y183" s="81"/>
      <c r="Z183" s="81"/>
      <c r="AA183" s="81"/>
      <c r="AB183" s="81"/>
      <c r="AC183" s="81"/>
      <c r="AD183" s="81"/>
      <c r="AE183" s="81"/>
      <c r="AF183" s="81"/>
      <c r="AG183" s="81"/>
      <c r="AH183" s="81"/>
      <c r="AI183" s="81"/>
      <c r="AJ183" s="81"/>
      <c r="AK183" s="81"/>
      <c r="AL183" s="81"/>
      <c r="AM183" s="81"/>
      <c r="AN183" s="81"/>
      <c r="AO183" s="81"/>
      <c r="AP183" s="81"/>
      <c r="AQ183" s="81"/>
      <c r="AR183" s="81"/>
      <c r="AS183" s="81"/>
      <c r="AT183" s="81"/>
      <c r="AU183" s="81"/>
      <c r="AV183" s="81"/>
      <c r="AW183" s="81"/>
      <c r="AX183" s="81"/>
      <c r="AY183" s="81"/>
      <c r="AZ183" s="81"/>
      <c r="BA183" s="81"/>
      <c r="BB183" s="81"/>
      <c r="BC183" s="81"/>
      <c r="BD183" s="81"/>
      <c r="BE183" s="81"/>
      <c r="BF183" s="81"/>
      <c r="BG183" s="81"/>
      <c r="BH183" s="81"/>
      <c r="BI183" s="81"/>
      <c r="BJ183" s="81"/>
      <c r="BK183" s="81"/>
      <c r="BL183" s="81"/>
      <c r="BM183" s="81"/>
      <c r="BN183" s="81"/>
      <c r="BO183" s="81"/>
      <c r="BP183" s="81"/>
      <c r="BQ183" s="81"/>
      <c r="BR183" s="81"/>
      <c r="BS183" s="81"/>
      <c r="BT183" s="81"/>
      <c r="BU183" s="81"/>
      <c r="BV183" s="81"/>
      <c r="BW183" s="81"/>
      <c r="BX183" s="81"/>
      <c r="BY183" s="81"/>
      <c r="BZ183" s="81"/>
      <c r="CA183" s="81"/>
      <c r="CB183" s="81"/>
      <c r="CC183" s="81"/>
      <c r="CD183" s="81"/>
      <c r="CE183" s="81"/>
      <c r="CF183" s="81"/>
      <c r="CG183" s="81"/>
      <c r="CH183" s="81"/>
      <c r="CI183" s="81"/>
      <c r="CJ183" s="81"/>
      <c r="CK183" s="81"/>
      <c r="CL183" s="81"/>
      <c r="CM183" s="81"/>
      <c r="CN183" s="81"/>
      <c r="CO183" s="81"/>
      <c r="CP183" s="81"/>
      <c r="CQ183" s="81"/>
      <c r="CR183" s="81"/>
      <c r="CS183" s="81"/>
      <c r="CT183" s="81"/>
      <c r="CU183" s="81"/>
      <c r="CV183" s="81"/>
      <c r="CW183" s="81"/>
      <c r="CX183" s="81"/>
      <c r="CY183" s="81"/>
      <c r="CZ183" s="81"/>
      <c r="DA183" s="81"/>
      <c r="DB183" s="81"/>
      <c r="DC183" s="81"/>
      <c r="DD183" s="81"/>
      <c r="DE183" s="81"/>
      <c r="DF183" s="81"/>
      <c r="DG183" s="81"/>
      <c r="DH183" s="81"/>
      <c r="DI183" s="81"/>
      <c r="DJ183" s="81"/>
      <c r="DK183" s="81"/>
      <c r="DL183" s="81"/>
      <c r="DM183" s="81"/>
      <c r="DN183" s="81"/>
      <c r="DO183" s="81"/>
      <c r="DP183" s="81"/>
      <c r="DQ183" s="81"/>
      <c r="DR183" s="81"/>
      <c r="DS183" s="81"/>
      <c r="DT183" s="81"/>
      <c r="DU183" s="81"/>
      <c r="DV183" s="81"/>
      <c r="DW183" s="121"/>
    </row>
    <row r="184" spans="1:127" x14ac:dyDescent="0.25">
      <c r="A184" s="2">
        <f>COUNTIF($D$2:D184,'Reporte de Nomina'!$E$2)</f>
        <v>0</v>
      </c>
      <c r="B184" s="125">
        <f>Lista!A183</f>
        <v>0</v>
      </c>
      <c r="C184" s="125">
        <f>Lista!B183</f>
        <v>0</v>
      </c>
      <c r="D184" s="125">
        <f>Lista!C183</f>
        <v>0</v>
      </c>
      <c r="E184" s="125">
        <f>Lista!D183</f>
        <v>0</v>
      </c>
      <c r="F184" s="125">
        <f>Lista!E183</f>
        <v>0</v>
      </c>
      <c r="G184" s="125">
        <f>Lista!F183</f>
        <v>0</v>
      </c>
      <c r="H184" s="125">
        <f>Lista!G183</f>
        <v>0</v>
      </c>
      <c r="I184" s="125">
        <f>Lista!H183</f>
        <v>0</v>
      </c>
      <c r="J184" s="125">
        <f>Lista!I183</f>
        <v>0</v>
      </c>
      <c r="K184" s="125">
        <f>Lista!J183</f>
        <v>0</v>
      </c>
      <c r="L184" s="125">
        <f>Lista!K183</f>
        <v>0</v>
      </c>
      <c r="M184" s="125">
        <f>Lista!L183</f>
        <v>0</v>
      </c>
      <c r="N184" s="125">
        <f>Lista!M183</f>
        <v>0</v>
      </c>
      <c r="O184" s="125">
        <f>Lista!N183</f>
        <v>0</v>
      </c>
      <c r="P184" s="125">
        <f>Lista!O183</f>
        <v>0</v>
      </c>
      <c r="Q184" s="125">
        <f>Lista!P183</f>
        <v>0</v>
      </c>
      <c r="R184" s="125">
        <f>Lista!Q183</f>
        <v>0</v>
      </c>
      <c r="S184" s="125">
        <f>Lista!R183</f>
        <v>0</v>
      </c>
      <c r="T184" s="81"/>
      <c r="U184" s="81"/>
      <c r="V184" s="81"/>
      <c r="W184" s="81"/>
      <c r="X184" s="81"/>
      <c r="Y184" s="81"/>
      <c r="Z184" s="81"/>
      <c r="AA184" s="81"/>
      <c r="AB184" s="81"/>
      <c r="AC184" s="81"/>
      <c r="AD184" s="81"/>
      <c r="AE184" s="81"/>
      <c r="AF184" s="81"/>
      <c r="AG184" s="81"/>
      <c r="AH184" s="81"/>
      <c r="AI184" s="81"/>
      <c r="AJ184" s="81"/>
      <c r="AK184" s="81"/>
      <c r="AL184" s="81"/>
      <c r="AM184" s="81"/>
      <c r="AN184" s="81"/>
      <c r="AO184" s="81"/>
      <c r="AP184" s="81"/>
      <c r="AQ184" s="81"/>
      <c r="AR184" s="81"/>
      <c r="AS184" s="81"/>
      <c r="AT184" s="81"/>
      <c r="AU184" s="81"/>
      <c r="AV184" s="81"/>
      <c r="AW184" s="81"/>
      <c r="AX184" s="81"/>
      <c r="AY184" s="81"/>
      <c r="AZ184" s="81"/>
      <c r="BA184" s="81"/>
      <c r="BB184" s="81"/>
      <c r="BC184" s="81"/>
      <c r="BD184" s="81"/>
      <c r="BE184" s="81"/>
      <c r="BF184" s="81"/>
      <c r="BG184" s="81"/>
      <c r="BH184" s="81"/>
      <c r="BI184" s="81"/>
      <c r="BJ184" s="81"/>
      <c r="BK184" s="81"/>
      <c r="BL184" s="81"/>
      <c r="BM184" s="81"/>
      <c r="BN184" s="81"/>
      <c r="BO184" s="81"/>
      <c r="BP184" s="81"/>
      <c r="BQ184" s="81"/>
      <c r="BR184" s="81"/>
      <c r="BS184" s="81"/>
      <c r="BT184" s="81"/>
      <c r="BU184" s="81"/>
      <c r="BV184" s="81"/>
      <c r="BW184" s="81"/>
      <c r="BX184" s="81"/>
      <c r="BY184" s="81"/>
      <c r="BZ184" s="81"/>
      <c r="CA184" s="81"/>
      <c r="CB184" s="81"/>
      <c r="CC184" s="81"/>
      <c r="CD184" s="81"/>
      <c r="CE184" s="81"/>
      <c r="CF184" s="81"/>
      <c r="CG184" s="81"/>
      <c r="CH184" s="81"/>
      <c r="CI184" s="81"/>
      <c r="CJ184" s="81"/>
      <c r="CK184" s="81"/>
      <c r="CL184" s="81"/>
      <c r="CM184" s="81"/>
      <c r="CN184" s="81"/>
      <c r="CO184" s="81"/>
      <c r="CP184" s="81"/>
      <c r="CQ184" s="81"/>
      <c r="CR184" s="81"/>
      <c r="CS184" s="81"/>
      <c r="CT184" s="81"/>
      <c r="CU184" s="81"/>
      <c r="CV184" s="81"/>
      <c r="CW184" s="81"/>
      <c r="CX184" s="81"/>
      <c r="CY184" s="81"/>
      <c r="CZ184" s="81"/>
      <c r="DA184" s="81"/>
      <c r="DB184" s="81"/>
      <c r="DC184" s="81"/>
      <c r="DD184" s="81"/>
      <c r="DE184" s="81"/>
      <c r="DF184" s="81"/>
      <c r="DG184" s="81"/>
      <c r="DH184" s="81"/>
      <c r="DI184" s="81"/>
      <c r="DJ184" s="81"/>
      <c r="DK184" s="81"/>
      <c r="DL184" s="81"/>
      <c r="DM184" s="81"/>
      <c r="DN184" s="81"/>
      <c r="DO184" s="81"/>
      <c r="DP184" s="81"/>
      <c r="DQ184" s="81"/>
      <c r="DR184" s="81"/>
      <c r="DS184" s="81"/>
      <c r="DT184" s="81"/>
      <c r="DU184" s="81"/>
      <c r="DV184" s="81"/>
      <c r="DW184" s="121"/>
    </row>
    <row r="185" spans="1:127" x14ac:dyDescent="0.25">
      <c r="A185" s="2">
        <f>COUNTIF($D$2:D185,'Reporte de Nomina'!$E$2)</f>
        <v>0</v>
      </c>
      <c r="B185" s="125">
        <f>Lista!A184</f>
        <v>0</v>
      </c>
      <c r="C185" s="125">
        <f>Lista!B184</f>
        <v>0</v>
      </c>
      <c r="D185" s="125">
        <f>Lista!C184</f>
        <v>0</v>
      </c>
      <c r="E185" s="125">
        <f>Lista!D184</f>
        <v>0</v>
      </c>
      <c r="F185" s="125">
        <f>Lista!E184</f>
        <v>0</v>
      </c>
      <c r="G185" s="125">
        <f>Lista!F184</f>
        <v>0</v>
      </c>
      <c r="H185" s="125">
        <f>Lista!G184</f>
        <v>0</v>
      </c>
      <c r="I185" s="125">
        <f>Lista!H184</f>
        <v>0</v>
      </c>
      <c r="J185" s="125">
        <f>Lista!I184</f>
        <v>0</v>
      </c>
      <c r="K185" s="125">
        <f>Lista!J184</f>
        <v>0</v>
      </c>
      <c r="L185" s="125">
        <f>Lista!K184</f>
        <v>0</v>
      </c>
      <c r="M185" s="125">
        <f>Lista!L184</f>
        <v>0</v>
      </c>
      <c r="N185" s="125">
        <f>Lista!M184</f>
        <v>0</v>
      </c>
      <c r="O185" s="125">
        <f>Lista!N184</f>
        <v>0</v>
      </c>
      <c r="P185" s="125">
        <f>Lista!O184</f>
        <v>0</v>
      </c>
      <c r="Q185" s="125">
        <f>Lista!P184</f>
        <v>0</v>
      </c>
      <c r="R185" s="125">
        <f>Lista!Q184</f>
        <v>0</v>
      </c>
      <c r="S185" s="125">
        <f>Lista!R184</f>
        <v>0</v>
      </c>
      <c r="T185" s="81"/>
      <c r="U185" s="81"/>
      <c r="V185" s="81"/>
      <c r="W185" s="81"/>
      <c r="X185" s="81"/>
      <c r="Y185" s="81"/>
      <c r="Z185" s="81"/>
      <c r="AA185" s="81"/>
      <c r="AB185" s="81"/>
      <c r="AC185" s="81"/>
      <c r="AD185" s="81"/>
      <c r="AE185" s="81"/>
      <c r="AF185" s="81"/>
      <c r="AG185" s="81"/>
      <c r="AH185" s="81"/>
      <c r="AI185" s="81"/>
      <c r="AJ185" s="81"/>
      <c r="AK185" s="81"/>
      <c r="AL185" s="81"/>
      <c r="AM185" s="81"/>
      <c r="AN185" s="81"/>
      <c r="AO185" s="81"/>
      <c r="AP185" s="81"/>
      <c r="AQ185" s="81"/>
      <c r="AR185" s="81"/>
      <c r="AS185" s="81"/>
      <c r="AT185" s="81"/>
      <c r="AU185" s="81"/>
      <c r="AV185" s="81"/>
      <c r="AW185" s="81"/>
      <c r="AX185" s="81"/>
      <c r="AY185" s="81"/>
      <c r="AZ185" s="81"/>
      <c r="BA185" s="81"/>
      <c r="BB185" s="81"/>
      <c r="BC185" s="81"/>
      <c r="BD185" s="81"/>
      <c r="BE185" s="81"/>
      <c r="BF185" s="81"/>
      <c r="BG185" s="81"/>
      <c r="BH185" s="81"/>
      <c r="BI185" s="81"/>
      <c r="BJ185" s="81"/>
      <c r="BK185" s="81"/>
      <c r="BL185" s="81"/>
      <c r="BM185" s="81"/>
      <c r="BN185" s="81"/>
      <c r="BO185" s="81"/>
      <c r="BP185" s="81"/>
      <c r="BQ185" s="81"/>
      <c r="BR185" s="81"/>
      <c r="BS185" s="81"/>
      <c r="BT185" s="81"/>
      <c r="BU185" s="81"/>
      <c r="BV185" s="81"/>
      <c r="BW185" s="81"/>
      <c r="BX185" s="81"/>
      <c r="BY185" s="81"/>
      <c r="BZ185" s="81"/>
      <c r="CA185" s="81"/>
      <c r="CB185" s="81"/>
      <c r="CC185" s="81"/>
      <c r="CD185" s="81"/>
      <c r="CE185" s="81"/>
      <c r="CF185" s="81"/>
      <c r="CG185" s="81"/>
      <c r="CH185" s="81"/>
      <c r="CI185" s="81"/>
      <c r="CJ185" s="81"/>
      <c r="CK185" s="81"/>
      <c r="CL185" s="81"/>
      <c r="CM185" s="81"/>
      <c r="CN185" s="81"/>
      <c r="CO185" s="81"/>
      <c r="CP185" s="81"/>
      <c r="CQ185" s="81"/>
      <c r="CR185" s="81"/>
      <c r="CS185" s="81"/>
      <c r="CT185" s="81"/>
      <c r="CU185" s="81"/>
      <c r="CV185" s="81"/>
      <c r="CW185" s="81"/>
      <c r="CX185" s="81"/>
      <c r="CY185" s="81"/>
      <c r="CZ185" s="81"/>
      <c r="DA185" s="81"/>
      <c r="DB185" s="81"/>
      <c r="DC185" s="81"/>
      <c r="DD185" s="81"/>
      <c r="DE185" s="81"/>
      <c r="DF185" s="81"/>
      <c r="DG185" s="81"/>
      <c r="DH185" s="81"/>
      <c r="DI185" s="81"/>
      <c r="DJ185" s="81"/>
      <c r="DK185" s="81"/>
      <c r="DL185" s="81"/>
      <c r="DM185" s="81"/>
      <c r="DN185" s="81"/>
      <c r="DO185" s="81"/>
      <c r="DP185" s="81"/>
      <c r="DQ185" s="81"/>
      <c r="DR185" s="81"/>
      <c r="DS185" s="81"/>
      <c r="DT185" s="81"/>
      <c r="DU185" s="81"/>
      <c r="DV185" s="81"/>
      <c r="DW185" s="121"/>
    </row>
    <row r="186" spans="1:127" x14ac:dyDescent="0.25">
      <c r="A186" s="2">
        <f>COUNTIF($D$2:D186,'Reporte de Nomina'!$E$2)</f>
        <v>0</v>
      </c>
      <c r="B186" s="125">
        <f>Lista!A185</f>
        <v>0</v>
      </c>
      <c r="C186" s="125">
        <f>Lista!B185</f>
        <v>0</v>
      </c>
      <c r="D186" s="125">
        <f>Lista!C185</f>
        <v>0</v>
      </c>
      <c r="E186" s="125">
        <f>Lista!D185</f>
        <v>0</v>
      </c>
      <c r="F186" s="125">
        <f>Lista!E185</f>
        <v>0</v>
      </c>
      <c r="G186" s="125">
        <f>Lista!F185</f>
        <v>0</v>
      </c>
      <c r="H186" s="125">
        <f>Lista!G185</f>
        <v>0</v>
      </c>
      <c r="I186" s="125">
        <f>Lista!H185</f>
        <v>0</v>
      </c>
      <c r="J186" s="125">
        <f>Lista!I185</f>
        <v>0</v>
      </c>
      <c r="K186" s="125">
        <f>Lista!J185</f>
        <v>0</v>
      </c>
      <c r="L186" s="125">
        <f>Lista!K185</f>
        <v>0</v>
      </c>
      <c r="M186" s="125">
        <f>Lista!L185</f>
        <v>0</v>
      </c>
      <c r="N186" s="125">
        <f>Lista!M185</f>
        <v>0</v>
      </c>
      <c r="O186" s="125">
        <f>Lista!N185</f>
        <v>0</v>
      </c>
      <c r="P186" s="125">
        <f>Lista!O185</f>
        <v>0</v>
      </c>
      <c r="Q186" s="125">
        <f>Lista!P185</f>
        <v>0</v>
      </c>
      <c r="R186" s="125">
        <f>Lista!Q185</f>
        <v>0</v>
      </c>
      <c r="S186" s="125">
        <f>Lista!R185</f>
        <v>0</v>
      </c>
      <c r="T186" s="81"/>
      <c r="U186" s="81"/>
      <c r="V186" s="81"/>
      <c r="W186" s="81"/>
      <c r="X186" s="81"/>
      <c r="Y186" s="81"/>
      <c r="Z186" s="81"/>
      <c r="AA186" s="81"/>
      <c r="AB186" s="81"/>
      <c r="AC186" s="81"/>
      <c r="AD186" s="81"/>
      <c r="AE186" s="81"/>
      <c r="AF186" s="81"/>
      <c r="AG186" s="81"/>
      <c r="AH186" s="81"/>
      <c r="AI186" s="81"/>
      <c r="AJ186" s="81"/>
      <c r="AK186" s="81"/>
      <c r="AL186" s="81"/>
      <c r="AM186" s="81"/>
      <c r="AN186" s="81"/>
      <c r="AO186" s="81"/>
      <c r="AP186" s="81"/>
      <c r="AQ186" s="81"/>
      <c r="AR186" s="81"/>
      <c r="AS186" s="81"/>
      <c r="AT186" s="81"/>
      <c r="AU186" s="81"/>
      <c r="AV186" s="81"/>
      <c r="AW186" s="81"/>
      <c r="AX186" s="81"/>
      <c r="AY186" s="81"/>
      <c r="AZ186" s="81"/>
      <c r="BA186" s="81"/>
      <c r="BB186" s="81"/>
      <c r="BC186" s="81"/>
      <c r="BD186" s="81"/>
      <c r="BE186" s="81"/>
      <c r="BF186" s="81"/>
      <c r="BG186" s="81"/>
      <c r="BH186" s="81"/>
      <c r="BI186" s="81"/>
      <c r="BJ186" s="81"/>
      <c r="BK186" s="81"/>
      <c r="BL186" s="81"/>
      <c r="BM186" s="81"/>
      <c r="BN186" s="81"/>
      <c r="BO186" s="81"/>
      <c r="BP186" s="81"/>
      <c r="BQ186" s="81"/>
      <c r="BR186" s="81"/>
      <c r="BS186" s="81"/>
      <c r="BT186" s="81"/>
      <c r="BU186" s="81"/>
      <c r="BV186" s="81"/>
      <c r="BW186" s="81"/>
      <c r="BX186" s="81"/>
      <c r="BY186" s="81"/>
      <c r="BZ186" s="81"/>
      <c r="CA186" s="81"/>
      <c r="CB186" s="81"/>
      <c r="CC186" s="81"/>
      <c r="CD186" s="81"/>
      <c r="CE186" s="81"/>
      <c r="CF186" s="81"/>
      <c r="CG186" s="81"/>
      <c r="CH186" s="81"/>
      <c r="CI186" s="81"/>
      <c r="CJ186" s="81"/>
      <c r="CK186" s="81"/>
      <c r="CL186" s="81"/>
      <c r="CM186" s="81"/>
      <c r="CN186" s="81"/>
      <c r="CO186" s="81"/>
      <c r="CP186" s="81"/>
      <c r="CQ186" s="81"/>
      <c r="CR186" s="81"/>
      <c r="CS186" s="81"/>
      <c r="CT186" s="81"/>
      <c r="CU186" s="81"/>
      <c r="CV186" s="81"/>
      <c r="CW186" s="81"/>
      <c r="CX186" s="81"/>
      <c r="CY186" s="81"/>
      <c r="CZ186" s="81"/>
      <c r="DA186" s="81"/>
      <c r="DB186" s="81"/>
      <c r="DC186" s="81"/>
      <c r="DD186" s="81"/>
      <c r="DE186" s="81"/>
      <c r="DF186" s="81"/>
      <c r="DG186" s="81"/>
      <c r="DH186" s="81"/>
      <c r="DI186" s="81"/>
      <c r="DJ186" s="81"/>
      <c r="DK186" s="81"/>
      <c r="DL186" s="81"/>
      <c r="DM186" s="81"/>
      <c r="DN186" s="81"/>
      <c r="DO186" s="81"/>
      <c r="DP186" s="81"/>
      <c r="DQ186" s="81"/>
      <c r="DR186" s="81"/>
      <c r="DS186" s="81"/>
      <c r="DT186" s="81"/>
      <c r="DU186" s="81"/>
      <c r="DV186" s="81"/>
      <c r="DW186" s="121"/>
    </row>
    <row r="187" spans="1:127" x14ac:dyDescent="0.25">
      <c r="A187" s="2">
        <f>COUNTIF($D$2:D187,'Reporte de Nomina'!$E$2)</f>
        <v>0</v>
      </c>
      <c r="B187" s="125">
        <f>Lista!A186</f>
        <v>0</v>
      </c>
      <c r="C187" s="125">
        <f>Lista!B186</f>
        <v>0</v>
      </c>
      <c r="D187" s="125">
        <f>Lista!C186</f>
        <v>0</v>
      </c>
      <c r="E187" s="125">
        <f>Lista!D186</f>
        <v>0</v>
      </c>
      <c r="F187" s="125">
        <f>Lista!E186</f>
        <v>0</v>
      </c>
      <c r="G187" s="125">
        <f>Lista!F186</f>
        <v>0</v>
      </c>
      <c r="H187" s="125">
        <f>Lista!G186</f>
        <v>0</v>
      </c>
      <c r="I187" s="125">
        <f>Lista!H186</f>
        <v>0</v>
      </c>
      <c r="J187" s="125">
        <f>Lista!I186</f>
        <v>0</v>
      </c>
      <c r="K187" s="125">
        <f>Lista!J186</f>
        <v>0</v>
      </c>
      <c r="L187" s="125">
        <f>Lista!K186</f>
        <v>0</v>
      </c>
      <c r="M187" s="125">
        <f>Lista!L186</f>
        <v>0</v>
      </c>
      <c r="N187" s="125">
        <f>Lista!M186</f>
        <v>0</v>
      </c>
      <c r="O187" s="125">
        <f>Lista!N186</f>
        <v>0</v>
      </c>
      <c r="P187" s="125">
        <f>Lista!O186</f>
        <v>0</v>
      </c>
      <c r="Q187" s="125">
        <f>Lista!P186</f>
        <v>0</v>
      </c>
      <c r="R187" s="125">
        <f>Lista!Q186</f>
        <v>0</v>
      </c>
      <c r="S187" s="125">
        <f>Lista!R186</f>
        <v>0</v>
      </c>
      <c r="T187" s="81"/>
      <c r="U187" s="81"/>
      <c r="V187" s="81"/>
      <c r="W187" s="81"/>
      <c r="X187" s="81"/>
      <c r="Y187" s="81"/>
      <c r="Z187" s="81"/>
      <c r="AA187" s="81"/>
      <c r="AB187" s="81"/>
      <c r="AC187" s="81"/>
      <c r="AD187" s="81"/>
      <c r="AE187" s="81"/>
      <c r="AF187" s="81"/>
      <c r="AG187" s="81"/>
      <c r="AH187" s="81"/>
      <c r="AI187" s="81"/>
      <c r="AJ187" s="81"/>
      <c r="AK187" s="81"/>
      <c r="AL187" s="81"/>
      <c r="AM187" s="81"/>
      <c r="AN187" s="81"/>
      <c r="AO187" s="81"/>
      <c r="AP187" s="81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  <c r="BA187" s="81"/>
      <c r="BB187" s="81"/>
      <c r="BC187" s="81"/>
      <c r="BD187" s="81"/>
      <c r="BE187" s="81"/>
      <c r="BF187" s="81"/>
      <c r="BG187" s="81"/>
      <c r="BH187" s="81"/>
      <c r="BI187" s="81"/>
      <c r="BJ187" s="81"/>
      <c r="BK187" s="81"/>
      <c r="BL187" s="81"/>
      <c r="BM187" s="81"/>
      <c r="BN187" s="81"/>
      <c r="BO187" s="81"/>
      <c r="BP187" s="81"/>
      <c r="BQ187" s="81"/>
      <c r="BR187" s="81"/>
      <c r="BS187" s="81"/>
      <c r="BT187" s="81"/>
      <c r="BU187" s="81"/>
      <c r="BV187" s="81"/>
      <c r="BW187" s="81"/>
      <c r="BX187" s="81"/>
      <c r="BY187" s="81"/>
      <c r="BZ187" s="81"/>
      <c r="CA187" s="81"/>
      <c r="CB187" s="81"/>
      <c r="CC187" s="81"/>
      <c r="CD187" s="81"/>
      <c r="CE187" s="81"/>
      <c r="CF187" s="81"/>
      <c r="CG187" s="81"/>
      <c r="CH187" s="81"/>
      <c r="CI187" s="81"/>
      <c r="CJ187" s="81"/>
      <c r="CK187" s="81"/>
      <c r="CL187" s="81"/>
      <c r="CM187" s="81"/>
      <c r="CN187" s="81"/>
      <c r="CO187" s="81"/>
      <c r="CP187" s="81"/>
      <c r="CQ187" s="81"/>
      <c r="CR187" s="81"/>
      <c r="CS187" s="81"/>
      <c r="CT187" s="81"/>
      <c r="CU187" s="81"/>
      <c r="CV187" s="81"/>
      <c r="CW187" s="81"/>
      <c r="CX187" s="81"/>
      <c r="CY187" s="81"/>
      <c r="CZ187" s="81"/>
      <c r="DA187" s="81"/>
      <c r="DB187" s="81"/>
      <c r="DC187" s="81"/>
      <c r="DD187" s="81"/>
      <c r="DE187" s="81"/>
      <c r="DF187" s="81"/>
      <c r="DG187" s="81"/>
      <c r="DH187" s="81"/>
      <c r="DI187" s="81"/>
      <c r="DJ187" s="81"/>
      <c r="DK187" s="81"/>
      <c r="DL187" s="81"/>
      <c r="DM187" s="81"/>
      <c r="DN187" s="81"/>
      <c r="DO187" s="81"/>
      <c r="DP187" s="81"/>
      <c r="DQ187" s="81"/>
      <c r="DR187" s="81"/>
      <c r="DS187" s="81"/>
      <c r="DT187" s="81"/>
      <c r="DU187" s="81"/>
      <c r="DV187" s="81"/>
      <c r="DW187" s="121"/>
    </row>
    <row r="188" spans="1:127" x14ac:dyDescent="0.25">
      <c r="A188" s="2">
        <f>COUNTIF($D$2:D188,'Reporte de Nomina'!$E$2)</f>
        <v>0</v>
      </c>
      <c r="B188" s="125">
        <f>Lista!A187</f>
        <v>0</v>
      </c>
      <c r="C188" s="125">
        <f>Lista!B187</f>
        <v>0</v>
      </c>
      <c r="D188" s="125">
        <f>Lista!C187</f>
        <v>0</v>
      </c>
      <c r="E188" s="125">
        <f>Lista!D187</f>
        <v>0</v>
      </c>
      <c r="F188" s="125">
        <f>Lista!E187</f>
        <v>0</v>
      </c>
      <c r="G188" s="125">
        <f>Lista!F187</f>
        <v>0</v>
      </c>
      <c r="H188" s="125">
        <f>Lista!G187</f>
        <v>0</v>
      </c>
      <c r="I188" s="125">
        <f>Lista!H187</f>
        <v>0</v>
      </c>
      <c r="J188" s="125">
        <f>Lista!I187</f>
        <v>0</v>
      </c>
      <c r="K188" s="125">
        <f>Lista!J187</f>
        <v>0</v>
      </c>
      <c r="L188" s="125">
        <f>Lista!K187</f>
        <v>0</v>
      </c>
      <c r="M188" s="125">
        <f>Lista!L187</f>
        <v>0</v>
      </c>
      <c r="N188" s="125">
        <f>Lista!M187</f>
        <v>0</v>
      </c>
      <c r="O188" s="125">
        <f>Lista!N187</f>
        <v>0</v>
      </c>
      <c r="P188" s="125">
        <f>Lista!O187</f>
        <v>0</v>
      </c>
      <c r="Q188" s="125">
        <f>Lista!P187</f>
        <v>0</v>
      </c>
      <c r="R188" s="125">
        <f>Lista!Q187</f>
        <v>0</v>
      </c>
      <c r="S188" s="125">
        <f>Lista!R187</f>
        <v>0</v>
      </c>
      <c r="T188" s="81"/>
      <c r="U188" s="81"/>
      <c r="V188" s="81"/>
      <c r="W188" s="81"/>
      <c r="X188" s="81"/>
      <c r="Y188" s="81"/>
      <c r="Z188" s="81"/>
      <c r="AA188" s="81"/>
      <c r="AB188" s="81"/>
      <c r="AC188" s="81"/>
      <c r="AD188" s="81"/>
      <c r="AE188" s="81"/>
      <c r="AF188" s="81"/>
      <c r="AG188" s="81"/>
      <c r="AH188" s="81"/>
      <c r="AI188" s="81"/>
      <c r="AJ188" s="81"/>
      <c r="AK188" s="81"/>
      <c r="AL188" s="81"/>
      <c r="AM188" s="81"/>
      <c r="AN188" s="81"/>
      <c r="AO188" s="81"/>
      <c r="AP188" s="81"/>
      <c r="AQ188" s="81"/>
      <c r="AR188" s="81"/>
      <c r="AS188" s="81"/>
      <c r="AT188" s="81"/>
      <c r="AU188" s="81"/>
      <c r="AV188" s="81"/>
      <c r="AW188" s="81"/>
      <c r="AX188" s="81"/>
      <c r="AY188" s="81"/>
      <c r="AZ188" s="81"/>
      <c r="BA188" s="81"/>
      <c r="BB188" s="81"/>
      <c r="BC188" s="81"/>
      <c r="BD188" s="81"/>
      <c r="BE188" s="81"/>
      <c r="BF188" s="81"/>
      <c r="BG188" s="81"/>
      <c r="BH188" s="81"/>
      <c r="BI188" s="81"/>
      <c r="BJ188" s="81"/>
      <c r="BK188" s="81"/>
      <c r="BL188" s="81"/>
      <c r="BM188" s="81"/>
      <c r="BN188" s="81"/>
      <c r="BO188" s="81"/>
      <c r="BP188" s="81"/>
      <c r="BQ188" s="81"/>
      <c r="BR188" s="81"/>
      <c r="BS188" s="81"/>
      <c r="BT188" s="81"/>
      <c r="BU188" s="81"/>
      <c r="BV188" s="81"/>
      <c r="BW188" s="81"/>
      <c r="BX188" s="81"/>
      <c r="BY188" s="81"/>
      <c r="BZ188" s="81"/>
      <c r="CA188" s="81"/>
      <c r="CB188" s="81"/>
      <c r="CC188" s="81"/>
      <c r="CD188" s="81"/>
      <c r="CE188" s="81"/>
      <c r="CF188" s="81"/>
      <c r="CG188" s="81"/>
      <c r="CH188" s="81"/>
      <c r="CI188" s="81"/>
      <c r="CJ188" s="81"/>
      <c r="CK188" s="81"/>
      <c r="CL188" s="81"/>
      <c r="CM188" s="81"/>
      <c r="CN188" s="81"/>
      <c r="CO188" s="81"/>
      <c r="CP188" s="81"/>
      <c r="CQ188" s="81"/>
      <c r="CR188" s="81"/>
      <c r="CS188" s="81"/>
      <c r="CT188" s="81"/>
      <c r="CU188" s="81"/>
      <c r="CV188" s="81"/>
      <c r="CW188" s="81"/>
      <c r="CX188" s="81"/>
      <c r="CY188" s="81"/>
      <c r="CZ188" s="81"/>
      <c r="DA188" s="81"/>
      <c r="DB188" s="81"/>
      <c r="DC188" s="81"/>
      <c r="DD188" s="81"/>
      <c r="DE188" s="81"/>
      <c r="DF188" s="81"/>
      <c r="DG188" s="81"/>
      <c r="DH188" s="81"/>
      <c r="DI188" s="81"/>
      <c r="DJ188" s="81"/>
      <c r="DK188" s="81"/>
      <c r="DL188" s="81"/>
      <c r="DM188" s="81"/>
      <c r="DN188" s="81"/>
      <c r="DO188" s="81"/>
      <c r="DP188" s="81"/>
      <c r="DQ188" s="81"/>
      <c r="DR188" s="81"/>
      <c r="DS188" s="81"/>
      <c r="DT188" s="81"/>
      <c r="DU188" s="81"/>
      <c r="DV188" s="81"/>
      <c r="DW188" s="121"/>
    </row>
    <row r="189" spans="1:127" x14ac:dyDescent="0.25">
      <c r="A189" s="2">
        <f>COUNTIF($D$2:D189,'Reporte de Nomina'!$E$2)</f>
        <v>0</v>
      </c>
      <c r="B189" s="125">
        <f>Lista!A188</f>
        <v>0</v>
      </c>
      <c r="C189" s="125">
        <f>Lista!B188</f>
        <v>0</v>
      </c>
      <c r="D189" s="125">
        <f>Lista!C188</f>
        <v>0</v>
      </c>
      <c r="E189" s="125">
        <f>Lista!D188</f>
        <v>0</v>
      </c>
      <c r="F189" s="125">
        <f>Lista!E188</f>
        <v>0</v>
      </c>
      <c r="G189" s="125">
        <f>Lista!F188</f>
        <v>0</v>
      </c>
      <c r="H189" s="125">
        <f>Lista!G188</f>
        <v>0</v>
      </c>
      <c r="I189" s="125">
        <f>Lista!H188</f>
        <v>0</v>
      </c>
      <c r="J189" s="125">
        <f>Lista!I188</f>
        <v>0</v>
      </c>
      <c r="K189" s="125">
        <f>Lista!J188</f>
        <v>0</v>
      </c>
      <c r="L189" s="125">
        <f>Lista!K188</f>
        <v>0</v>
      </c>
      <c r="M189" s="125">
        <f>Lista!L188</f>
        <v>0</v>
      </c>
      <c r="N189" s="125">
        <f>Lista!M188</f>
        <v>0</v>
      </c>
      <c r="O189" s="125">
        <f>Lista!N188</f>
        <v>0</v>
      </c>
      <c r="P189" s="125">
        <f>Lista!O188</f>
        <v>0</v>
      </c>
      <c r="Q189" s="125">
        <f>Lista!P188</f>
        <v>0</v>
      </c>
      <c r="R189" s="125">
        <f>Lista!Q188</f>
        <v>0</v>
      </c>
      <c r="S189" s="125">
        <f>Lista!R188</f>
        <v>0</v>
      </c>
      <c r="T189" s="81"/>
      <c r="U189" s="81"/>
      <c r="V189" s="81"/>
      <c r="W189" s="81"/>
      <c r="X189" s="81"/>
      <c r="Y189" s="81"/>
      <c r="Z189" s="81"/>
      <c r="AA189" s="81"/>
      <c r="AB189" s="81"/>
      <c r="AC189" s="81"/>
      <c r="AD189" s="81"/>
      <c r="AE189" s="81"/>
      <c r="AF189" s="81"/>
      <c r="AG189" s="81"/>
      <c r="AH189" s="81"/>
      <c r="AI189" s="81"/>
      <c r="AJ189" s="81"/>
      <c r="AK189" s="81"/>
      <c r="AL189" s="81"/>
      <c r="AM189" s="81"/>
      <c r="AN189" s="81"/>
      <c r="AO189" s="81"/>
      <c r="AP189" s="81"/>
      <c r="AQ189" s="81"/>
      <c r="AR189" s="81"/>
      <c r="AS189" s="81"/>
      <c r="AT189" s="81"/>
      <c r="AU189" s="81"/>
      <c r="AV189" s="81"/>
      <c r="AW189" s="81"/>
      <c r="AX189" s="81"/>
      <c r="AY189" s="81"/>
      <c r="AZ189" s="81"/>
      <c r="BA189" s="81"/>
      <c r="BB189" s="81"/>
      <c r="BC189" s="81"/>
      <c r="BD189" s="81"/>
      <c r="BE189" s="81"/>
      <c r="BF189" s="81"/>
      <c r="BG189" s="81"/>
      <c r="BH189" s="81"/>
      <c r="BI189" s="81"/>
      <c r="BJ189" s="81"/>
      <c r="BK189" s="81"/>
      <c r="BL189" s="81"/>
      <c r="BM189" s="81"/>
      <c r="BN189" s="81"/>
      <c r="BO189" s="81"/>
      <c r="BP189" s="81"/>
      <c r="BQ189" s="81"/>
      <c r="BR189" s="81"/>
      <c r="BS189" s="81"/>
      <c r="BT189" s="81"/>
      <c r="BU189" s="81"/>
      <c r="BV189" s="81"/>
      <c r="BW189" s="81"/>
      <c r="BX189" s="81"/>
      <c r="BY189" s="81"/>
      <c r="BZ189" s="81"/>
      <c r="CA189" s="81"/>
      <c r="CB189" s="81"/>
      <c r="CC189" s="81"/>
      <c r="CD189" s="81"/>
      <c r="CE189" s="81"/>
      <c r="CF189" s="81"/>
      <c r="CG189" s="81"/>
      <c r="CH189" s="81"/>
      <c r="CI189" s="81"/>
      <c r="CJ189" s="81"/>
      <c r="CK189" s="81"/>
      <c r="CL189" s="81"/>
      <c r="CM189" s="81"/>
      <c r="CN189" s="81"/>
      <c r="CO189" s="81"/>
      <c r="CP189" s="81"/>
      <c r="CQ189" s="81"/>
      <c r="CR189" s="81"/>
      <c r="CS189" s="81"/>
      <c r="CT189" s="81"/>
      <c r="CU189" s="81"/>
      <c r="CV189" s="81"/>
      <c r="CW189" s="81"/>
      <c r="CX189" s="81"/>
      <c r="CY189" s="81"/>
      <c r="CZ189" s="81"/>
      <c r="DA189" s="81"/>
      <c r="DB189" s="81"/>
      <c r="DC189" s="81"/>
      <c r="DD189" s="81"/>
      <c r="DE189" s="81"/>
      <c r="DF189" s="81"/>
      <c r="DG189" s="81"/>
      <c r="DH189" s="81"/>
      <c r="DI189" s="81"/>
      <c r="DJ189" s="81"/>
      <c r="DK189" s="81"/>
      <c r="DL189" s="81"/>
      <c r="DM189" s="81"/>
      <c r="DN189" s="81"/>
      <c r="DO189" s="81"/>
      <c r="DP189" s="81"/>
      <c r="DQ189" s="81"/>
      <c r="DR189" s="81"/>
      <c r="DS189" s="81"/>
      <c r="DT189" s="81"/>
      <c r="DU189" s="81"/>
      <c r="DV189" s="81"/>
      <c r="DW189" s="121"/>
    </row>
    <row r="190" spans="1:127" x14ac:dyDescent="0.25">
      <c r="A190" s="2">
        <f>COUNTIF($D$2:D190,'Reporte de Nomina'!$E$2)</f>
        <v>0</v>
      </c>
      <c r="B190" s="125">
        <f>Lista!A189</f>
        <v>0</v>
      </c>
      <c r="C190" s="125">
        <f>Lista!B189</f>
        <v>0</v>
      </c>
      <c r="D190" s="125">
        <f>Lista!C189</f>
        <v>0</v>
      </c>
      <c r="E190" s="125">
        <f>Lista!D189</f>
        <v>0</v>
      </c>
      <c r="F190" s="125">
        <f>Lista!E189</f>
        <v>0</v>
      </c>
      <c r="G190" s="125">
        <f>Lista!F189</f>
        <v>0</v>
      </c>
      <c r="H190" s="125">
        <f>Lista!G189</f>
        <v>0</v>
      </c>
      <c r="I190" s="125">
        <f>Lista!H189</f>
        <v>0</v>
      </c>
      <c r="J190" s="125">
        <f>Lista!I189</f>
        <v>0</v>
      </c>
      <c r="K190" s="125">
        <f>Lista!J189</f>
        <v>0</v>
      </c>
      <c r="L190" s="125">
        <f>Lista!K189</f>
        <v>0</v>
      </c>
      <c r="M190" s="125">
        <f>Lista!L189</f>
        <v>0</v>
      </c>
      <c r="N190" s="125">
        <f>Lista!M189</f>
        <v>0</v>
      </c>
      <c r="O190" s="125">
        <f>Lista!N189</f>
        <v>0</v>
      </c>
      <c r="P190" s="125">
        <f>Lista!O189</f>
        <v>0</v>
      </c>
      <c r="Q190" s="125">
        <f>Lista!P189</f>
        <v>0</v>
      </c>
      <c r="R190" s="125">
        <f>Lista!Q189</f>
        <v>0</v>
      </c>
      <c r="S190" s="125">
        <f>Lista!R189</f>
        <v>0</v>
      </c>
      <c r="T190" s="81"/>
      <c r="U190" s="81"/>
      <c r="V190" s="81"/>
      <c r="W190" s="81"/>
      <c r="X190" s="81"/>
      <c r="Y190" s="81"/>
      <c r="Z190" s="81"/>
      <c r="AA190" s="81"/>
      <c r="AB190" s="81"/>
      <c r="AC190" s="81"/>
      <c r="AD190" s="81"/>
      <c r="AE190" s="81"/>
      <c r="AF190" s="81"/>
      <c r="AG190" s="81"/>
      <c r="AH190" s="81"/>
      <c r="AI190" s="81"/>
      <c r="AJ190" s="81"/>
      <c r="AK190" s="81"/>
      <c r="AL190" s="81"/>
      <c r="AM190" s="81"/>
      <c r="AN190" s="81"/>
      <c r="AO190" s="81"/>
      <c r="AP190" s="81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  <c r="BA190" s="81"/>
      <c r="BB190" s="81"/>
      <c r="BC190" s="81"/>
      <c r="BD190" s="81"/>
      <c r="BE190" s="81"/>
      <c r="BF190" s="81"/>
      <c r="BG190" s="81"/>
      <c r="BH190" s="81"/>
      <c r="BI190" s="81"/>
      <c r="BJ190" s="81"/>
      <c r="BK190" s="81"/>
      <c r="BL190" s="81"/>
      <c r="BM190" s="81"/>
      <c r="BN190" s="81"/>
      <c r="BO190" s="81"/>
      <c r="BP190" s="81"/>
      <c r="BQ190" s="81"/>
      <c r="BR190" s="81"/>
      <c r="BS190" s="81"/>
      <c r="BT190" s="81"/>
      <c r="BU190" s="81"/>
      <c r="BV190" s="81"/>
      <c r="BW190" s="81"/>
      <c r="BX190" s="81"/>
      <c r="BY190" s="81"/>
      <c r="BZ190" s="81"/>
      <c r="CA190" s="81"/>
      <c r="CB190" s="81"/>
      <c r="CC190" s="81"/>
      <c r="CD190" s="81"/>
      <c r="CE190" s="81"/>
      <c r="CF190" s="81"/>
      <c r="CG190" s="81"/>
      <c r="CH190" s="81"/>
      <c r="CI190" s="81"/>
      <c r="CJ190" s="81"/>
      <c r="CK190" s="81"/>
      <c r="CL190" s="81"/>
      <c r="CM190" s="81"/>
      <c r="CN190" s="81"/>
      <c r="CO190" s="81"/>
      <c r="CP190" s="81"/>
      <c r="CQ190" s="81"/>
      <c r="CR190" s="81"/>
      <c r="CS190" s="81"/>
      <c r="CT190" s="81"/>
      <c r="CU190" s="81"/>
      <c r="CV190" s="81"/>
      <c r="CW190" s="81"/>
      <c r="CX190" s="81"/>
      <c r="CY190" s="81"/>
      <c r="CZ190" s="81"/>
      <c r="DA190" s="81"/>
      <c r="DB190" s="81"/>
      <c r="DC190" s="81"/>
      <c r="DD190" s="81"/>
      <c r="DE190" s="81"/>
      <c r="DF190" s="81"/>
      <c r="DG190" s="81"/>
      <c r="DH190" s="81"/>
      <c r="DI190" s="81"/>
      <c r="DJ190" s="81"/>
      <c r="DK190" s="81"/>
      <c r="DL190" s="81"/>
      <c r="DM190" s="81"/>
      <c r="DN190" s="81"/>
      <c r="DO190" s="81"/>
      <c r="DP190" s="81"/>
      <c r="DQ190" s="81"/>
      <c r="DR190" s="81"/>
      <c r="DS190" s="81"/>
      <c r="DT190" s="81"/>
      <c r="DU190" s="81"/>
      <c r="DV190" s="81"/>
      <c r="DW190" s="121"/>
    </row>
    <row r="191" spans="1:127" x14ac:dyDescent="0.25">
      <c r="A191" s="2">
        <f>COUNTIF($D$2:D191,'Reporte de Nomina'!$E$2)</f>
        <v>0</v>
      </c>
      <c r="B191" s="125">
        <f>Lista!A190</f>
        <v>0</v>
      </c>
      <c r="C191" s="125">
        <f>Lista!B190</f>
        <v>0</v>
      </c>
      <c r="D191" s="125">
        <f>Lista!C190</f>
        <v>0</v>
      </c>
      <c r="E191" s="125">
        <f>Lista!D190</f>
        <v>0</v>
      </c>
      <c r="F191" s="125">
        <f>Lista!E190</f>
        <v>0</v>
      </c>
      <c r="G191" s="125">
        <f>Lista!F190</f>
        <v>0</v>
      </c>
      <c r="H191" s="125">
        <f>Lista!G190</f>
        <v>0</v>
      </c>
      <c r="I191" s="125">
        <f>Lista!H190</f>
        <v>0</v>
      </c>
      <c r="J191" s="125">
        <f>Lista!I190</f>
        <v>0</v>
      </c>
      <c r="K191" s="125">
        <f>Lista!J190</f>
        <v>0</v>
      </c>
      <c r="L191" s="125">
        <f>Lista!K190</f>
        <v>0</v>
      </c>
      <c r="M191" s="125">
        <f>Lista!L190</f>
        <v>0</v>
      </c>
      <c r="N191" s="125">
        <f>Lista!M190</f>
        <v>0</v>
      </c>
      <c r="O191" s="125">
        <f>Lista!N190</f>
        <v>0</v>
      </c>
      <c r="P191" s="125">
        <f>Lista!O190</f>
        <v>0</v>
      </c>
      <c r="Q191" s="125">
        <f>Lista!P190</f>
        <v>0</v>
      </c>
      <c r="R191" s="125">
        <f>Lista!Q190</f>
        <v>0</v>
      </c>
      <c r="S191" s="125">
        <f>Lista!R190</f>
        <v>0</v>
      </c>
      <c r="T191" s="81"/>
      <c r="U191" s="81"/>
      <c r="V191" s="81"/>
      <c r="W191" s="81"/>
      <c r="X191" s="81"/>
      <c r="Y191" s="81"/>
      <c r="Z191" s="81"/>
      <c r="AA191" s="81"/>
      <c r="AB191" s="81"/>
      <c r="AC191" s="81"/>
      <c r="AD191" s="81"/>
      <c r="AE191" s="81"/>
      <c r="AF191" s="81"/>
      <c r="AG191" s="81"/>
      <c r="AH191" s="81"/>
      <c r="AI191" s="81"/>
      <c r="AJ191" s="81"/>
      <c r="AK191" s="81"/>
      <c r="AL191" s="81"/>
      <c r="AM191" s="81"/>
      <c r="AN191" s="81"/>
      <c r="AO191" s="81"/>
      <c r="AP191" s="81"/>
      <c r="AQ191" s="81"/>
      <c r="AR191" s="81"/>
      <c r="AS191" s="81"/>
      <c r="AT191" s="81"/>
      <c r="AU191" s="81"/>
      <c r="AV191" s="81"/>
      <c r="AW191" s="81"/>
      <c r="AX191" s="81"/>
      <c r="AY191" s="81"/>
      <c r="AZ191" s="81"/>
      <c r="BA191" s="81"/>
      <c r="BB191" s="81"/>
      <c r="BC191" s="81"/>
      <c r="BD191" s="81"/>
      <c r="BE191" s="81"/>
      <c r="BF191" s="81"/>
      <c r="BG191" s="81"/>
      <c r="BH191" s="81"/>
      <c r="BI191" s="81"/>
      <c r="BJ191" s="81"/>
      <c r="BK191" s="81"/>
      <c r="BL191" s="81"/>
      <c r="BM191" s="81"/>
      <c r="BN191" s="81"/>
      <c r="BO191" s="81"/>
      <c r="BP191" s="81"/>
      <c r="BQ191" s="81"/>
      <c r="BR191" s="81"/>
      <c r="BS191" s="81"/>
      <c r="BT191" s="81"/>
      <c r="BU191" s="81"/>
      <c r="BV191" s="81"/>
      <c r="BW191" s="81"/>
      <c r="BX191" s="81"/>
      <c r="BY191" s="81"/>
      <c r="BZ191" s="81"/>
      <c r="CA191" s="81"/>
      <c r="CB191" s="81"/>
      <c r="CC191" s="81"/>
      <c r="CD191" s="81"/>
      <c r="CE191" s="81"/>
      <c r="CF191" s="81"/>
      <c r="CG191" s="81"/>
      <c r="CH191" s="81"/>
      <c r="CI191" s="81"/>
      <c r="CJ191" s="81"/>
      <c r="CK191" s="81"/>
      <c r="CL191" s="81"/>
      <c r="CM191" s="81"/>
      <c r="CN191" s="81"/>
      <c r="CO191" s="81"/>
      <c r="CP191" s="81"/>
      <c r="CQ191" s="81"/>
      <c r="CR191" s="81"/>
      <c r="CS191" s="81"/>
      <c r="CT191" s="81"/>
      <c r="CU191" s="81"/>
      <c r="CV191" s="81"/>
      <c r="CW191" s="81"/>
      <c r="CX191" s="81"/>
      <c r="CY191" s="81"/>
      <c r="CZ191" s="81"/>
      <c r="DA191" s="81"/>
      <c r="DB191" s="81"/>
      <c r="DC191" s="81"/>
      <c r="DD191" s="81"/>
      <c r="DE191" s="81"/>
      <c r="DF191" s="81"/>
      <c r="DG191" s="81"/>
      <c r="DH191" s="81"/>
      <c r="DI191" s="81"/>
      <c r="DJ191" s="81"/>
      <c r="DK191" s="81"/>
      <c r="DL191" s="81"/>
      <c r="DM191" s="81"/>
      <c r="DN191" s="81"/>
      <c r="DO191" s="81"/>
      <c r="DP191" s="81"/>
      <c r="DQ191" s="81"/>
      <c r="DR191" s="81"/>
      <c r="DS191" s="81"/>
      <c r="DT191" s="81"/>
      <c r="DU191" s="81"/>
      <c r="DV191" s="81"/>
      <c r="DW191" s="121"/>
    </row>
    <row r="192" spans="1:127" x14ac:dyDescent="0.25">
      <c r="A192" s="2">
        <f>COUNTIF($D$2:D192,'Reporte de Nomina'!$E$2)</f>
        <v>0</v>
      </c>
      <c r="B192" s="125">
        <f>Lista!A191</f>
        <v>0</v>
      </c>
      <c r="C192" s="125">
        <f>Lista!B191</f>
        <v>0</v>
      </c>
      <c r="D192" s="125">
        <f>Lista!C191</f>
        <v>0</v>
      </c>
      <c r="E192" s="125">
        <f>Lista!D191</f>
        <v>0</v>
      </c>
      <c r="F192" s="125">
        <f>Lista!E191</f>
        <v>0</v>
      </c>
      <c r="G192" s="125">
        <f>Lista!F191</f>
        <v>0</v>
      </c>
      <c r="H192" s="125">
        <f>Lista!G191</f>
        <v>0</v>
      </c>
      <c r="I192" s="125">
        <f>Lista!H191</f>
        <v>0</v>
      </c>
      <c r="J192" s="125">
        <f>Lista!I191</f>
        <v>0</v>
      </c>
      <c r="K192" s="125">
        <f>Lista!J191</f>
        <v>0</v>
      </c>
      <c r="L192" s="125">
        <f>Lista!K191</f>
        <v>0</v>
      </c>
      <c r="M192" s="125">
        <f>Lista!L191</f>
        <v>0</v>
      </c>
      <c r="N192" s="125">
        <f>Lista!M191</f>
        <v>0</v>
      </c>
      <c r="O192" s="125">
        <f>Lista!N191</f>
        <v>0</v>
      </c>
      <c r="P192" s="125">
        <f>Lista!O191</f>
        <v>0</v>
      </c>
      <c r="Q192" s="125">
        <f>Lista!P191</f>
        <v>0</v>
      </c>
      <c r="R192" s="125">
        <f>Lista!Q191</f>
        <v>0</v>
      </c>
      <c r="S192" s="125">
        <f>Lista!R191</f>
        <v>0</v>
      </c>
      <c r="T192" s="81"/>
      <c r="U192" s="81"/>
      <c r="V192" s="81"/>
      <c r="W192" s="81"/>
      <c r="X192" s="81"/>
      <c r="Y192" s="81"/>
      <c r="Z192" s="81"/>
      <c r="AA192" s="81"/>
      <c r="AB192" s="81"/>
      <c r="AC192" s="81"/>
      <c r="AD192" s="81"/>
      <c r="AE192" s="81"/>
      <c r="AF192" s="81"/>
      <c r="AG192" s="81"/>
      <c r="AH192" s="81"/>
      <c r="AI192" s="81"/>
      <c r="AJ192" s="81"/>
      <c r="AK192" s="81"/>
      <c r="AL192" s="81"/>
      <c r="AM192" s="81"/>
      <c r="AN192" s="81"/>
      <c r="AO192" s="81"/>
      <c r="AP192" s="81"/>
      <c r="AQ192" s="81"/>
      <c r="AR192" s="81"/>
      <c r="AS192" s="81"/>
      <c r="AT192" s="81"/>
      <c r="AU192" s="81"/>
      <c r="AV192" s="81"/>
      <c r="AW192" s="81"/>
      <c r="AX192" s="81"/>
      <c r="AY192" s="81"/>
      <c r="AZ192" s="81"/>
      <c r="BA192" s="81"/>
      <c r="BB192" s="81"/>
      <c r="BC192" s="81"/>
      <c r="BD192" s="81"/>
      <c r="BE192" s="81"/>
      <c r="BF192" s="81"/>
      <c r="BG192" s="81"/>
      <c r="BH192" s="81"/>
      <c r="BI192" s="81"/>
      <c r="BJ192" s="81"/>
      <c r="BK192" s="81"/>
      <c r="BL192" s="81"/>
      <c r="BM192" s="81"/>
      <c r="BN192" s="81"/>
      <c r="BO192" s="81"/>
      <c r="BP192" s="81"/>
      <c r="BQ192" s="81"/>
      <c r="BR192" s="81"/>
      <c r="BS192" s="81"/>
      <c r="BT192" s="81"/>
      <c r="BU192" s="81"/>
      <c r="BV192" s="81"/>
      <c r="BW192" s="81"/>
      <c r="BX192" s="81"/>
      <c r="BY192" s="81"/>
      <c r="BZ192" s="81"/>
      <c r="CA192" s="81"/>
      <c r="CB192" s="81"/>
      <c r="CC192" s="81"/>
      <c r="CD192" s="81"/>
      <c r="CE192" s="81"/>
      <c r="CF192" s="81"/>
      <c r="CG192" s="81"/>
      <c r="CH192" s="81"/>
      <c r="CI192" s="81"/>
      <c r="CJ192" s="81"/>
      <c r="CK192" s="81"/>
      <c r="CL192" s="81"/>
      <c r="CM192" s="81"/>
      <c r="CN192" s="81"/>
      <c r="CO192" s="81"/>
      <c r="CP192" s="81"/>
      <c r="CQ192" s="81"/>
      <c r="CR192" s="81"/>
      <c r="CS192" s="81"/>
      <c r="CT192" s="81"/>
      <c r="CU192" s="81"/>
      <c r="CV192" s="81"/>
      <c r="CW192" s="81"/>
      <c r="CX192" s="81"/>
      <c r="CY192" s="81"/>
      <c r="CZ192" s="81"/>
      <c r="DA192" s="81"/>
      <c r="DB192" s="81"/>
      <c r="DC192" s="81"/>
      <c r="DD192" s="81"/>
      <c r="DE192" s="81"/>
      <c r="DF192" s="81"/>
      <c r="DG192" s="81"/>
      <c r="DH192" s="81"/>
      <c r="DI192" s="81"/>
      <c r="DJ192" s="81"/>
      <c r="DK192" s="81"/>
      <c r="DL192" s="81"/>
      <c r="DM192" s="81"/>
      <c r="DN192" s="81"/>
      <c r="DO192" s="81"/>
      <c r="DP192" s="81"/>
      <c r="DQ192" s="81"/>
      <c r="DR192" s="81"/>
      <c r="DS192" s="81"/>
      <c r="DT192" s="81"/>
      <c r="DU192" s="81"/>
      <c r="DV192" s="81"/>
      <c r="DW192" s="121"/>
    </row>
    <row r="193" spans="1:127" x14ac:dyDescent="0.25">
      <c r="A193" s="2">
        <f>COUNTIF($D$2:D193,'Reporte de Nomina'!$E$2)</f>
        <v>0</v>
      </c>
      <c r="B193" s="125">
        <f>Lista!A192</f>
        <v>0</v>
      </c>
      <c r="C193" s="125">
        <f>Lista!B192</f>
        <v>0</v>
      </c>
      <c r="D193" s="125">
        <f>Lista!C192</f>
        <v>0</v>
      </c>
      <c r="E193" s="125">
        <f>Lista!D192</f>
        <v>0</v>
      </c>
      <c r="F193" s="125">
        <f>Lista!E192</f>
        <v>0</v>
      </c>
      <c r="G193" s="125">
        <f>Lista!F192</f>
        <v>0</v>
      </c>
      <c r="H193" s="125">
        <f>Lista!G192</f>
        <v>0</v>
      </c>
      <c r="I193" s="125">
        <f>Lista!H192</f>
        <v>0</v>
      </c>
      <c r="J193" s="125">
        <f>Lista!I192</f>
        <v>0</v>
      </c>
      <c r="K193" s="125">
        <f>Lista!J192</f>
        <v>0</v>
      </c>
      <c r="L193" s="125">
        <f>Lista!K192</f>
        <v>0</v>
      </c>
      <c r="M193" s="125">
        <f>Lista!L192</f>
        <v>0</v>
      </c>
      <c r="N193" s="125">
        <f>Lista!M192</f>
        <v>0</v>
      </c>
      <c r="O193" s="125">
        <f>Lista!N192</f>
        <v>0</v>
      </c>
      <c r="P193" s="125">
        <f>Lista!O192</f>
        <v>0</v>
      </c>
      <c r="Q193" s="125">
        <f>Lista!P192</f>
        <v>0</v>
      </c>
      <c r="R193" s="125">
        <f>Lista!Q192</f>
        <v>0</v>
      </c>
      <c r="S193" s="125">
        <f>Lista!R192</f>
        <v>0</v>
      </c>
      <c r="T193" s="81"/>
      <c r="U193" s="81"/>
      <c r="V193" s="81"/>
      <c r="W193" s="81"/>
      <c r="X193" s="81"/>
      <c r="Y193" s="81"/>
      <c r="Z193" s="81"/>
      <c r="AA193" s="81"/>
      <c r="AB193" s="81"/>
      <c r="AC193" s="81"/>
      <c r="AD193" s="81"/>
      <c r="AE193" s="81"/>
      <c r="AF193" s="81"/>
      <c r="AG193" s="81"/>
      <c r="AH193" s="81"/>
      <c r="AI193" s="81"/>
      <c r="AJ193" s="81"/>
      <c r="AK193" s="81"/>
      <c r="AL193" s="81"/>
      <c r="AM193" s="81"/>
      <c r="AN193" s="81"/>
      <c r="AO193" s="81"/>
      <c r="AP193" s="81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  <c r="BA193" s="81"/>
      <c r="BB193" s="81"/>
      <c r="BC193" s="81"/>
      <c r="BD193" s="81"/>
      <c r="BE193" s="81"/>
      <c r="BF193" s="81"/>
      <c r="BG193" s="81"/>
      <c r="BH193" s="81"/>
      <c r="BI193" s="81"/>
      <c r="BJ193" s="81"/>
      <c r="BK193" s="81"/>
      <c r="BL193" s="81"/>
      <c r="BM193" s="81"/>
      <c r="BN193" s="81"/>
      <c r="BO193" s="81"/>
      <c r="BP193" s="81"/>
      <c r="BQ193" s="81"/>
      <c r="BR193" s="81"/>
      <c r="BS193" s="81"/>
      <c r="BT193" s="81"/>
      <c r="BU193" s="81"/>
      <c r="BV193" s="81"/>
      <c r="BW193" s="81"/>
      <c r="BX193" s="81"/>
      <c r="BY193" s="81"/>
      <c r="BZ193" s="81"/>
      <c r="CA193" s="81"/>
      <c r="CB193" s="81"/>
      <c r="CC193" s="81"/>
      <c r="CD193" s="81"/>
      <c r="CE193" s="81"/>
      <c r="CF193" s="81"/>
      <c r="CG193" s="81"/>
      <c r="CH193" s="81"/>
      <c r="CI193" s="81"/>
      <c r="CJ193" s="81"/>
      <c r="CK193" s="81"/>
      <c r="CL193" s="81"/>
      <c r="CM193" s="81"/>
      <c r="CN193" s="81"/>
      <c r="CO193" s="81"/>
      <c r="CP193" s="81"/>
      <c r="CQ193" s="81"/>
      <c r="CR193" s="81"/>
      <c r="CS193" s="81"/>
      <c r="CT193" s="81"/>
      <c r="CU193" s="81"/>
      <c r="CV193" s="81"/>
      <c r="CW193" s="81"/>
      <c r="CX193" s="81"/>
      <c r="CY193" s="81"/>
      <c r="CZ193" s="81"/>
      <c r="DA193" s="81"/>
      <c r="DB193" s="81"/>
      <c r="DC193" s="81"/>
      <c r="DD193" s="81"/>
      <c r="DE193" s="81"/>
      <c r="DF193" s="81"/>
      <c r="DG193" s="81"/>
      <c r="DH193" s="81"/>
      <c r="DI193" s="81"/>
      <c r="DJ193" s="81"/>
      <c r="DK193" s="81"/>
      <c r="DL193" s="81"/>
      <c r="DM193" s="81"/>
      <c r="DN193" s="81"/>
      <c r="DO193" s="81"/>
      <c r="DP193" s="81"/>
      <c r="DQ193" s="81"/>
      <c r="DR193" s="81"/>
      <c r="DS193" s="81"/>
      <c r="DT193" s="81"/>
      <c r="DU193" s="81"/>
      <c r="DV193" s="81"/>
      <c r="DW193" s="121"/>
    </row>
    <row r="194" spans="1:127" x14ac:dyDescent="0.25">
      <c r="A194" s="2">
        <f>COUNTIF($D$2:D194,'Reporte de Nomina'!$E$2)</f>
        <v>0</v>
      </c>
      <c r="B194" s="125">
        <f>Lista!A193</f>
        <v>0</v>
      </c>
      <c r="C194" s="125">
        <f>Lista!B193</f>
        <v>0</v>
      </c>
      <c r="D194" s="125">
        <f>Lista!C193</f>
        <v>0</v>
      </c>
      <c r="E194" s="125">
        <f>Lista!D193</f>
        <v>0</v>
      </c>
      <c r="F194" s="125">
        <f>Lista!E193</f>
        <v>0</v>
      </c>
      <c r="G194" s="125">
        <f>Lista!F193</f>
        <v>0</v>
      </c>
      <c r="H194" s="125">
        <f>Lista!G193</f>
        <v>0</v>
      </c>
      <c r="I194" s="125">
        <f>Lista!H193</f>
        <v>0</v>
      </c>
      <c r="J194" s="125">
        <f>Lista!I193</f>
        <v>0</v>
      </c>
      <c r="K194" s="125">
        <f>Lista!J193</f>
        <v>0</v>
      </c>
      <c r="L194" s="125">
        <f>Lista!K193</f>
        <v>0</v>
      </c>
      <c r="M194" s="125">
        <f>Lista!L193</f>
        <v>0</v>
      </c>
      <c r="N194" s="125">
        <f>Lista!M193</f>
        <v>0</v>
      </c>
      <c r="O194" s="125">
        <f>Lista!N193</f>
        <v>0</v>
      </c>
      <c r="P194" s="125">
        <f>Lista!O193</f>
        <v>0</v>
      </c>
      <c r="Q194" s="125">
        <f>Lista!P193</f>
        <v>0</v>
      </c>
      <c r="R194" s="125">
        <f>Lista!Q193</f>
        <v>0</v>
      </c>
      <c r="S194" s="125">
        <f>Lista!R193</f>
        <v>0</v>
      </c>
      <c r="T194" s="81"/>
      <c r="U194" s="81"/>
      <c r="V194" s="81"/>
      <c r="W194" s="81"/>
      <c r="X194" s="81"/>
      <c r="Y194" s="81"/>
      <c r="Z194" s="81"/>
      <c r="AA194" s="81"/>
      <c r="AB194" s="81"/>
      <c r="AC194" s="81"/>
      <c r="AD194" s="81"/>
      <c r="AE194" s="81"/>
      <c r="AF194" s="81"/>
      <c r="AG194" s="81"/>
      <c r="AH194" s="81"/>
      <c r="AI194" s="81"/>
      <c r="AJ194" s="81"/>
      <c r="AK194" s="81"/>
      <c r="AL194" s="81"/>
      <c r="AM194" s="81"/>
      <c r="AN194" s="81"/>
      <c r="AO194" s="81"/>
      <c r="AP194" s="81"/>
      <c r="AQ194" s="81"/>
      <c r="AR194" s="81"/>
      <c r="AS194" s="81"/>
      <c r="AT194" s="81"/>
      <c r="AU194" s="81"/>
      <c r="AV194" s="81"/>
      <c r="AW194" s="81"/>
      <c r="AX194" s="81"/>
      <c r="AY194" s="81"/>
      <c r="AZ194" s="81"/>
      <c r="BA194" s="81"/>
      <c r="BB194" s="81"/>
      <c r="BC194" s="81"/>
      <c r="BD194" s="81"/>
      <c r="BE194" s="81"/>
      <c r="BF194" s="81"/>
      <c r="BG194" s="81"/>
      <c r="BH194" s="81"/>
      <c r="BI194" s="81"/>
      <c r="BJ194" s="81"/>
      <c r="BK194" s="81"/>
      <c r="BL194" s="81"/>
      <c r="BM194" s="81"/>
      <c r="BN194" s="81"/>
      <c r="BO194" s="81"/>
      <c r="BP194" s="81"/>
      <c r="BQ194" s="81"/>
      <c r="BR194" s="81"/>
      <c r="BS194" s="81"/>
      <c r="BT194" s="81"/>
      <c r="BU194" s="81"/>
      <c r="BV194" s="81"/>
      <c r="BW194" s="81"/>
      <c r="BX194" s="81"/>
      <c r="BY194" s="81"/>
      <c r="BZ194" s="81"/>
      <c r="CA194" s="81"/>
      <c r="CB194" s="81"/>
      <c r="CC194" s="81"/>
      <c r="CD194" s="81"/>
      <c r="CE194" s="81"/>
      <c r="CF194" s="81"/>
      <c r="CG194" s="81"/>
      <c r="CH194" s="81"/>
      <c r="CI194" s="81"/>
      <c r="CJ194" s="81"/>
      <c r="CK194" s="81"/>
      <c r="CL194" s="81"/>
      <c r="CM194" s="81"/>
      <c r="CN194" s="81"/>
      <c r="CO194" s="81"/>
      <c r="CP194" s="81"/>
      <c r="CQ194" s="81"/>
      <c r="CR194" s="81"/>
      <c r="CS194" s="81"/>
      <c r="CT194" s="81"/>
      <c r="CU194" s="81"/>
      <c r="CV194" s="81"/>
      <c r="CW194" s="81"/>
      <c r="CX194" s="81"/>
      <c r="CY194" s="81"/>
      <c r="CZ194" s="81"/>
      <c r="DA194" s="81"/>
      <c r="DB194" s="81"/>
      <c r="DC194" s="81"/>
      <c r="DD194" s="81"/>
      <c r="DE194" s="81"/>
      <c r="DF194" s="81"/>
      <c r="DG194" s="81"/>
      <c r="DH194" s="81"/>
      <c r="DI194" s="81"/>
      <c r="DJ194" s="81"/>
      <c r="DK194" s="81"/>
      <c r="DL194" s="81"/>
      <c r="DM194" s="81"/>
      <c r="DN194" s="81"/>
      <c r="DO194" s="81"/>
      <c r="DP194" s="81"/>
      <c r="DQ194" s="81"/>
      <c r="DR194" s="81"/>
      <c r="DS194" s="81"/>
      <c r="DT194" s="81"/>
      <c r="DU194" s="81"/>
      <c r="DV194" s="81"/>
      <c r="DW194" s="121"/>
    </row>
    <row r="195" spans="1:127" x14ac:dyDescent="0.25">
      <c r="A195" s="2">
        <f>COUNTIF($D$2:D195,'Reporte de Nomina'!$E$2)</f>
        <v>0</v>
      </c>
      <c r="B195" s="125">
        <f>Lista!A194</f>
        <v>0</v>
      </c>
      <c r="C195" s="125">
        <f>Lista!B194</f>
        <v>0</v>
      </c>
      <c r="D195" s="125">
        <f>Lista!C194</f>
        <v>0</v>
      </c>
      <c r="E195" s="125">
        <f>Lista!D194</f>
        <v>0</v>
      </c>
      <c r="F195" s="125">
        <f>Lista!E194</f>
        <v>0</v>
      </c>
      <c r="G195" s="125">
        <f>Lista!F194</f>
        <v>0</v>
      </c>
      <c r="H195" s="125">
        <f>Lista!G194</f>
        <v>0</v>
      </c>
      <c r="I195" s="125">
        <f>Lista!H194</f>
        <v>0</v>
      </c>
      <c r="J195" s="125">
        <f>Lista!I194</f>
        <v>0</v>
      </c>
      <c r="K195" s="125">
        <f>Lista!J194</f>
        <v>0</v>
      </c>
      <c r="L195" s="125">
        <f>Lista!K194</f>
        <v>0</v>
      </c>
      <c r="M195" s="125">
        <f>Lista!L194</f>
        <v>0</v>
      </c>
      <c r="N195" s="125">
        <f>Lista!M194</f>
        <v>0</v>
      </c>
      <c r="O195" s="125">
        <f>Lista!N194</f>
        <v>0</v>
      </c>
      <c r="P195" s="125">
        <f>Lista!O194</f>
        <v>0</v>
      </c>
      <c r="Q195" s="125">
        <f>Lista!P194</f>
        <v>0</v>
      </c>
      <c r="R195" s="125">
        <f>Lista!Q194</f>
        <v>0</v>
      </c>
      <c r="S195" s="125">
        <f>Lista!R194</f>
        <v>0</v>
      </c>
      <c r="T195" s="81"/>
      <c r="U195" s="81"/>
      <c r="V195" s="81"/>
      <c r="W195" s="81"/>
      <c r="X195" s="81"/>
      <c r="Y195" s="81"/>
      <c r="Z195" s="81"/>
      <c r="AA195" s="81"/>
      <c r="AB195" s="81"/>
      <c r="AC195" s="81"/>
      <c r="AD195" s="81"/>
      <c r="AE195" s="81"/>
      <c r="AF195" s="81"/>
      <c r="AG195" s="81"/>
      <c r="AH195" s="81"/>
      <c r="AI195" s="81"/>
      <c r="AJ195" s="81"/>
      <c r="AK195" s="81"/>
      <c r="AL195" s="81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  <c r="BA195" s="81"/>
      <c r="BB195" s="81"/>
      <c r="BC195" s="81"/>
      <c r="BD195" s="81"/>
      <c r="BE195" s="81"/>
      <c r="BF195" s="81"/>
      <c r="BG195" s="81"/>
      <c r="BH195" s="81"/>
      <c r="BI195" s="81"/>
      <c r="BJ195" s="81"/>
      <c r="BK195" s="81"/>
      <c r="BL195" s="81"/>
      <c r="BM195" s="81"/>
      <c r="BN195" s="81"/>
      <c r="BO195" s="81"/>
      <c r="BP195" s="81"/>
      <c r="BQ195" s="81"/>
      <c r="BR195" s="81"/>
      <c r="BS195" s="81"/>
      <c r="BT195" s="81"/>
      <c r="BU195" s="81"/>
      <c r="BV195" s="81"/>
      <c r="BW195" s="81"/>
      <c r="BX195" s="81"/>
      <c r="BY195" s="81"/>
      <c r="BZ195" s="81"/>
      <c r="CA195" s="81"/>
      <c r="CB195" s="81"/>
      <c r="CC195" s="81"/>
      <c r="CD195" s="81"/>
      <c r="CE195" s="81"/>
      <c r="CF195" s="81"/>
      <c r="CG195" s="81"/>
      <c r="CH195" s="81"/>
      <c r="CI195" s="81"/>
      <c r="CJ195" s="81"/>
      <c r="CK195" s="81"/>
      <c r="CL195" s="81"/>
      <c r="CM195" s="81"/>
      <c r="CN195" s="81"/>
      <c r="CO195" s="81"/>
      <c r="CP195" s="81"/>
      <c r="CQ195" s="81"/>
      <c r="CR195" s="81"/>
      <c r="CS195" s="81"/>
      <c r="CT195" s="81"/>
      <c r="CU195" s="81"/>
      <c r="CV195" s="81"/>
      <c r="CW195" s="81"/>
      <c r="CX195" s="81"/>
      <c r="CY195" s="81"/>
      <c r="CZ195" s="81"/>
      <c r="DA195" s="81"/>
      <c r="DB195" s="81"/>
      <c r="DC195" s="81"/>
      <c r="DD195" s="81"/>
      <c r="DE195" s="81"/>
      <c r="DF195" s="81"/>
      <c r="DG195" s="81"/>
      <c r="DH195" s="81"/>
      <c r="DI195" s="81"/>
      <c r="DJ195" s="81"/>
      <c r="DK195" s="81"/>
      <c r="DL195" s="81"/>
      <c r="DM195" s="81"/>
      <c r="DN195" s="81"/>
      <c r="DO195" s="81"/>
      <c r="DP195" s="81"/>
      <c r="DQ195" s="81"/>
      <c r="DR195" s="81"/>
      <c r="DS195" s="81"/>
      <c r="DT195" s="81"/>
      <c r="DU195" s="81"/>
      <c r="DV195" s="81"/>
      <c r="DW195" s="121"/>
    </row>
    <row r="196" spans="1:127" x14ac:dyDescent="0.25">
      <c r="A196" s="2">
        <f>COUNTIF($D$2:D196,'Reporte de Nomina'!$E$2)</f>
        <v>0</v>
      </c>
      <c r="B196" s="125">
        <f>Lista!A195</f>
        <v>0</v>
      </c>
      <c r="C196" s="125">
        <f>Lista!B195</f>
        <v>0</v>
      </c>
      <c r="D196" s="125">
        <f>Lista!C195</f>
        <v>0</v>
      </c>
      <c r="E196" s="125">
        <f>Lista!D195</f>
        <v>0</v>
      </c>
      <c r="F196" s="125">
        <f>Lista!E195</f>
        <v>0</v>
      </c>
      <c r="G196" s="125">
        <f>Lista!F195</f>
        <v>0</v>
      </c>
      <c r="H196" s="125">
        <f>Lista!G195</f>
        <v>0</v>
      </c>
      <c r="I196" s="125">
        <f>Lista!H195</f>
        <v>0</v>
      </c>
      <c r="J196" s="125">
        <f>Lista!I195</f>
        <v>0</v>
      </c>
      <c r="K196" s="125">
        <f>Lista!J195</f>
        <v>0</v>
      </c>
      <c r="L196" s="125">
        <f>Lista!K195</f>
        <v>0</v>
      </c>
      <c r="M196" s="125">
        <f>Lista!L195</f>
        <v>0</v>
      </c>
      <c r="N196" s="125">
        <f>Lista!M195</f>
        <v>0</v>
      </c>
      <c r="O196" s="125">
        <f>Lista!N195</f>
        <v>0</v>
      </c>
      <c r="P196" s="125">
        <f>Lista!O195</f>
        <v>0</v>
      </c>
      <c r="Q196" s="125">
        <f>Lista!P195</f>
        <v>0</v>
      </c>
      <c r="R196" s="125">
        <f>Lista!Q195</f>
        <v>0</v>
      </c>
      <c r="S196" s="125">
        <f>Lista!R195</f>
        <v>0</v>
      </c>
      <c r="T196" s="81"/>
      <c r="U196" s="81"/>
      <c r="V196" s="81"/>
      <c r="W196" s="81"/>
      <c r="X196" s="81"/>
      <c r="Y196" s="81"/>
      <c r="Z196" s="81"/>
      <c r="AA196" s="81"/>
      <c r="AB196" s="81"/>
      <c r="AC196" s="81"/>
      <c r="AD196" s="81"/>
      <c r="AE196" s="81"/>
      <c r="AF196" s="81"/>
      <c r="AG196" s="81"/>
      <c r="AH196" s="81"/>
      <c r="AI196" s="81"/>
      <c r="AJ196" s="81"/>
      <c r="AK196" s="81"/>
      <c r="AL196" s="81"/>
      <c r="AM196" s="81"/>
      <c r="AN196" s="81"/>
      <c r="AO196" s="81"/>
      <c r="AP196" s="81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  <c r="BA196" s="81"/>
      <c r="BB196" s="81"/>
      <c r="BC196" s="81"/>
      <c r="BD196" s="81"/>
      <c r="BE196" s="81"/>
      <c r="BF196" s="81"/>
      <c r="BG196" s="81"/>
      <c r="BH196" s="81"/>
      <c r="BI196" s="81"/>
      <c r="BJ196" s="81"/>
      <c r="BK196" s="81"/>
      <c r="BL196" s="81"/>
      <c r="BM196" s="81"/>
      <c r="BN196" s="81"/>
      <c r="BO196" s="81"/>
      <c r="BP196" s="81"/>
      <c r="BQ196" s="81"/>
      <c r="BR196" s="81"/>
      <c r="BS196" s="81"/>
      <c r="BT196" s="81"/>
      <c r="BU196" s="81"/>
      <c r="BV196" s="81"/>
      <c r="BW196" s="81"/>
      <c r="BX196" s="81"/>
      <c r="BY196" s="81"/>
      <c r="BZ196" s="81"/>
      <c r="CA196" s="81"/>
      <c r="CB196" s="81"/>
      <c r="CC196" s="81"/>
      <c r="CD196" s="81"/>
      <c r="CE196" s="81"/>
      <c r="CF196" s="81"/>
      <c r="CG196" s="81"/>
      <c r="CH196" s="81"/>
      <c r="CI196" s="81"/>
      <c r="CJ196" s="81"/>
      <c r="CK196" s="81"/>
      <c r="CL196" s="81"/>
      <c r="CM196" s="81"/>
      <c r="CN196" s="81"/>
      <c r="CO196" s="81"/>
      <c r="CP196" s="81"/>
      <c r="CQ196" s="81"/>
      <c r="CR196" s="81"/>
      <c r="CS196" s="81"/>
      <c r="CT196" s="81"/>
      <c r="CU196" s="81"/>
      <c r="CV196" s="81"/>
      <c r="CW196" s="81"/>
      <c r="CX196" s="81"/>
      <c r="CY196" s="81"/>
      <c r="CZ196" s="81"/>
      <c r="DA196" s="81"/>
      <c r="DB196" s="81"/>
      <c r="DC196" s="81"/>
      <c r="DD196" s="81"/>
      <c r="DE196" s="81"/>
      <c r="DF196" s="81"/>
      <c r="DG196" s="81"/>
      <c r="DH196" s="81"/>
      <c r="DI196" s="81"/>
      <c r="DJ196" s="81"/>
      <c r="DK196" s="81"/>
      <c r="DL196" s="81"/>
      <c r="DM196" s="81"/>
      <c r="DN196" s="81"/>
      <c r="DO196" s="81"/>
      <c r="DP196" s="81"/>
      <c r="DQ196" s="81"/>
      <c r="DR196" s="81"/>
      <c r="DS196" s="81"/>
      <c r="DT196" s="81"/>
      <c r="DU196" s="81"/>
      <c r="DV196" s="81"/>
      <c r="DW196" s="121"/>
    </row>
    <row r="197" spans="1:127" x14ac:dyDescent="0.25">
      <c r="A197" s="2">
        <f>COUNTIF($D$2:D197,'Reporte de Nomina'!$E$2)</f>
        <v>0</v>
      </c>
      <c r="B197" s="125">
        <f>Lista!A196</f>
        <v>0</v>
      </c>
      <c r="C197" s="125">
        <f>Lista!B196</f>
        <v>0</v>
      </c>
      <c r="D197" s="125">
        <f>Lista!C196</f>
        <v>0</v>
      </c>
      <c r="E197" s="125">
        <f>Lista!D196</f>
        <v>0</v>
      </c>
      <c r="F197" s="125">
        <f>Lista!E196</f>
        <v>0</v>
      </c>
      <c r="G197" s="125">
        <f>Lista!F196</f>
        <v>0</v>
      </c>
      <c r="H197" s="125">
        <f>Lista!G196</f>
        <v>0</v>
      </c>
      <c r="I197" s="125">
        <f>Lista!H196</f>
        <v>0</v>
      </c>
      <c r="J197" s="125">
        <f>Lista!I196</f>
        <v>0</v>
      </c>
      <c r="K197" s="125">
        <f>Lista!J196</f>
        <v>0</v>
      </c>
      <c r="L197" s="125">
        <f>Lista!K196</f>
        <v>0</v>
      </c>
      <c r="M197" s="125">
        <f>Lista!L196</f>
        <v>0</v>
      </c>
      <c r="N197" s="125">
        <f>Lista!M196</f>
        <v>0</v>
      </c>
      <c r="O197" s="125">
        <f>Lista!N196</f>
        <v>0</v>
      </c>
      <c r="P197" s="125">
        <f>Lista!O196</f>
        <v>0</v>
      </c>
      <c r="Q197" s="125">
        <f>Lista!P196</f>
        <v>0</v>
      </c>
      <c r="R197" s="125">
        <f>Lista!Q196</f>
        <v>0</v>
      </c>
      <c r="S197" s="125">
        <f>Lista!R196</f>
        <v>0</v>
      </c>
      <c r="T197" s="81"/>
      <c r="U197" s="81"/>
      <c r="V197" s="81"/>
      <c r="W197" s="81"/>
      <c r="X197" s="81"/>
      <c r="Y197" s="81"/>
      <c r="Z197" s="81"/>
      <c r="AA197" s="81"/>
      <c r="AB197" s="81"/>
      <c r="AC197" s="81"/>
      <c r="AD197" s="81"/>
      <c r="AE197" s="81"/>
      <c r="AF197" s="81"/>
      <c r="AG197" s="81"/>
      <c r="AH197" s="81"/>
      <c r="AI197" s="81"/>
      <c r="AJ197" s="81"/>
      <c r="AK197" s="81"/>
      <c r="AL197" s="81"/>
      <c r="AM197" s="81"/>
      <c r="AN197" s="81"/>
      <c r="AO197" s="81"/>
      <c r="AP197" s="81"/>
      <c r="AQ197" s="81"/>
      <c r="AR197" s="81"/>
      <c r="AS197" s="81"/>
      <c r="AT197" s="81"/>
      <c r="AU197" s="81"/>
      <c r="AV197" s="81"/>
      <c r="AW197" s="81"/>
      <c r="AX197" s="81"/>
      <c r="AY197" s="81"/>
      <c r="AZ197" s="81"/>
      <c r="BA197" s="81"/>
      <c r="BB197" s="81"/>
      <c r="BC197" s="81"/>
      <c r="BD197" s="81"/>
      <c r="BE197" s="81"/>
      <c r="BF197" s="81"/>
      <c r="BG197" s="81"/>
      <c r="BH197" s="81"/>
      <c r="BI197" s="81"/>
      <c r="BJ197" s="81"/>
      <c r="BK197" s="81"/>
      <c r="BL197" s="81"/>
      <c r="BM197" s="81"/>
      <c r="BN197" s="81"/>
      <c r="BO197" s="81"/>
      <c r="BP197" s="81"/>
      <c r="BQ197" s="81"/>
      <c r="BR197" s="81"/>
      <c r="BS197" s="81"/>
      <c r="BT197" s="81"/>
      <c r="BU197" s="81"/>
      <c r="BV197" s="81"/>
      <c r="BW197" s="81"/>
      <c r="BX197" s="81"/>
      <c r="BY197" s="81"/>
      <c r="BZ197" s="81"/>
      <c r="CA197" s="81"/>
      <c r="CB197" s="81"/>
      <c r="CC197" s="81"/>
      <c r="CD197" s="81"/>
      <c r="CE197" s="81"/>
      <c r="CF197" s="81"/>
      <c r="CG197" s="81"/>
      <c r="CH197" s="81"/>
      <c r="CI197" s="81"/>
      <c r="CJ197" s="81"/>
      <c r="CK197" s="81"/>
      <c r="CL197" s="81"/>
      <c r="CM197" s="81"/>
      <c r="CN197" s="81"/>
      <c r="CO197" s="81"/>
      <c r="CP197" s="81"/>
      <c r="CQ197" s="81"/>
      <c r="CR197" s="81"/>
      <c r="CS197" s="81"/>
      <c r="CT197" s="81"/>
      <c r="CU197" s="81"/>
      <c r="CV197" s="81"/>
      <c r="CW197" s="81"/>
      <c r="CX197" s="81"/>
      <c r="CY197" s="81"/>
      <c r="CZ197" s="81"/>
      <c r="DA197" s="81"/>
      <c r="DB197" s="81"/>
      <c r="DC197" s="81"/>
      <c r="DD197" s="81"/>
      <c r="DE197" s="81"/>
      <c r="DF197" s="81"/>
      <c r="DG197" s="81"/>
      <c r="DH197" s="81"/>
      <c r="DI197" s="81"/>
      <c r="DJ197" s="81"/>
      <c r="DK197" s="81"/>
      <c r="DL197" s="81"/>
      <c r="DM197" s="81"/>
      <c r="DN197" s="81"/>
      <c r="DO197" s="81"/>
      <c r="DP197" s="81"/>
      <c r="DQ197" s="81"/>
      <c r="DR197" s="81"/>
      <c r="DS197" s="81"/>
      <c r="DT197" s="81"/>
      <c r="DU197" s="81"/>
      <c r="DV197" s="81"/>
      <c r="DW197" s="121"/>
    </row>
    <row r="198" spans="1:127" x14ac:dyDescent="0.25">
      <c r="A198" s="2">
        <f>COUNTIF($D$2:D198,'Reporte de Nomina'!$E$2)</f>
        <v>0</v>
      </c>
      <c r="B198" s="125">
        <f>Lista!A197</f>
        <v>0</v>
      </c>
      <c r="C198" s="125">
        <f>Lista!B197</f>
        <v>0</v>
      </c>
      <c r="D198" s="125">
        <f>Lista!C197</f>
        <v>0</v>
      </c>
      <c r="E198" s="125">
        <f>Lista!D197</f>
        <v>0</v>
      </c>
      <c r="F198" s="125">
        <f>Lista!E197</f>
        <v>0</v>
      </c>
      <c r="G198" s="125">
        <f>Lista!F197</f>
        <v>0</v>
      </c>
      <c r="H198" s="125">
        <f>Lista!G197</f>
        <v>0</v>
      </c>
      <c r="I198" s="125">
        <f>Lista!H197</f>
        <v>0</v>
      </c>
      <c r="J198" s="125">
        <f>Lista!I197</f>
        <v>0</v>
      </c>
      <c r="K198" s="125">
        <f>Lista!J197</f>
        <v>0</v>
      </c>
      <c r="L198" s="125">
        <f>Lista!K197</f>
        <v>0</v>
      </c>
      <c r="M198" s="125">
        <f>Lista!L197</f>
        <v>0</v>
      </c>
      <c r="N198" s="125">
        <f>Lista!M197</f>
        <v>0</v>
      </c>
      <c r="O198" s="125">
        <f>Lista!N197</f>
        <v>0</v>
      </c>
      <c r="P198" s="125">
        <f>Lista!O197</f>
        <v>0</v>
      </c>
      <c r="Q198" s="125">
        <f>Lista!P197</f>
        <v>0</v>
      </c>
      <c r="R198" s="125">
        <f>Lista!Q197</f>
        <v>0</v>
      </c>
      <c r="S198" s="125">
        <f>Lista!R197</f>
        <v>0</v>
      </c>
      <c r="T198" s="81"/>
      <c r="U198" s="81"/>
      <c r="V198" s="81"/>
      <c r="W198" s="81"/>
      <c r="X198" s="81"/>
      <c r="Y198" s="81"/>
      <c r="Z198" s="81"/>
      <c r="AA198" s="81"/>
      <c r="AB198" s="81"/>
      <c r="AC198" s="81"/>
      <c r="AD198" s="81"/>
      <c r="AE198" s="81"/>
      <c r="AF198" s="81"/>
      <c r="AG198" s="81"/>
      <c r="AH198" s="81"/>
      <c r="AI198" s="81"/>
      <c r="AJ198" s="81"/>
      <c r="AK198" s="81"/>
      <c r="AL198" s="81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81"/>
      <c r="BA198" s="81"/>
      <c r="BB198" s="81"/>
      <c r="BC198" s="81"/>
      <c r="BD198" s="81"/>
      <c r="BE198" s="81"/>
      <c r="BF198" s="81"/>
      <c r="BG198" s="81"/>
      <c r="BH198" s="81"/>
      <c r="BI198" s="81"/>
      <c r="BJ198" s="81"/>
      <c r="BK198" s="81"/>
      <c r="BL198" s="81"/>
      <c r="BM198" s="81"/>
      <c r="BN198" s="81"/>
      <c r="BO198" s="81"/>
      <c r="BP198" s="81"/>
      <c r="BQ198" s="81"/>
      <c r="BR198" s="81"/>
      <c r="BS198" s="81"/>
      <c r="BT198" s="81"/>
      <c r="BU198" s="81"/>
      <c r="BV198" s="81"/>
      <c r="BW198" s="81"/>
      <c r="BX198" s="81"/>
      <c r="BY198" s="81"/>
      <c r="BZ198" s="81"/>
      <c r="CA198" s="81"/>
      <c r="CB198" s="81"/>
      <c r="CC198" s="81"/>
      <c r="CD198" s="81"/>
      <c r="CE198" s="81"/>
      <c r="CF198" s="81"/>
      <c r="CG198" s="81"/>
      <c r="CH198" s="81"/>
      <c r="CI198" s="81"/>
      <c r="CJ198" s="81"/>
      <c r="CK198" s="81"/>
      <c r="CL198" s="81"/>
      <c r="CM198" s="81"/>
      <c r="CN198" s="81"/>
      <c r="CO198" s="81"/>
      <c r="CP198" s="81"/>
      <c r="CQ198" s="81"/>
      <c r="CR198" s="81"/>
      <c r="CS198" s="81"/>
      <c r="CT198" s="81"/>
      <c r="CU198" s="81"/>
      <c r="CV198" s="81"/>
      <c r="CW198" s="81"/>
      <c r="CX198" s="81"/>
      <c r="CY198" s="81"/>
      <c r="CZ198" s="81"/>
      <c r="DA198" s="81"/>
      <c r="DB198" s="81"/>
      <c r="DC198" s="81"/>
      <c r="DD198" s="81"/>
      <c r="DE198" s="81"/>
      <c r="DF198" s="81"/>
      <c r="DG198" s="81"/>
      <c r="DH198" s="81"/>
      <c r="DI198" s="81"/>
      <c r="DJ198" s="81"/>
      <c r="DK198" s="81"/>
      <c r="DL198" s="81"/>
      <c r="DM198" s="81"/>
      <c r="DN198" s="81"/>
      <c r="DO198" s="81"/>
      <c r="DP198" s="81"/>
      <c r="DQ198" s="81"/>
      <c r="DR198" s="81"/>
      <c r="DS198" s="81"/>
      <c r="DT198" s="81"/>
      <c r="DU198" s="81"/>
      <c r="DV198" s="81"/>
      <c r="DW198" s="121"/>
    </row>
    <row r="199" spans="1:127" x14ac:dyDescent="0.25">
      <c r="A199" s="2">
        <f>COUNTIF($D$2:D199,'Reporte de Nomina'!$E$2)</f>
        <v>0</v>
      </c>
      <c r="B199" s="125">
        <f>Lista!A198</f>
        <v>0</v>
      </c>
      <c r="C199" s="125">
        <f>Lista!B198</f>
        <v>0</v>
      </c>
      <c r="D199" s="125">
        <f>Lista!C198</f>
        <v>0</v>
      </c>
      <c r="E199" s="125">
        <f>Lista!D198</f>
        <v>0</v>
      </c>
      <c r="F199" s="125">
        <f>Lista!E198</f>
        <v>0</v>
      </c>
      <c r="G199" s="125">
        <f>Lista!F198</f>
        <v>0</v>
      </c>
      <c r="H199" s="125">
        <f>Lista!G198</f>
        <v>0</v>
      </c>
      <c r="I199" s="125">
        <f>Lista!H198</f>
        <v>0</v>
      </c>
      <c r="J199" s="125">
        <f>Lista!I198</f>
        <v>0</v>
      </c>
      <c r="K199" s="125">
        <f>Lista!J198</f>
        <v>0</v>
      </c>
      <c r="L199" s="125">
        <f>Lista!K198</f>
        <v>0</v>
      </c>
      <c r="M199" s="125">
        <f>Lista!L198</f>
        <v>0</v>
      </c>
      <c r="N199" s="125">
        <f>Lista!M198</f>
        <v>0</v>
      </c>
      <c r="O199" s="125">
        <f>Lista!N198</f>
        <v>0</v>
      </c>
      <c r="P199" s="125">
        <f>Lista!O198</f>
        <v>0</v>
      </c>
      <c r="Q199" s="125">
        <f>Lista!P198</f>
        <v>0</v>
      </c>
      <c r="R199" s="125">
        <f>Lista!Q198</f>
        <v>0</v>
      </c>
      <c r="S199" s="125">
        <f>Lista!R198</f>
        <v>0</v>
      </c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81"/>
      <c r="AR199" s="81"/>
      <c r="AS199" s="81"/>
      <c r="AT199" s="81"/>
      <c r="AU199" s="81"/>
      <c r="AV199" s="81"/>
      <c r="AW199" s="81"/>
      <c r="AX199" s="81"/>
      <c r="AY199" s="81"/>
      <c r="AZ199" s="81"/>
      <c r="BA199" s="81"/>
      <c r="BB199" s="81"/>
      <c r="BC199" s="81"/>
      <c r="BD199" s="81"/>
      <c r="BE199" s="81"/>
      <c r="BF199" s="81"/>
      <c r="BG199" s="81"/>
      <c r="BH199" s="81"/>
      <c r="BI199" s="81"/>
      <c r="BJ199" s="81"/>
      <c r="BK199" s="81"/>
      <c r="BL199" s="81"/>
      <c r="BM199" s="81"/>
      <c r="BN199" s="81"/>
      <c r="BO199" s="81"/>
      <c r="BP199" s="81"/>
      <c r="BQ199" s="81"/>
      <c r="BR199" s="81"/>
      <c r="BS199" s="81"/>
      <c r="BT199" s="81"/>
      <c r="BU199" s="81"/>
      <c r="BV199" s="81"/>
      <c r="BW199" s="81"/>
      <c r="BX199" s="81"/>
      <c r="BY199" s="81"/>
      <c r="BZ199" s="81"/>
      <c r="CA199" s="81"/>
      <c r="CB199" s="81"/>
      <c r="CC199" s="81"/>
      <c r="CD199" s="81"/>
      <c r="CE199" s="81"/>
      <c r="CF199" s="81"/>
      <c r="CG199" s="81"/>
      <c r="CH199" s="81"/>
      <c r="CI199" s="81"/>
      <c r="CJ199" s="81"/>
      <c r="CK199" s="81"/>
      <c r="CL199" s="81"/>
      <c r="CM199" s="81"/>
      <c r="CN199" s="81"/>
      <c r="CO199" s="81"/>
      <c r="CP199" s="81"/>
      <c r="CQ199" s="81"/>
      <c r="CR199" s="81"/>
      <c r="CS199" s="81"/>
      <c r="CT199" s="81"/>
      <c r="CU199" s="81"/>
      <c r="CV199" s="81"/>
      <c r="CW199" s="81"/>
      <c r="CX199" s="81"/>
      <c r="CY199" s="81"/>
      <c r="CZ199" s="81"/>
      <c r="DA199" s="81"/>
      <c r="DB199" s="81"/>
      <c r="DC199" s="81"/>
      <c r="DD199" s="81"/>
      <c r="DE199" s="81"/>
      <c r="DF199" s="81"/>
      <c r="DG199" s="81"/>
      <c r="DH199" s="81"/>
      <c r="DI199" s="81"/>
      <c r="DJ199" s="81"/>
      <c r="DK199" s="81"/>
      <c r="DL199" s="81"/>
      <c r="DM199" s="81"/>
      <c r="DN199" s="81"/>
      <c r="DO199" s="81"/>
      <c r="DP199" s="81"/>
      <c r="DQ199" s="81"/>
      <c r="DR199" s="81"/>
      <c r="DS199" s="81"/>
      <c r="DT199" s="81"/>
      <c r="DU199" s="81"/>
      <c r="DV199" s="81"/>
      <c r="DW199" s="121"/>
    </row>
    <row r="200" spans="1:127" x14ac:dyDescent="0.25">
      <c r="A200" s="2">
        <f>COUNTIF($D$2:D200,'Reporte de Nomina'!$E$2)</f>
        <v>0</v>
      </c>
      <c r="B200" s="125">
        <f>Lista!A199</f>
        <v>0</v>
      </c>
      <c r="C200" s="125">
        <f>Lista!B199</f>
        <v>0</v>
      </c>
      <c r="D200" s="125">
        <f>Lista!C199</f>
        <v>0</v>
      </c>
      <c r="E200" s="125">
        <f>Lista!D199</f>
        <v>0</v>
      </c>
      <c r="F200" s="125">
        <f>Lista!E199</f>
        <v>0</v>
      </c>
      <c r="G200" s="125">
        <f>Lista!F199</f>
        <v>0</v>
      </c>
      <c r="H200" s="125">
        <f>Lista!G199</f>
        <v>0</v>
      </c>
      <c r="I200" s="125">
        <f>Lista!H199</f>
        <v>0</v>
      </c>
      <c r="J200" s="125">
        <f>Lista!I199</f>
        <v>0</v>
      </c>
      <c r="K200" s="125">
        <f>Lista!J199</f>
        <v>0</v>
      </c>
      <c r="L200" s="125">
        <f>Lista!K199</f>
        <v>0</v>
      </c>
      <c r="M200" s="125">
        <f>Lista!L199</f>
        <v>0</v>
      </c>
      <c r="N200" s="125">
        <f>Lista!M199</f>
        <v>0</v>
      </c>
      <c r="O200" s="125">
        <f>Lista!N199</f>
        <v>0</v>
      </c>
      <c r="P200" s="125">
        <f>Lista!O199</f>
        <v>0</v>
      </c>
      <c r="Q200" s="125">
        <f>Lista!P199</f>
        <v>0</v>
      </c>
      <c r="R200" s="125">
        <f>Lista!Q199</f>
        <v>0</v>
      </c>
      <c r="S200" s="125">
        <f>Lista!R199</f>
        <v>0</v>
      </c>
      <c r="T200" s="81"/>
      <c r="U200" s="81"/>
      <c r="V200" s="81"/>
      <c r="W200" s="81"/>
      <c r="X200" s="81"/>
      <c r="Y200" s="81"/>
      <c r="Z200" s="81"/>
      <c r="AA200" s="81"/>
      <c r="AB200" s="81"/>
      <c r="AC200" s="81"/>
      <c r="AD200" s="81"/>
      <c r="AE200" s="81"/>
      <c r="AF200" s="81"/>
      <c r="AG200" s="81"/>
      <c r="AH200" s="81"/>
      <c r="AI200" s="81"/>
      <c r="AJ200" s="81"/>
      <c r="AK200" s="81"/>
      <c r="AL200" s="81"/>
      <c r="AM200" s="81"/>
      <c r="AN200" s="81"/>
      <c r="AO200" s="81"/>
      <c r="AP200" s="81"/>
      <c r="AQ200" s="81"/>
      <c r="AR200" s="81"/>
      <c r="AS200" s="81"/>
      <c r="AT200" s="81"/>
      <c r="AU200" s="81"/>
      <c r="AV200" s="81"/>
      <c r="AW200" s="81"/>
      <c r="AX200" s="81"/>
      <c r="AY200" s="81"/>
      <c r="AZ200" s="81"/>
      <c r="BA200" s="81"/>
      <c r="BB200" s="81"/>
      <c r="BC200" s="81"/>
      <c r="BD200" s="81"/>
      <c r="BE200" s="81"/>
      <c r="BF200" s="81"/>
      <c r="BG200" s="81"/>
      <c r="BH200" s="81"/>
      <c r="BI200" s="81"/>
      <c r="BJ200" s="81"/>
      <c r="BK200" s="81"/>
      <c r="BL200" s="81"/>
      <c r="BM200" s="81"/>
      <c r="BN200" s="81"/>
      <c r="BO200" s="81"/>
      <c r="BP200" s="81"/>
      <c r="BQ200" s="81"/>
      <c r="BR200" s="81"/>
      <c r="BS200" s="81"/>
      <c r="BT200" s="81"/>
      <c r="BU200" s="81"/>
      <c r="BV200" s="81"/>
      <c r="BW200" s="81"/>
      <c r="BX200" s="81"/>
      <c r="BY200" s="81"/>
      <c r="BZ200" s="81"/>
      <c r="CA200" s="81"/>
      <c r="CB200" s="81"/>
      <c r="CC200" s="81"/>
      <c r="CD200" s="81"/>
      <c r="CE200" s="81"/>
      <c r="CF200" s="81"/>
      <c r="CG200" s="81"/>
      <c r="CH200" s="81"/>
      <c r="CI200" s="81"/>
      <c r="CJ200" s="81"/>
      <c r="CK200" s="81"/>
      <c r="CL200" s="81"/>
      <c r="CM200" s="81"/>
      <c r="CN200" s="81"/>
      <c r="CO200" s="81"/>
      <c r="CP200" s="81"/>
      <c r="CQ200" s="81"/>
      <c r="CR200" s="81"/>
      <c r="CS200" s="81"/>
      <c r="CT200" s="81"/>
      <c r="CU200" s="81"/>
      <c r="CV200" s="81"/>
      <c r="CW200" s="81"/>
      <c r="CX200" s="81"/>
      <c r="CY200" s="81"/>
      <c r="CZ200" s="81"/>
      <c r="DA200" s="81"/>
      <c r="DB200" s="81"/>
      <c r="DC200" s="81"/>
      <c r="DD200" s="81"/>
      <c r="DE200" s="81"/>
      <c r="DF200" s="81"/>
      <c r="DG200" s="81"/>
      <c r="DH200" s="81"/>
      <c r="DI200" s="81"/>
      <c r="DJ200" s="81"/>
      <c r="DK200" s="81"/>
      <c r="DL200" s="81"/>
      <c r="DM200" s="81"/>
      <c r="DN200" s="81"/>
      <c r="DO200" s="81"/>
      <c r="DP200" s="81"/>
      <c r="DQ200" s="81"/>
      <c r="DR200" s="81"/>
      <c r="DS200" s="81"/>
      <c r="DT200" s="81"/>
      <c r="DU200" s="81"/>
      <c r="DV200" s="81"/>
      <c r="DW200" s="121"/>
    </row>
    <row r="201" spans="1:127" x14ac:dyDescent="0.25">
      <c r="A201" s="2">
        <f>COUNTIF($D$2:D201,'Reporte de Nomina'!$E$2)</f>
        <v>0</v>
      </c>
      <c r="B201" s="125">
        <f>Lista!A200</f>
        <v>0</v>
      </c>
      <c r="C201" s="125">
        <f>Lista!B200</f>
        <v>0</v>
      </c>
      <c r="D201" s="125">
        <f>Lista!C200</f>
        <v>0</v>
      </c>
      <c r="E201" s="125">
        <f>Lista!D200</f>
        <v>0</v>
      </c>
      <c r="F201" s="125">
        <f>Lista!E200</f>
        <v>0</v>
      </c>
      <c r="G201" s="125">
        <f>Lista!F200</f>
        <v>0</v>
      </c>
      <c r="H201" s="125">
        <f>Lista!G200</f>
        <v>0</v>
      </c>
      <c r="I201" s="125">
        <f>Lista!H200</f>
        <v>0</v>
      </c>
      <c r="J201" s="125">
        <f>Lista!I200</f>
        <v>0</v>
      </c>
      <c r="K201" s="125">
        <f>Lista!J200</f>
        <v>0</v>
      </c>
      <c r="L201" s="125">
        <f>Lista!K200</f>
        <v>0</v>
      </c>
      <c r="M201" s="125">
        <f>Lista!L200</f>
        <v>0</v>
      </c>
      <c r="N201" s="125">
        <f>Lista!M200</f>
        <v>0</v>
      </c>
      <c r="O201" s="125">
        <f>Lista!N200</f>
        <v>0</v>
      </c>
      <c r="P201" s="125">
        <f>Lista!O200</f>
        <v>0</v>
      </c>
      <c r="Q201" s="125">
        <f>Lista!P200</f>
        <v>0</v>
      </c>
      <c r="R201" s="125">
        <f>Lista!Q200</f>
        <v>0</v>
      </c>
      <c r="S201" s="125">
        <f>Lista!R200</f>
        <v>0</v>
      </c>
      <c r="T201" s="81"/>
      <c r="U201" s="81"/>
      <c r="V201" s="81"/>
      <c r="W201" s="81"/>
      <c r="X201" s="81"/>
      <c r="Y201" s="81"/>
      <c r="Z201" s="81"/>
      <c r="AA201" s="81"/>
      <c r="AB201" s="81"/>
      <c r="AC201" s="81"/>
      <c r="AD201" s="81"/>
      <c r="AE201" s="81"/>
      <c r="AF201" s="81"/>
      <c r="AG201" s="81"/>
      <c r="AH201" s="81"/>
      <c r="AI201" s="81"/>
      <c r="AJ201" s="81"/>
      <c r="AK201" s="81"/>
      <c r="AL201" s="81"/>
      <c r="AM201" s="81"/>
      <c r="AN201" s="81"/>
      <c r="AO201" s="81"/>
      <c r="AP201" s="81"/>
      <c r="AQ201" s="81"/>
      <c r="AR201" s="81"/>
      <c r="AS201" s="81"/>
      <c r="AT201" s="81"/>
      <c r="AU201" s="81"/>
      <c r="AV201" s="81"/>
      <c r="AW201" s="81"/>
      <c r="AX201" s="81"/>
      <c r="AY201" s="81"/>
      <c r="AZ201" s="81"/>
      <c r="BA201" s="81"/>
      <c r="BB201" s="81"/>
      <c r="BC201" s="81"/>
      <c r="BD201" s="81"/>
      <c r="BE201" s="81"/>
      <c r="BF201" s="81"/>
      <c r="BG201" s="81"/>
      <c r="BH201" s="81"/>
      <c r="BI201" s="81"/>
      <c r="BJ201" s="81"/>
      <c r="BK201" s="81"/>
      <c r="BL201" s="81"/>
      <c r="BM201" s="81"/>
      <c r="BN201" s="81"/>
      <c r="BO201" s="81"/>
      <c r="BP201" s="81"/>
      <c r="BQ201" s="81"/>
      <c r="BR201" s="81"/>
      <c r="BS201" s="81"/>
      <c r="BT201" s="81"/>
      <c r="BU201" s="81"/>
      <c r="BV201" s="81"/>
      <c r="BW201" s="81"/>
      <c r="BX201" s="81"/>
      <c r="BY201" s="81"/>
      <c r="BZ201" s="81"/>
      <c r="CA201" s="81"/>
      <c r="CB201" s="81"/>
      <c r="CC201" s="81"/>
      <c r="CD201" s="81"/>
      <c r="CE201" s="81"/>
      <c r="CF201" s="81"/>
      <c r="CG201" s="81"/>
      <c r="CH201" s="81"/>
      <c r="CI201" s="81"/>
      <c r="CJ201" s="81"/>
      <c r="CK201" s="81"/>
      <c r="CL201" s="81"/>
      <c r="CM201" s="81"/>
      <c r="CN201" s="81"/>
      <c r="CO201" s="81"/>
      <c r="CP201" s="81"/>
      <c r="CQ201" s="81"/>
      <c r="CR201" s="81"/>
      <c r="CS201" s="81"/>
      <c r="CT201" s="81"/>
      <c r="CU201" s="81"/>
      <c r="CV201" s="81"/>
      <c r="CW201" s="81"/>
      <c r="CX201" s="81"/>
      <c r="CY201" s="81"/>
      <c r="CZ201" s="81"/>
      <c r="DA201" s="81"/>
      <c r="DB201" s="81"/>
      <c r="DC201" s="81"/>
      <c r="DD201" s="81"/>
      <c r="DE201" s="81"/>
      <c r="DF201" s="81"/>
      <c r="DG201" s="81"/>
      <c r="DH201" s="81"/>
      <c r="DI201" s="81"/>
      <c r="DJ201" s="81"/>
      <c r="DK201" s="81"/>
      <c r="DL201" s="81"/>
      <c r="DM201" s="81"/>
      <c r="DN201" s="81"/>
      <c r="DO201" s="81"/>
      <c r="DP201" s="81"/>
      <c r="DQ201" s="81"/>
      <c r="DR201" s="81"/>
      <c r="DS201" s="81"/>
      <c r="DT201" s="81"/>
      <c r="DU201" s="81"/>
      <c r="DV201" s="81"/>
      <c r="DW201" s="121"/>
    </row>
    <row r="202" spans="1:127" x14ac:dyDescent="0.25">
      <c r="A202" s="2">
        <f>COUNTIF($D$2:D202,'Reporte de Nomina'!$E$2)</f>
        <v>0</v>
      </c>
      <c r="B202" s="125">
        <f>Lista!A201</f>
        <v>0</v>
      </c>
      <c r="C202" s="125">
        <f>Lista!B201</f>
        <v>0</v>
      </c>
      <c r="D202" s="125">
        <f>Lista!C201</f>
        <v>0</v>
      </c>
      <c r="E202" s="125">
        <f>Lista!D201</f>
        <v>0</v>
      </c>
      <c r="F202" s="125">
        <f>Lista!E201</f>
        <v>0</v>
      </c>
      <c r="G202" s="125">
        <f>Lista!F201</f>
        <v>0</v>
      </c>
      <c r="H202" s="125">
        <f>Lista!G201</f>
        <v>0</v>
      </c>
      <c r="I202" s="125">
        <f>Lista!H201</f>
        <v>0</v>
      </c>
      <c r="J202" s="125">
        <f>Lista!I201</f>
        <v>0</v>
      </c>
      <c r="K202" s="125">
        <f>Lista!J201</f>
        <v>0</v>
      </c>
      <c r="L202" s="125">
        <f>Lista!K201</f>
        <v>0</v>
      </c>
      <c r="M202" s="125">
        <f>Lista!L201</f>
        <v>0</v>
      </c>
      <c r="N202" s="125">
        <f>Lista!M201</f>
        <v>0</v>
      </c>
      <c r="O202" s="125">
        <f>Lista!N201</f>
        <v>0</v>
      </c>
      <c r="P202" s="125">
        <f>Lista!O201</f>
        <v>0</v>
      </c>
      <c r="Q202" s="125">
        <f>Lista!P201</f>
        <v>0</v>
      </c>
      <c r="R202" s="125">
        <f>Lista!Q201</f>
        <v>0</v>
      </c>
      <c r="S202" s="125">
        <f>Lista!R201</f>
        <v>0</v>
      </c>
      <c r="T202" s="81"/>
      <c r="U202" s="81"/>
      <c r="V202" s="81"/>
      <c r="W202" s="81"/>
      <c r="X202" s="81"/>
      <c r="Y202" s="81"/>
      <c r="Z202" s="81"/>
      <c r="AA202" s="81"/>
      <c r="AB202" s="81"/>
      <c r="AC202" s="81"/>
      <c r="AD202" s="81"/>
      <c r="AE202" s="81"/>
      <c r="AF202" s="81"/>
      <c r="AG202" s="81"/>
      <c r="AH202" s="81"/>
      <c r="AI202" s="81"/>
      <c r="AJ202" s="81"/>
      <c r="AK202" s="81"/>
      <c r="AL202" s="81"/>
      <c r="AM202" s="81"/>
      <c r="AN202" s="81"/>
      <c r="AO202" s="81"/>
      <c r="AP202" s="81"/>
      <c r="AQ202" s="81"/>
      <c r="AR202" s="81"/>
      <c r="AS202" s="81"/>
      <c r="AT202" s="81"/>
      <c r="AU202" s="81"/>
      <c r="AV202" s="81"/>
      <c r="AW202" s="81"/>
      <c r="AX202" s="81"/>
      <c r="AY202" s="81"/>
      <c r="AZ202" s="81"/>
      <c r="BA202" s="81"/>
      <c r="BB202" s="81"/>
      <c r="BC202" s="81"/>
      <c r="BD202" s="81"/>
      <c r="BE202" s="81"/>
      <c r="BF202" s="81"/>
      <c r="BG202" s="81"/>
      <c r="BH202" s="81"/>
      <c r="BI202" s="81"/>
      <c r="BJ202" s="81"/>
      <c r="BK202" s="81"/>
      <c r="BL202" s="81"/>
      <c r="BM202" s="81"/>
      <c r="BN202" s="81"/>
      <c r="BO202" s="81"/>
      <c r="BP202" s="81"/>
      <c r="BQ202" s="81"/>
      <c r="BR202" s="81"/>
      <c r="BS202" s="81"/>
      <c r="BT202" s="81"/>
      <c r="BU202" s="81"/>
      <c r="BV202" s="81"/>
      <c r="BW202" s="81"/>
      <c r="BX202" s="81"/>
      <c r="BY202" s="81"/>
      <c r="BZ202" s="81"/>
      <c r="CA202" s="81"/>
      <c r="CB202" s="81"/>
      <c r="CC202" s="81"/>
      <c r="CD202" s="81"/>
      <c r="CE202" s="81"/>
      <c r="CF202" s="81"/>
      <c r="CG202" s="81"/>
      <c r="CH202" s="81"/>
      <c r="CI202" s="81"/>
      <c r="CJ202" s="81"/>
      <c r="CK202" s="81"/>
      <c r="CL202" s="81"/>
      <c r="CM202" s="81"/>
      <c r="CN202" s="81"/>
      <c r="CO202" s="81"/>
      <c r="CP202" s="81"/>
      <c r="CQ202" s="81"/>
      <c r="CR202" s="81"/>
      <c r="CS202" s="81"/>
      <c r="CT202" s="81"/>
      <c r="CU202" s="81"/>
      <c r="CV202" s="81"/>
      <c r="CW202" s="81"/>
      <c r="CX202" s="81"/>
      <c r="CY202" s="81"/>
      <c r="CZ202" s="81"/>
      <c r="DA202" s="81"/>
      <c r="DB202" s="81"/>
      <c r="DC202" s="81"/>
      <c r="DD202" s="81"/>
      <c r="DE202" s="81"/>
      <c r="DF202" s="81"/>
      <c r="DG202" s="81"/>
      <c r="DH202" s="81"/>
      <c r="DI202" s="81"/>
      <c r="DJ202" s="81"/>
      <c r="DK202" s="81"/>
      <c r="DL202" s="81"/>
      <c r="DM202" s="81"/>
      <c r="DN202" s="81"/>
      <c r="DO202" s="81"/>
      <c r="DP202" s="81"/>
      <c r="DQ202" s="81"/>
      <c r="DR202" s="81"/>
      <c r="DS202" s="81"/>
      <c r="DT202" s="81"/>
      <c r="DU202" s="81"/>
      <c r="DV202" s="81"/>
      <c r="DW202" s="121"/>
    </row>
    <row r="203" spans="1:127" x14ac:dyDescent="0.25">
      <c r="A203" s="2">
        <f>COUNTIF($D$2:D203,'Reporte de Nomina'!$E$2)</f>
        <v>0</v>
      </c>
      <c r="B203" s="125">
        <f>Lista!A202</f>
        <v>0</v>
      </c>
      <c r="C203" s="125">
        <f>Lista!B202</f>
        <v>0</v>
      </c>
      <c r="D203" s="125">
        <f>Lista!C202</f>
        <v>0</v>
      </c>
      <c r="E203" s="125">
        <f>Lista!D202</f>
        <v>0</v>
      </c>
      <c r="F203" s="125">
        <f>Lista!E202</f>
        <v>0</v>
      </c>
      <c r="G203" s="125">
        <f>Lista!F202</f>
        <v>0</v>
      </c>
      <c r="H203" s="125">
        <f>Lista!G202</f>
        <v>0</v>
      </c>
      <c r="I203" s="125">
        <f>Lista!H202</f>
        <v>0</v>
      </c>
      <c r="J203" s="125">
        <f>Lista!I202</f>
        <v>0</v>
      </c>
      <c r="K203" s="125">
        <f>Lista!J202</f>
        <v>0</v>
      </c>
      <c r="L203" s="125">
        <f>Lista!K202</f>
        <v>0</v>
      </c>
      <c r="M203" s="125">
        <f>Lista!L202</f>
        <v>0</v>
      </c>
      <c r="N203" s="125">
        <f>Lista!M202</f>
        <v>0</v>
      </c>
      <c r="O203" s="125">
        <f>Lista!N202</f>
        <v>0</v>
      </c>
      <c r="P203" s="125">
        <f>Lista!O202</f>
        <v>0</v>
      </c>
      <c r="Q203" s="125">
        <f>Lista!P202</f>
        <v>0</v>
      </c>
      <c r="R203" s="125">
        <f>Lista!Q202</f>
        <v>0</v>
      </c>
      <c r="S203" s="125">
        <f>Lista!R202</f>
        <v>0</v>
      </c>
      <c r="T203" s="81"/>
      <c r="U203" s="81"/>
      <c r="V203" s="81"/>
      <c r="W203" s="81"/>
      <c r="X203" s="81"/>
      <c r="Y203" s="81"/>
      <c r="Z203" s="81"/>
      <c r="AA203" s="81"/>
      <c r="AB203" s="81"/>
      <c r="AC203" s="81"/>
      <c r="AD203" s="81"/>
      <c r="AE203" s="81"/>
      <c r="AF203" s="81"/>
      <c r="AG203" s="81"/>
      <c r="AH203" s="81"/>
      <c r="AI203" s="81"/>
      <c r="AJ203" s="81"/>
      <c r="AK203" s="81"/>
      <c r="AL203" s="81"/>
      <c r="AM203" s="81"/>
      <c r="AN203" s="81"/>
      <c r="AO203" s="81"/>
      <c r="AP203" s="81"/>
      <c r="AQ203" s="81"/>
      <c r="AR203" s="81"/>
      <c r="AS203" s="81"/>
      <c r="AT203" s="81"/>
      <c r="AU203" s="81"/>
      <c r="AV203" s="81"/>
      <c r="AW203" s="81"/>
      <c r="AX203" s="81"/>
      <c r="AY203" s="81"/>
      <c r="AZ203" s="81"/>
      <c r="BA203" s="81"/>
      <c r="BB203" s="81"/>
      <c r="BC203" s="81"/>
      <c r="BD203" s="81"/>
      <c r="BE203" s="81"/>
      <c r="BF203" s="81"/>
      <c r="BG203" s="81"/>
      <c r="BH203" s="81"/>
      <c r="BI203" s="81"/>
      <c r="BJ203" s="81"/>
      <c r="BK203" s="81"/>
      <c r="BL203" s="81"/>
      <c r="BM203" s="81"/>
      <c r="BN203" s="81"/>
      <c r="BO203" s="81"/>
      <c r="BP203" s="81"/>
      <c r="BQ203" s="81"/>
      <c r="BR203" s="81"/>
      <c r="BS203" s="81"/>
      <c r="BT203" s="81"/>
      <c r="BU203" s="81"/>
      <c r="BV203" s="81"/>
      <c r="BW203" s="81"/>
      <c r="BX203" s="81"/>
      <c r="BY203" s="81"/>
      <c r="BZ203" s="81"/>
      <c r="CA203" s="81"/>
      <c r="CB203" s="81"/>
      <c r="CC203" s="81"/>
      <c r="CD203" s="81"/>
      <c r="CE203" s="81"/>
      <c r="CF203" s="81"/>
      <c r="CG203" s="81"/>
      <c r="CH203" s="81"/>
      <c r="CI203" s="81"/>
      <c r="CJ203" s="81"/>
      <c r="CK203" s="81"/>
      <c r="CL203" s="81"/>
      <c r="CM203" s="81"/>
      <c r="CN203" s="81"/>
      <c r="CO203" s="81"/>
      <c r="CP203" s="81"/>
      <c r="CQ203" s="81"/>
      <c r="CR203" s="81"/>
      <c r="CS203" s="81"/>
      <c r="CT203" s="81"/>
      <c r="CU203" s="81"/>
      <c r="CV203" s="81"/>
      <c r="CW203" s="81"/>
      <c r="CX203" s="81"/>
      <c r="CY203" s="81"/>
      <c r="CZ203" s="81"/>
      <c r="DA203" s="81"/>
      <c r="DB203" s="81"/>
      <c r="DC203" s="81"/>
      <c r="DD203" s="81"/>
      <c r="DE203" s="81"/>
      <c r="DF203" s="81"/>
      <c r="DG203" s="81"/>
      <c r="DH203" s="81"/>
      <c r="DI203" s="81"/>
      <c r="DJ203" s="81"/>
      <c r="DK203" s="81"/>
      <c r="DL203" s="81"/>
      <c r="DM203" s="81"/>
      <c r="DN203" s="81"/>
      <c r="DO203" s="81"/>
      <c r="DP203" s="81"/>
      <c r="DQ203" s="81"/>
      <c r="DR203" s="81"/>
      <c r="DS203" s="81"/>
      <c r="DT203" s="81"/>
      <c r="DU203" s="81"/>
      <c r="DV203" s="81"/>
      <c r="DW203" s="121"/>
    </row>
    <row r="204" spans="1:127" x14ac:dyDescent="0.25">
      <c r="A204" s="2">
        <f>COUNTIF($D$2:D204,'Reporte de Nomina'!$E$2)</f>
        <v>0</v>
      </c>
      <c r="B204" s="125">
        <f>Lista!A203</f>
        <v>0</v>
      </c>
      <c r="C204" s="125">
        <f>Lista!B203</f>
        <v>0</v>
      </c>
      <c r="D204" s="125">
        <f>Lista!C203</f>
        <v>0</v>
      </c>
      <c r="E204" s="125">
        <f>Lista!D203</f>
        <v>0</v>
      </c>
      <c r="F204" s="125">
        <f>Lista!E203</f>
        <v>0</v>
      </c>
      <c r="G204" s="125">
        <f>Lista!F203</f>
        <v>0</v>
      </c>
      <c r="H204" s="125">
        <f>Lista!G203</f>
        <v>0</v>
      </c>
      <c r="I204" s="125">
        <f>Lista!H203</f>
        <v>0</v>
      </c>
      <c r="J204" s="125">
        <f>Lista!I203</f>
        <v>0</v>
      </c>
      <c r="K204" s="125">
        <f>Lista!J203</f>
        <v>0</v>
      </c>
      <c r="L204" s="125">
        <f>Lista!K203</f>
        <v>0</v>
      </c>
      <c r="M204" s="125">
        <f>Lista!L203</f>
        <v>0</v>
      </c>
      <c r="N204" s="125">
        <f>Lista!M203</f>
        <v>0</v>
      </c>
      <c r="O204" s="125">
        <f>Lista!N203</f>
        <v>0</v>
      </c>
      <c r="P204" s="125">
        <f>Lista!O203</f>
        <v>0</v>
      </c>
      <c r="Q204" s="125">
        <f>Lista!P203</f>
        <v>0</v>
      </c>
      <c r="R204" s="125">
        <f>Lista!Q203</f>
        <v>0</v>
      </c>
      <c r="S204" s="125">
        <f>Lista!R203</f>
        <v>0</v>
      </c>
      <c r="T204" s="81"/>
      <c r="U204" s="81"/>
      <c r="V204" s="81"/>
      <c r="W204" s="81"/>
      <c r="X204" s="81"/>
      <c r="Y204" s="81"/>
      <c r="Z204" s="81"/>
      <c r="AA204" s="81"/>
      <c r="AB204" s="81"/>
      <c r="AC204" s="81"/>
      <c r="AD204" s="81"/>
      <c r="AE204" s="81"/>
      <c r="AF204" s="81"/>
      <c r="AG204" s="81"/>
      <c r="AH204" s="81"/>
      <c r="AI204" s="81"/>
      <c r="AJ204" s="81"/>
      <c r="AK204" s="81"/>
      <c r="AL204" s="81"/>
      <c r="AM204" s="81"/>
      <c r="AN204" s="81"/>
      <c r="AO204" s="81"/>
      <c r="AP204" s="81"/>
      <c r="AQ204" s="81"/>
      <c r="AR204" s="81"/>
      <c r="AS204" s="81"/>
      <c r="AT204" s="81"/>
      <c r="AU204" s="81"/>
      <c r="AV204" s="81"/>
      <c r="AW204" s="81"/>
      <c r="AX204" s="81"/>
      <c r="AY204" s="81"/>
      <c r="AZ204" s="81"/>
      <c r="BA204" s="81"/>
      <c r="BB204" s="81"/>
      <c r="BC204" s="81"/>
      <c r="BD204" s="81"/>
      <c r="BE204" s="81"/>
      <c r="BF204" s="81"/>
      <c r="BG204" s="81"/>
      <c r="BH204" s="81"/>
      <c r="BI204" s="81"/>
      <c r="BJ204" s="81"/>
      <c r="BK204" s="81"/>
      <c r="BL204" s="81"/>
      <c r="BM204" s="81"/>
      <c r="BN204" s="81"/>
      <c r="BO204" s="81"/>
      <c r="BP204" s="81"/>
      <c r="BQ204" s="81"/>
      <c r="BR204" s="81"/>
      <c r="BS204" s="81"/>
      <c r="BT204" s="81"/>
      <c r="BU204" s="81"/>
      <c r="BV204" s="81"/>
      <c r="BW204" s="81"/>
      <c r="BX204" s="81"/>
      <c r="BY204" s="81"/>
      <c r="BZ204" s="81"/>
      <c r="CA204" s="81"/>
      <c r="CB204" s="81"/>
      <c r="CC204" s="81"/>
      <c r="CD204" s="81"/>
      <c r="CE204" s="81"/>
      <c r="CF204" s="81"/>
      <c r="CG204" s="81"/>
      <c r="CH204" s="81"/>
      <c r="CI204" s="81"/>
      <c r="CJ204" s="81"/>
      <c r="CK204" s="81"/>
      <c r="CL204" s="81"/>
      <c r="CM204" s="81"/>
      <c r="CN204" s="81"/>
      <c r="CO204" s="81"/>
      <c r="CP204" s="81"/>
      <c r="CQ204" s="81"/>
      <c r="CR204" s="81"/>
      <c r="CS204" s="81"/>
      <c r="CT204" s="81"/>
      <c r="CU204" s="81"/>
      <c r="CV204" s="81"/>
      <c r="CW204" s="81"/>
      <c r="CX204" s="81"/>
      <c r="CY204" s="81"/>
      <c r="CZ204" s="81"/>
      <c r="DA204" s="81"/>
      <c r="DB204" s="81"/>
      <c r="DC204" s="81"/>
      <c r="DD204" s="81"/>
      <c r="DE204" s="81"/>
      <c r="DF204" s="81"/>
      <c r="DG204" s="81"/>
      <c r="DH204" s="81"/>
      <c r="DI204" s="81"/>
      <c r="DJ204" s="81"/>
      <c r="DK204" s="81"/>
      <c r="DL204" s="81"/>
      <c r="DM204" s="81"/>
      <c r="DN204" s="81"/>
      <c r="DO204" s="81"/>
      <c r="DP204" s="81"/>
      <c r="DQ204" s="81"/>
      <c r="DR204" s="81"/>
      <c r="DS204" s="81"/>
      <c r="DT204" s="81"/>
      <c r="DU204" s="81"/>
      <c r="DV204" s="81"/>
      <c r="DW204" s="121"/>
    </row>
    <row r="205" spans="1:127" x14ac:dyDescent="0.25">
      <c r="A205" s="2">
        <f>COUNTIF($D$2:D205,'Reporte de Nomina'!$E$2)</f>
        <v>0</v>
      </c>
      <c r="B205" s="125">
        <f>Lista!A204</f>
        <v>0</v>
      </c>
      <c r="C205" s="125">
        <f>Lista!B204</f>
        <v>0</v>
      </c>
      <c r="D205" s="125">
        <f>Lista!C204</f>
        <v>0</v>
      </c>
      <c r="E205" s="125">
        <f>Lista!D204</f>
        <v>0</v>
      </c>
      <c r="F205" s="125">
        <f>Lista!E204</f>
        <v>0</v>
      </c>
      <c r="G205" s="125">
        <f>Lista!F204</f>
        <v>0</v>
      </c>
      <c r="H205" s="125">
        <f>Lista!G204</f>
        <v>0</v>
      </c>
      <c r="I205" s="125">
        <f>Lista!H204</f>
        <v>0</v>
      </c>
      <c r="J205" s="125">
        <f>Lista!I204</f>
        <v>0</v>
      </c>
      <c r="K205" s="125">
        <f>Lista!J204</f>
        <v>0</v>
      </c>
      <c r="L205" s="125">
        <f>Lista!K204</f>
        <v>0</v>
      </c>
      <c r="M205" s="125">
        <f>Lista!L204</f>
        <v>0</v>
      </c>
      <c r="N205" s="125">
        <f>Lista!M204</f>
        <v>0</v>
      </c>
      <c r="O205" s="125">
        <f>Lista!N204</f>
        <v>0</v>
      </c>
      <c r="P205" s="125">
        <f>Lista!O204</f>
        <v>0</v>
      </c>
      <c r="Q205" s="125">
        <f>Lista!P204</f>
        <v>0</v>
      </c>
      <c r="R205" s="125">
        <f>Lista!Q204</f>
        <v>0</v>
      </c>
      <c r="S205" s="125">
        <f>Lista!R204</f>
        <v>0</v>
      </c>
      <c r="T205" s="81"/>
      <c r="U205" s="81"/>
      <c r="V205" s="81"/>
      <c r="W205" s="81"/>
      <c r="X205" s="81"/>
      <c r="Y205" s="81"/>
      <c r="Z205" s="81"/>
      <c r="AA205" s="81"/>
      <c r="AB205" s="81"/>
      <c r="AC205" s="81"/>
      <c r="AD205" s="81"/>
      <c r="AE205" s="81"/>
      <c r="AF205" s="81"/>
      <c r="AG205" s="81"/>
      <c r="AH205" s="81"/>
      <c r="AI205" s="81"/>
      <c r="AJ205" s="81"/>
      <c r="AK205" s="81"/>
      <c r="AL205" s="81"/>
      <c r="AM205" s="81"/>
      <c r="AN205" s="81"/>
      <c r="AO205" s="81"/>
      <c r="AP205" s="81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  <c r="BA205" s="81"/>
      <c r="BB205" s="81"/>
      <c r="BC205" s="81"/>
      <c r="BD205" s="81"/>
      <c r="BE205" s="81"/>
      <c r="BF205" s="81"/>
      <c r="BG205" s="81"/>
      <c r="BH205" s="81"/>
      <c r="BI205" s="81"/>
      <c r="BJ205" s="81"/>
      <c r="BK205" s="81"/>
      <c r="BL205" s="81"/>
      <c r="BM205" s="81"/>
      <c r="BN205" s="81"/>
      <c r="BO205" s="81"/>
      <c r="BP205" s="81"/>
      <c r="BQ205" s="81"/>
      <c r="BR205" s="81"/>
      <c r="BS205" s="81"/>
      <c r="BT205" s="81"/>
      <c r="BU205" s="81"/>
      <c r="BV205" s="81"/>
      <c r="BW205" s="81"/>
      <c r="BX205" s="81"/>
      <c r="BY205" s="81"/>
      <c r="BZ205" s="81"/>
      <c r="CA205" s="81"/>
      <c r="CB205" s="81"/>
      <c r="CC205" s="81"/>
      <c r="CD205" s="81"/>
      <c r="CE205" s="81"/>
      <c r="CF205" s="81"/>
      <c r="CG205" s="81"/>
      <c r="CH205" s="81"/>
      <c r="CI205" s="81"/>
      <c r="CJ205" s="81"/>
      <c r="CK205" s="81"/>
      <c r="CL205" s="81"/>
      <c r="CM205" s="81"/>
      <c r="CN205" s="81"/>
      <c r="CO205" s="81"/>
      <c r="CP205" s="81"/>
      <c r="CQ205" s="81"/>
      <c r="CR205" s="81"/>
      <c r="CS205" s="81"/>
      <c r="CT205" s="81"/>
      <c r="CU205" s="81"/>
      <c r="CV205" s="81"/>
      <c r="CW205" s="81"/>
      <c r="CX205" s="81"/>
      <c r="CY205" s="81"/>
      <c r="CZ205" s="81"/>
      <c r="DA205" s="81"/>
      <c r="DB205" s="81"/>
      <c r="DC205" s="81"/>
      <c r="DD205" s="81"/>
      <c r="DE205" s="81"/>
      <c r="DF205" s="81"/>
      <c r="DG205" s="81"/>
      <c r="DH205" s="81"/>
      <c r="DI205" s="81"/>
      <c r="DJ205" s="81"/>
      <c r="DK205" s="81"/>
      <c r="DL205" s="81"/>
      <c r="DM205" s="81"/>
      <c r="DN205" s="81"/>
      <c r="DO205" s="81"/>
      <c r="DP205" s="81"/>
      <c r="DQ205" s="81"/>
      <c r="DR205" s="81"/>
      <c r="DS205" s="81"/>
      <c r="DT205" s="81"/>
      <c r="DU205" s="81"/>
      <c r="DV205" s="81"/>
      <c r="DW205" s="121"/>
    </row>
    <row r="206" spans="1:127" x14ac:dyDescent="0.25">
      <c r="A206" s="2">
        <f>COUNTIF($D$2:D206,'Reporte de Nomina'!$E$2)</f>
        <v>0</v>
      </c>
      <c r="B206" s="125">
        <f>Lista!A205</f>
        <v>0</v>
      </c>
      <c r="C206" s="125">
        <f>Lista!B205</f>
        <v>0</v>
      </c>
      <c r="D206" s="125">
        <f>Lista!C205</f>
        <v>0</v>
      </c>
      <c r="E206" s="125">
        <f>Lista!D205</f>
        <v>0</v>
      </c>
      <c r="F206" s="125">
        <f>Lista!E205</f>
        <v>0</v>
      </c>
      <c r="G206" s="125">
        <f>Lista!F205</f>
        <v>0</v>
      </c>
      <c r="H206" s="125">
        <f>Lista!G205</f>
        <v>0</v>
      </c>
      <c r="I206" s="125">
        <f>Lista!H205</f>
        <v>0</v>
      </c>
      <c r="J206" s="125">
        <f>Lista!I205</f>
        <v>0</v>
      </c>
      <c r="K206" s="125">
        <f>Lista!J205</f>
        <v>0</v>
      </c>
      <c r="L206" s="125">
        <f>Lista!K205</f>
        <v>0</v>
      </c>
      <c r="M206" s="125">
        <f>Lista!L205</f>
        <v>0</v>
      </c>
      <c r="N206" s="125">
        <f>Lista!M205</f>
        <v>0</v>
      </c>
      <c r="O206" s="125">
        <f>Lista!N205</f>
        <v>0</v>
      </c>
      <c r="P206" s="125">
        <f>Lista!O205</f>
        <v>0</v>
      </c>
      <c r="Q206" s="125">
        <f>Lista!P205</f>
        <v>0</v>
      </c>
      <c r="R206" s="125">
        <f>Lista!Q205</f>
        <v>0</v>
      </c>
      <c r="S206" s="125">
        <f>Lista!R205</f>
        <v>0</v>
      </c>
      <c r="T206" s="81"/>
      <c r="U206" s="81"/>
      <c r="V206" s="81"/>
      <c r="W206" s="81"/>
      <c r="X206" s="81"/>
      <c r="Y206" s="81"/>
      <c r="Z206" s="81"/>
      <c r="AA206" s="81"/>
      <c r="AB206" s="81"/>
      <c r="AC206" s="81"/>
      <c r="AD206" s="81"/>
      <c r="AE206" s="81"/>
      <c r="AF206" s="81"/>
      <c r="AG206" s="81"/>
      <c r="AH206" s="81"/>
      <c r="AI206" s="81"/>
      <c r="AJ206" s="81"/>
      <c r="AK206" s="81"/>
      <c r="AL206" s="81"/>
      <c r="AM206" s="81"/>
      <c r="AN206" s="81"/>
      <c r="AO206" s="81"/>
      <c r="AP206" s="81"/>
      <c r="AQ206" s="81"/>
      <c r="AR206" s="81"/>
      <c r="AS206" s="81"/>
      <c r="AT206" s="81"/>
      <c r="AU206" s="81"/>
      <c r="AV206" s="81"/>
      <c r="AW206" s="81"/>
      <c r="AX206" s="81"/>
      <c r="AY206" s="81"/>
      <c r="AZ206" s="81"/>
      <c r="BA206" s="81"/>
      <c r="BB206" s="81"/>
      <c r="BC206" s="81"/>
      <c r="BD206" s="81"/>
      <c r="BE206" s="81"/>
      <c r="BF206" s="81"/>
      <c r="BG206" s="81"/>
      <c r="BH206" s="81"/>
      <c r="BI206" s="81"/>
      <c r="BJ206" s="81"/>
      <c r="BK206" s="81"/>
      <c r="BL206" s="81"/>
      <c r="BM206" s="81"/>
      <c r="BN206" s="81"/>
      <c r="BO206" s="81"/>
      <c r="BP206" s="81"/>
      <c r="BQ206" s="81"/>
      <c r="BR206" s="81"/>
      <c r="BS206" s="81"/>
      <c r="BT206" s="81"/>
      <c r="BU206" s="81"/>
      <c r="BV206" s="81"/>
      <c r="BW206" s="81"/>
      <c r="BX206" s="81"/>
      <c r="BY206" s="81"/>
      <c r="BZ206" s="81"/>
      <c r="CA206" s="81"/>
      <c r="CB206" s="81"/>
      <c r="CC206" s="81"/>
      <c r="CD206" s="81"/>
      <c r="CE206" s="81"/>
      <c r="CF206" s="81"/>
      <c r="CG206" s="81"/>
      <c r="CH206" s="81"/>
      <c r="CI206" s="81"/>
      <c r="CJ206" s="81"/>
      <c r="CK206" s="81"/>
      <c r="CL206" s="81"/>
      <c r="CM206" s="81"/>
      <c r="CN206" s="81"/>
      <c r="CO206" s="81"/>
      <c r="CP206" s="81"/>
      <c r="CQ206" s="81"/>
      <c r="CR206" s="81"/>
      <c r="CS206" s="81"/>
      <c r="CT206" s="81"/>
      <c r="CU206" s="81"/>
      <c r="CV206" s="81"/>
      <c r="CW206" s="81"/>
      <c r="CX206" s="81"/>
      <c r="CY206" s="81"/>
      <c r="CZ206" s="81"/>
      <c r="DA206" s="81"/>
      <c r="DB206" s="81"/>
      <c r="DC206" s="81"/>
      <c r="DD206" s="81"/>
      <c r="DE206" s="81"/>
      <c r="DF206" s="81"/>
      <c r="DG206" s="81"/>
      <c r="DH206" s="81"/>
      <c r="DI206" s="81"/>
      <c r="DJ206" s="81"/>
      <c r="DK206" s="81"/>
      <c r="DL206" s="81"/>
      <c r="DM206" s="81"/>
      <c r="DN206" s="81"/>
      <c r="DO206" s="81"/>
      <c r="DP206" s="81"/>
      <c r="DQ206" s="81"/>
      <c r="DR206" s="81"/>
      <c r="DS206" s="81"/>
      <c r="DT206" s="81"/>
      <c r="DU206" s="81"/>
      <c r="DV206" s="81"/>
      <c r="DW206" s="121"/>
    </row>
    <row r="207" spans="1:127" x14ac:dyDescent="0.25">
      <c r="A207" s="2">
        <f>COUNTIF($D$2:D207,'Reporte de Nomina'!$E$2)</f>
        <v>0</v>
      </c>
      <c r="B207" s="125">
        <f>Lista!A206</f>
        <v>0</v>
      </c>
      <c r="C207" s="125">
        <f>Lista!B206</f>
        <v>0</v>
      </c>
      <c r="D207" s="125">
        <f>Lista!C206</f>
        <v>0</v>
      </c>
      <c r="E207" s="125">
        <f>Lista!D206</f>
        <v>0</v>
      </c>
      <c r="F207" s="125">
        <f>Lista!E206</f>
        <v>0</v>
      </c>
      <c r="G207" s="125">
        <f>Lista!F206</f>
        <v>0</v>
      </c>
      <c r="H207" s="125">
        <f>Lista!G206</f>
        <v>0</v>
      </c>
      <c r="I207" s="125">
        <f>Lista!H206</f>
        <v>0</v>
      </c>
      <c r="J207" s="125">
        <f>Lista!I206</f>
        <v>0</v>
      </c>
      <c r="K207" s="125">
        <f>Lista!J206</f>
        <v>0</v>
      </c>
      <c r="L207" s="125">
        <f>Lista!K206</f>
        <v>0</v>
      </c>
      <c r="M207" s="125">
        <f>Lista!L206</f>
        <v>0</v>
      </c>
      <c r="N207" s="125">
        <f>Lista!M206</f>
        <v>0</v>
      </c>
      <c r="O207" s="125">
        <f>Lista!N206</f>
        <v>0</v>
      </c>
      <c r="P207" s="125">
        <f>Lista!O206</f>
        <v>0</v>
      </c>
      <c r="Q207" s="125">
        <f>Lista!P206</f>
        <v>0</v>
      </c>
      <c r="R207" s="125">
        <f>Lista!Q206</f>
        <v>0</v>
      </c>
      <c r="S207" s="125">
        <f>Lista!R206</f>
        <v>0</v>
      </c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  <c r="BX207" s="81"/>
      <c r="BY207" s="81"/>
      <c r="BZ207" s="81"/>
      <c r="CA207" s="81"/>
      <c r="CB207" s="81"/>
      <c r="CC207" s="81"/>
      <c r="CD207" s="81"/>
      <c r="CE207" s="81"/>
      <c r="CF207" s="81"/>
      <c r="CG207" s="81"/>
      <c r="CH207" s="81"/>
      <c r="CI207" s="81"/>
      <c r="CJ207" s="81"/>
      <c r="CK207" s="81"/>
      <c r="CL207" s="81"/>
      <c r="CM207" s="81"/>
      <c r="CN207" s="81"/>
      <c r="CO207" s="81"/>
      <c r="CP207" s="81"/>
      <c r="CQ207" s="81"/>
      <c r="CR207" s="81"/>
      <c r="CS207" s="81"/>
      <c r="CT207" s="81"/>
      <c r="CU207" s="81"/>
      <c r="CV207" s="81"/>
      <c r="CW207" s="81"/>
      <c r="CX207" s="81"/>
      <c r="CY207" s="81"/>
      <c r="CZ207" s="81"/>
      <c r="DA207" s="81"/>
      <c r="DB207" s="81"/>
      <c r="DC207" s="81"/>
      <c r="DD207" s="81"/>
      <c r="DE207" s="81"/>
      <c r="DF207" s="81"/>
      <c r="DG207" s="81"/>
      <c r="DH207" s="81"/>
      <c r="DI207" s="81"/>
      <c r="DJ207" s="81"/>
      <c r="DK207" s="81"/>
      <c r="DL207" s="81"/>
      <c r="DM207" s="81"/>
      <c r="DN207" s="81"/>
      <c r="DO207" s="81"/>
      <c r="DP207" s="81"/>
      <c r="DQ207" s="81"/>
      <c r="DR207" s="81"/>
      <c r="DS207" s="81"/>
      <c r="DT207" s="81"/>
      <c r="DU207" s="81"/>
      <c r="DV207" s="81"/>
      <c r="DW207" s="121"/>
    </row>
    <row r="208" spans="1:127" x14ac:dyDescent="0.25">
      <c r="A208" s="2">
        <f>COUNTIF($D$2:D208,'Reporte de Nomina'!$E$2)</f>
        <v>0</v>
      </c>
      <c r="B208" s="125">
        <f>Lista!A207</f>
        <v>0</v>
      </c>
      <c r="C208" s="125">
        <f>Lista!B207</f>
        <v>0</v>
      </c>
      <c r="D208" s="125">
        <f>Lista!C207</f>
        <v>0</v>
      </c>
      <c r="E208" s="125">
        <f>Lista!D207</f>
        <v>0</v>
      </c>
      <c r="F208" s="125">
        <f>Lista!E207</f>
        <v>0</v>
      </c>
      <c r="G208" s="125">
        <f>Lista!F207</f>
        <v>0</v>
      </c>
      <c r="H208" s="125">
        <f>Lista!G207</f>
        <v>0</v>
      </c>
      <c r="I208" s="125">
        <f>Lista!H207</f>
        <v>0</v>
      </c>
      <c r="J208" s="125">
        <f>Lista!I207</f>
        <v>0</v>
      </c>
      <c r="K208" s="125">
        <f>Lista!J207</f>
        <v>0</v>
      </c>
      <c r="L208" s="125">
        <f>Lista!K207</f>
        <v>0</v>
      </c>
      <c r="M208" s="125">
        <f>Lista!L207</f>
        <v>0</v>
      </c>
      <c r="N208" s="125">
        <f>Lista!M207</f>
        <v>0</v>
      </c>
      <c r="O208" s="125">
        <f>Lista!N207</f>
        <v>0</v>
      </c>
      <c r="P208" s="125">
        <f>Lista!O207</f>
        <v>0</v>
      </c>
      <c r="Q208" s="125">
        <f>Lista!P207</f>
        <v>0</v>
      </c>
      <c r="R208" s="125">
        <f>Lista!Q207</f>
        <v>0</v>
      </c>
      <c r="S208" s="125">
        <f>Lista!R207</f>
        <v>0</v>
      </c>
      <c r="T208" s="81"/>
      <c r="U208" s="81"/>
      <c r="V208" s="81"/>
      <c r="W208" s="81"/>
      <c r="X208" s="81"/>
      <c r="Y208" s="81"/>
      <c r="Z208" s="81"/>
      <c r="AA208" s="81"/>
      <c r="AB208" s="81"/>
      <c r="AC208" s="81"/>
      <c r="AD208" s="81"/>
      <c r="AE208" s="81"/>
      <c r="AF208" s="81"/>
      <c r="AG208" s="81"/>
      <c r="AH208" s="81"/>
      <c r="AI208" s="81"/>
      <c r="AJ208" s="81"/>
      <c r="AK208" s="81"/>
      <c r="AL208" s="81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  <c r="BA208" s="81"/>
      <c r="BB208" s="81"/>
      <c r="BC208" s="81"/>
      <c r="BD208" s="81"/>
      <c r="BE208" s="81"/>
      <c r="BF208" s="81"/>
      <c r="BG208" s="81"/>
      <c r="BH208" s="81"/>
      <c r="BI208" s="81"/>
      <c r="BJ208" s="81"/>
      <c r="BK208" s="81"/>
      <c r="BL208" s="81"/>
      <c r="BM208" s="81"/>
      <c r="BN208" s="81"/>
      <c r="BO208" s="81"/>
      <c r="BP208" s="81"/>
      <c r="BQ208" s="81"/>
      <c r="BR208" s="81"/>
      <c r="BS208" s="81"/>
      <c r="BT208" s="81"/>
      <c r="BU208" s="81"/>
      <c r="BV208" s="81"/>
      <c r="BW208" s="81"/>
      <c r="BX208" s="81"/>
      <c r="BY208" s="81"/>
      <c r="BZ208" s="81"/>
      <c r="CA208" s="81"/>
      <c r="CB208" s="81"/>
      <c r="CC208" s="81"/>
      <c r="CD208" s="81"/>
      <c r="CE208" s="81"/>
      <c r="CF208" s="81"/>
      <c r="CG208" s="81"/>
      <c r="CH208" s="81"/>
      <c r="CI208" s="81"/>
      <c r="CJ208" s="81"/>
      <c r="CK208" s="81"/>
      <c r="CL208" s="81"/>
      <c r="CM208" s="81"/>
      <c r="CN208" s="81"/>
      <c r="CO208" s="81"/>
      <c r="CP208" s="81"/>
      <c r="CQ208" s="81"/>
      <c r="CR208" s="81"/>
      <c r="CS208" s="81"/>
      <c r="CT208" s="81"/>
      <c r="CU208" s="81"/>
      <c r="CV208" s="81"/>
      <c r="CW208" s="81"/>
      <c r="CX208" s="81"/>
      <c r="CY208" s="81"/>
      <c r="CZ208" s="81"/>
      <c r="DA208" s="81"/>
      <c r="DB208" s="81"/>
      <c r="DC208" s="81"/>
      <c r="DD208" s="81"/>
      <c r="DE208" s="81"/>
      <c r="DF208" s="81"/>
      <c r="DG208" s="81"/>
      <c r="DH208" s="81"/>
      <c r="DI208" s="81"/>
      <c r="DJ208" s="81"/>
      <c r="DK208" s="81"/>
      <c r="DL208" s="81"/>
      <c r="DM208" s="81"/>
      <c r="DN208" s="81"/>
      <c r="DO208" s="81"/>
      <c r="DP208" s="81"/>
      <c r="DQ208" s="81"/>
      <c r="DR208" s="81"/>
      <c r="DS208" s="81"/>
      <c r="DT208" s="81"/>
      <c r="DU208" s="81"/>
      <c r="DV208" s="81"/>
      <c r="DW208" s="121"/>
    </row>
    <row r="209" spans="1:127" x14ac:dyDescent="0.25">
      <c r="A209" s="2">
        <f>COUNTIF($D$2:D209,'Reporte de Nomina'!$E$2)</f>
        <v>0</v>
      </c>
      <c r="B209" s="125">
        <f>Lista!A208</f>
        <v>0</v>
      </c>
      <c r="C209" s="125">
        <f>Lista!B208</f>
        <v>0</v>
      </c>
      <c r="D209" s="125">
        <f>Lista!C208</f>
        <v>0</v>
      </c>
      <c r="E209" s="125">
        <f>Lista!D208</f>
        <v>0</v>
      </c>
      <c r="F209" s="125">
        <f>Lista!E208</f>
        <v>0</v>
      </c>
      <c r="G209" s="125">
        <f>Lista!F208</f>
        <v>0</v>
      </c>
      <c r="H209" s="125">
        <f>Lista!G208</f>
        <v>0</v>
      </c>
      <c r="I209" s="125">
        <f>Lista!H208</f>
        <v>0</v>
      </c>
      <c r="J209" s="125">
        <f>Lista!I208</f>
        <v>0</v>
      </c>
      <c r="K209" s="125">
        <f>Lista!J208</f>
        <v>0</v>
      </c>
      <c r="L209" s="125">
        <f>Lista!K208</f>
        <v>0</v>
      </c>
      <c r="M209" s="125">
        <f>Lista!L208</f>
        <v>0</v>
      </c>
      <c r="N209" s="125">
        <f>Lista!M208</f>
        <v>0</v>
      </c>
      <c r="O209" s="125">
        <f>Lista!N208</f>
        <v>0</v>
      </c>
      <c r="P209" s="125">
        <f>Lista!O208</f>
        <v>0</v>
      </c>
      <c r="Q209" s="125">
        <f>Lista!P208</f>
        <v>0</v>
      </c>
      <c r="R209" s="125">
        <f>Lista!Q208</f>
        <v>0</v>
      </c>
      <c r="S209" s="125">
        <f>Lista!R208</f>
        <v>0</v>
      </c>
      <c r="T209" s="81"/>
      <c r="U209" s="81"/>
      <c r="V209" s="81"/>
      <c r="W209" s="81"/>
      <c r="X209" s="81"/>
      <c r="Y209" s="81"/>
      <c r="Z209" s="81"/>
      <c r="AA209" s="81"/>
      <c r="AB209" s="81"/>
      <c r="AC209" s="81"/>
      <c r="AD209" s="81"/>
      <c r="AE209" s="81"/>
      <c r="AF209" s="81"/>
      <c r="AG209" s="81"/>
      <c r="AH209" s="81"/>
      <c r="AI209" s="81"/>
      <c r="AJ209" s="81"/>
      <c r="AK209" s="81"/>
      <c r="AL209" s="81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  <c r="BA209" s="81"/>
      <c r="BB209" s="81"/>
      <c r="BC209" s="81"/>
      <c r="BD209" s="81"/>
      <c r="BE209" s="81"/>
      <c r="BF209" s="81"/>
      <c r="BG209" s="81"/>
      <c r="BH209" s="81"/>
      <c r="BI209" s="81"/>
      <c r="BJ209" s="81"/>
      <c r="BK209" s="81"/>
      <c r="BL209" s="81"/>
      <c r="BM209" s="81"/>
      <c r="BN209" s="81"/>
      <c r="BO209" s="81"/>
      <c r="BP209" s="81"/>
      <c r="BQ209" s="81"/>
      <c r="BR209" s="81"/>
      <c r="BS209" s="81"/>
      <c r="BT209" s="81"/>
      <c r="BU209" s="81"/>
      <c r="BV209" s="81"/>
      <c r="BW209" s="81"/>
      <c r="BX209" s="81"/>
      <c r="BY209" s="81"/>
      <c r="BZ209" s="81"/>
      <c r="CA209" s="81"/>
      <c r="CB209" s="81"/>
      <c r="CC209" s="81"/>
      <c r="CD209" s="81"/>
      <c r="CE209" s="81"/>
      <c r="CF209" s="81"/>
      <c r="CG209" s="81"/>
      <c r="CH209" s="81"/>
      <c r="CI209" s="81"/>
      <c r="CJ209" s="81"/>
      <c r="CK209" s="81"/>
      <c r="CL209" s="81"/>
      <c r="CM209" s="81"/>
      <c r="CN209" s="81"/>
      <c r="CO209" s="81"/>
      <c r="CP209" s="81"/>
      <c r="CQ209" s="81"/>
      <c r="CR209" s="81"/>
      <c r="CS209" s="81"/>
      <c r="CT209" s="81"/>
      <c r="CU209" s="81"/>
      <c r="CV209" s="81"/>
      <c r="CW209" s="81"/>
      <c r="CX209" s="81"/>
      <c r="CY209" s="81"/>
      <c r="CZ209" s="81"/>
      <c r="DA209" s="81"/>
      <c r="DB209" s="81"/>
      <c r="DC209" s="81"/>
      <c r="DD209" s="81"/>
      <c r="DE209" s="81"/>
      <c r="DF209" s="81"/>
      <c r="DG209" s="81"/>
      <c r="DH209" s="81"/>
      <c r="DI209" s="81"/>
      <c r="DJ209" s="81"/>
      <c r="DK209" s="81"/>
      <c r="DL209" s="81"/>
      <c r="DM209" s="81"/>
      <c r="DN209" s="81"/>
      <c r="DO209" s="81"/>
      <c r="DP209" s="81"/>
      <c r="DQ209" s="81"/>
      <c r="DR209" s="81"/>
      <c r="DS209" s="81"/>
      <c r="DT209" s="81"/>
      <c r="DU209" s="81"/>
      <c r="DV209" s="81"/>
      <c r="DW209" s="121"/>
    </row>
    <row r="210" spans="1:127" x14ac:dyDescent="0.25">
      <c r="A210" s="2">
        <f>COUNTIF($D$2:D210,'Reporte de Nomina'!$E$2)</f>
        <v>0</v>
      </c>
      <c r="B210" s="125">
        <f>Lista!A209</f>
        <v>0</v>
      </c>
      <c r="C210" s="125">
        <f>Lista!B209</f>
        <v>0</v>
      </c>
      <c r="D210" s="125">
        <f>Lista!C209</f>
        <v>0</v>
      </c>
      <c r="E210" s="125">
        <f>Lista!D209</f>
        <v>0</v>
      </c>
      <c r="F210" s="125">
        <f>Lista!E209</f>
        <v>0</v>
      </c>
      <c r="G210" s="125">
        <f>Lista!F209</f>
        <v>0</v>
      </c>
      <c r="H210" s="125">
        <f>Lista!G209</f>
        <v>0</v>
      </c>
      <c r="I210" s="125">
        <f>Lista!H209</f>
        <v>0</v>
      </c>
      <c r="J210" s="125">
        <f>Lista!I209</f>
        <v>0</v>
      </c>
      <c r="K210" s="125">
        <f>Lista!J209</f>
        <v>0</v>
      </c>
      <c r="L210" s="125">
        <f>Lista!K209</f>
        <v>0</v>
      </c>
      <c r="M210" s="125">
        <f>Lista!L209</f>
        <v>0</v>
      </c>
      <c r="N210" s="125">
        <f>Lista!M209</f>
        <v>0</v>
      </c>
      <c r="O210" s="125">
        <f>Lista!N209</f>
        <v>0</v>
      </c>
      <c r="P210" s="125">
        <f>Lista!O209</f>
        <v>0</v>
      </c>
      <c r="Q210" s="125">
        <f>Lista!P209</f>
        <v>0</v>
      </c>
      <c r="R210" s="125">
        <f>Lista!Q209</f>
        <v>0</v>
      </c>
      <c r="S210" s="125">
        <f>Lista!R209</f>
        <v>0</v>
      </c>
      <c r="T210" s="81"/>
      <c r="U210" s="81"/>
      <c r="V210" s="81"/>
      <c r="W210" s="81"/>
      <c r="X210" s="81"/>
      <c r="Y210" s="81"/>
      <c r="Z210" s="81"/>
      <c r="AA210" s="81"/>
      <c r="AB210" s="81"/>
      <c r="AC210" s="81"/>
      <c r="AD210" s="81"/>
      <c r="AE210" s="81"/>
      <c r="AF210" s="81"/>
      <c r="AG210" s="81"/>
      <c r="AH210" s="81"/>
      <c r="AI210" s="81"/>
      <c r="AJ210" s="81"/>
      <c r="AK210" s="81"/>
      <c r="AL210" s="81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  <c r="BA210" s="81"/>
      <c r="BB210" s="81"/>
      <c r="BC210" s="81"/>
      <c r="BD210" s="81"/>
      <c r="BE210" s="81"/>
      <c r="BF210" s="81"/>
      <c r="BG210" s="81"/>
      <c r="BH210" s="81"/>
      <c r="BI210" s="81"/>
      <c r="BJ210" s="81"/>
      <c r="BK210" s="81"/>
      <c r="BL210" s="81"/>
      <c r="BM210" s="81"/>
      <c r="BN210" s="81"/>
      <c r="BO210" s="81"/>
      <c r="BP210" s="81"/>
      <c r="BQ210" s="81"/>
      <c r="BR210" s="81"/>
      <c r="BS210" s="81"/>
      <c r="BT210" s="81"/>
      <c r="BU210" s="81"/>
      <c r="BV210" s="81"/>
      <c r="BW210" s="81"/>
      <c r="BX210" s="81"/>
      <c r="BY210" s="81"/>
      <c r="BZ210" s="81"/>
      <c r="CA210" s="81"/>
      <c r="CB210" s="81"/>
      <c r="CC210" s="81"/>
      <c r="CD210" s="81"/>
      <c r="CE210" s="81"/>
      <c r="CF210" s="81"/>
      <c r="CG210" s="81"/>
      <c r="CH210" s="81"/>
      <c r="CI210" s="81"/>
      <c r="CJ210" s="81"/>
      <c r="CK210" s="81"/>
      <c r="CL210" s="81"/>
      <c r="CM210" s="81"/>
      <c r="CN210" s="81"/>
      <c r="CO210" s="81"/>
      <c r="CP210" s="81"/>
      <c r="CQ210" s="81"/>
      <c r="CR210" s="81"/>
      <c r="CS210" s="81"/>
      <c r="CT210" s="81"/>
      <c r="CU210" s="81"/>
      <c r="CV210" s="81"/>
      <c r="CW210" s="81"/>
      <c r="CX210" s="81"/>
      <c r="CY210" s="81"/>
      <c r="CZ210" s="81"/>
      <c r="DA210" s="81"/>
      <c r="DB210" s="81"/>
      <c r="DC210" s="81"/>
      <c r="DD210" s="81"/>
      <c r="DE210" s="81"/>
      <c r="DF210" s="81"/>
      <c r="DG210" s="81"/>
      <c r="DH210" s="81"/>
      <c r="DI210" s="81"/>
      <c r="DJ210" s="81"/>
      <c r="DK210" s="81"/>
      <c r="DL210" s="81"/>
      <c r="DM210" s="81"/>
      <c r="DN210" s="81"/>
      <c r="DO210" s="81"/>
      <c r="DP210" s="81"/>
      <c r="DQ210" s="81"/>
      <c r="DR210" s="81"/>
      <c r="DS210" s="81"/>
      <c r="DT210" s="81"/>
      <c r="DU210" s="81"/>
      <c r="DV210" s="81"/>
      <c r="DW210" s="121"/>
    </row>
    <row r="211" spans="1:127" x14ac:dyDescent="0.25">
      <c r="A211" s="2">
        <f>COUNTIF($D$2:D211,'Reporte de Nomina'!$E$2)</f>
        <v>0</v>
      </c>
      <c r="B211" s="125">
        <f>Lista!A210</f>
        <v>0</v>
      </c>
      <c r="C211" s="125">
        <f>Lista!B210</f>
        <v>0</v>
      </c>
      <c r="D211" s="125">
        <f>Lista!C210</f>
        <v>0</v>
      </c>
      <c r="E211" s="125">
        <f>Lista!D210</f>
        <v>0</v>
      </c>
      <c r="F211" s="125">
        <f>Lista!E210</f>
        <v>0</v>
      </c>
      <c r="G211" s="125">
        <f>Lista!F210</f>
        <v>0</v>
      </c>
      <c r="H211" s="125">
        <f>Lista!G210</f>
        <v>0</v>
      </c>
      <c r="I211" s="125">
        <f>Lista!H210</f>
        <v>0</v>
      </c>
      <c r="J211" s="125">
        <f>Lista!I210</f>
        <v>0</v>
      </c>
      <c r="K211" s="125">
        <f>Lista!J210</f>
        <v>0</v>
      </c>
      <c r="L211" s="125">
        <f>Lista!K210</f>
        <v>0</v>
      </c>
      <c r="M211" s="125">
        <f>Lista!L210</f>
        <v>0</v>
      </c>
      <c r="N211" s="125">
        <f>Lista!M210</f>
        <v>0</v>
      </c>
      <c r="O211" s="125">
        <f>Lista!N210</f>
        <v>0</v>
      </c>
      <c r="P211" s="125">
        <f>Lista!O210</f>
        <v>0</v>
      </c>
      <c r="Q211" s="125">
        <f>Lista!P210</f>
        <v>0</v>
      </c>
      <c r="R211" s="125">
        <f>Lista!Q210</f>
        <v>0</v>
      </c>
      <c r="S211" s="125">
        <f>Lista!R210</f>
        <v>0</v>
      </c>
      <c r="T211" s="81"/>
      <c r="U211" s="81"/>
      <c r="V211" s="81"/>
      <c r="W211" s="81"/>
      <c r="X211" s="81"/>
      <c r="Y211" s="81"/>
      <c r="Z211" s="81"/>
      <c r="AA211" s="81"/>
      <c r="AB211" s="81"/>
      <c r="AC211" s="81"/>
      <c r="AD211" s="81"/>
      <c r="AE211" s="81"/>
      <c r="AF211" s="81"/>
      <c r="AG211" s="81"/>
      <c r="AH211" s="81"/>
      <c r="AI211" s="81"/>
      <c r="AJ211" s="81"/>
      <c r="AK211" s="81"/>
      <c r="AL211" s="81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  <c r="BA211" s="81"/>
      <c r="BB211" s="81"/>
      <c r="BC211" s="81"/>
      <c r="BD211" s="81"/>
      <c r="BE211" s="81"/>
      <c r="BF211" s="81"/>
      <c r="BG211" s="81"/>
      <c r="BH211" s="81"/>
      <c r="BI211" s="81"/>
      <c r="BJ211" s="81"/>
      <c r="BK211" s="81"/>
      <c r="BL211" s="81"/>
      <c r="BM211" s="81"/>
      <c r="BN211" s="81"/>
      <c r="BO211" s="81"/>
      <c r="BP211" s="81"/>
      <c r="BQ211" s="81"/>
      <c r="BR211" s="81"/>
      <c r="BS211" s="81"/>
      <c r="BT211" s="81"/>
      <c r="BU211" s="81"/>
      <c r="BV211" s="81"/>
      <c r="BW211" s="81"/>
      <c r="BX211" s="81"/>
      <c r="BY211" s="81"/>
      <c r="BZ211" s="81"/>
      <c r="CA211" s="81"/>
      <c r="CB211" s="81"/>
      <c r="CC211" s="81"/>
      <c r="CD211" s="81"/>
      <c r="CE211" s="81"/>
      <c r="CF211" s="81"/>
      <c r="CG211" s="81"/>
      <c r="CH211" s="81"/>
      <c r="CI211" s="81"/>
      <c r="CJ211" s="81"/>
      <c r="CK211" s="81"/>
      <c r="CL211" s="81"/>
      <c r="CM211" s="81"/>
      <c r="CN211" s="81"/>
      <c r="CO211" s="81"/>
      <c r="CP211" s="81"/>
      <c r="CQ211" s="81"/>
      <c r="CR211" s="81"/>
      <c r="CS211" s="81"/>
      <c r="CT211" s="81"/>
      <c r="CU211" s="81"/>
      <c r="CV211" s="81"/>
      <c r="CW211" s="81"/>
      <c r="CX211" s="81"/>
      <c r="CY211" s="81"/>
      <c r="CZ211" s="81"/>
      <c r="DA211" s="81"/>
      <c r="DB211" s="81"/>
      <c r="DC211" s="81"/>
      <c r="DD211" s="81"/>
      <c r="DE211" s="81"/>
      <c r="DF211" s="81"/>
      <c r="DG211" s="81"/>
      <c r="DH211" s="81"/>
      <c r="DI211" s="81"/>
      <c r="DJ211" s="81"/>
      <c r="DK211" s="81"/>
      <c r="DL211" s="81"/>
      <c r="DM211" s="81"/>
      <c r="DN211" s="81"/>
      <c r="DO211" s="81"/>
      <c r="DP211" s="81"/>
      <c r="DQ211" s="81"/>
      <c r="DR211" s="81"/>
      <c r="DS211" s="81"/>
      <c r="DT211" s="81"/>
      <c r="DU211" s="81"/>
      <c r="DV211" s="81"/>
      <c r="DW211" s="121"/>
    </row>
    <row r="212" spans="1:127" x14ac:dyDescent="0.25">
      <c r="A212" s="2">
        <f>COUNTIF($D$2:D212,'Reporte de Nomina'!$E$2)</f>
        <v>0</v>
      </c>
      <c r="B212" s="125">
        <f>Lista!A211</f>
        <v>0</v>
      </c>
      <c r="C212" s="125">
        <f>Lista!B211</f>
        <v>0</v>
      </c>
      <c r="D212" s="125">
        <f>Lista!C211</f>
        <v>0</v>
      </c>
      <c r="E212" s="125">
        <f>Lista!D211</f>
        <v>0</v>
      </c>
      <c r="F212" s="125">
        <f>Lista!E211</f>
        <v>0</v>
      </c>
      <c r="G212" s="125">
        <f>Lista!F211</f>
        <v>0</v>
      </c>
      <c r="H212" s="125">
        <f>Lista!G211</f>
        <v>0</v>
      </c>
      <c r="I212" s="125">
        <f>Lista!H211</f>
        <v>0</v>
      </c>
      <c r="J212" s="125">
        <f>Lista!I211</f>
        <v>0</v>
      </c>
      <c r="K212" s="125">
        <f>Lista!J211</f>
        <v>0</v>
      </c>
      <c r="L212" s="125">
        <f>Lista!K211</f>
        <v>0</v>
      </c>
      <c r="M212" s="125">
        <f>Lista!L211</f>
        <v>0</v>
      </c>
      <c r="N212" s="125">
        <f>Lista!M211</f>
        <v>0</v>
      </c>
      <c r="O212" s="125">
        <f>Lista!N211</f>
        <v>0</v>
      </c>
      <c r="P212" s="125">
        <f>Lista!O211</f>
        <v>0</v>
      </c>
      <c r="Q212" s="125">
        <f>Lista!P211</f>
        <v>0</v>
      </c>
      <c r="R212" s="125">
        <f>Lista!Q211</f>
        <v>0</v>
      </c>
      <c r="S212" s="125">
        <f>Lista!R211</f>
        <v>0</v>
      </c>
      <c r="T212" s="81"/>
      <c r="U212" s="81"/>
      <c r="V212" s="81"/>
      <c r="W212" s="81"/>
      <c r="X212" s="81"/>
      <c r="Y212" s="81"/>
      <c r="Z212" s="81"/>
      <c r="AA212" s="81"/>
      <c r="AB212" s="81"/>
      <c r="AC212" s="81"/>
      <c r="AD212" s="81"/>
      <c r="AE212" s="81"/>
      <c r="AF212" s="81"/>
      <c r="AG212" s="81"/>
      <c r="AH212" s="81"/>
      <c r="AI212" s="81"/>
      <c r="AJ212" s="81"/>
      <c r="AK212" s="81"/>
      <c r="AL212" s="81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  <c r="BA212" s="81"/>
      <c r="BB212" s="81"/>
      <c r="BC212" s="81"/>
      <c r="BD212" s="81"/>
      <c r="BE212" s="81"/>
      <c r="BF212" s="81"/>
      <c r="BG212" s="81"/>
      <c r="BH212" s="81"/>
      <c r="BI212" s="81"/>
      <c r="BJ212" s="81"/>
      <c r="BK212" s="81"/>
      <c r="BL212" s="81"/>
      <c r="BM212" s="81"/>
      <c r="BN212" s="81"/>
      <c r="BO212" s="81"/>
      <c r="BP212" s="81"/>
      <c r="BQ212" s="81"/>
      <c r="BR212" s="81"/>
      <c r="BS212" s="81"/>
      <c r="BT212" s="81"/>
      <c r="BU212" s="81"/>
      <c r="BV212" s="81"/>
      <c r="BW212" s="81"/>
      <c r="BX212" s="81"/>
      <c r="BY212" s="81"/>
      <c r="BZ212" s="81"/>
      <c r="CA212" s="81"/>
      <c r="CB212" s="81"/>
      <c r="CC212" s="81"/>
      <c r="CD212" s="81"/>
      <c r="CE212" s="81"/>
      <c r="CF212" s="81"/>
      <c r="CG212" s="81"/>
      <c r="CH212" s="81"/>
      <c r="CI212" s="81"/>
      <c r="CJ212" s="81"/>
      <c r="CK212" s="81"/>
      <c r="CL212" s="81"/>
      <c r="CM212" s="81"/>
      <c r="CN212" s="81"/>
      <c r="CO212" s="81"/>
      <c r="CP212" s="81"/>
      <c r="CQ212" s="81"/>
      <c r="CR212" s="81"/>
      <c r="CS212" s="81"/>
      <c r="CT212" s="81"/>
      <c r="CU212" s="81"/>
      <c r="CV212" s="81"/>
      <c r="CW212" s="81"/>
      <c r="CX212" s="81"/>
      <c r="CY212" s="81"/>
      <c r="CZ212" s="81"/>
      <c r="DA212" s="81"/>
      <c r="DB212" s="81"/>
      <c r="DC212" s="81"/>
      <c r="DD212" s="81"/>
      <c r="DE212" s="81"/>
      <c r="DF212" s="81"/>
      <c r="DG212" s="81"/>
      <c r="DH212" s="81"/>
      <c r="DI212" s="81"/>
      <c r="DJ212" s="81"/>
      <c r="DK212" s="81"/>
      <c r="DL212" s="81"/>
      <c r="DM212" s="81"/>
      <c r="DN212" s="81"/>
      <c r="DO212" s="81"/>
      <c r="DP212" s="81"/>
      <c r="DQ212" s="81"/>
      <c r="DR212" s="81"/>
      <c r="DS212" s="81"/>
      <c r="DT212" s="81"/>
      <c r="DU212" s="81"/>
      <c r="DV212" s="81"/>
      <c r="DW212" s="121"/>
    </row>
    <row r="213" spans="1:127" x14ac:dyDescent="0.25">
      <c r="A213" s="2">
        <f>COUNTIF($D$2:D213,'Reporte de Nomina'!$E$2)</f>
        <v>0</v>
      </c>
      <c r="B213" s="125">
        <f>Lista!A212</f>
        <v>0</v>
      </c>
      <c r="C213" s="125">
        <f>Lista!B212</f>
        <v>0</v>
      </c>
      <c r="D213" s="125">
        <f>Lista!C212</f>
        <v>0</v>
      </c>
      <c r="E213" s="125">
        <f>Lista!D212</f>
        <v>0</v>
      </c>
      <c r="F213" s="125">
        <f>Lista!E212</f>
        <v>0</v>
      </c>
      <c r="G213" s="125">
        <f>Lista!F212</f>
        <v>0</v>
      </c>
      <c r="H213" s="125">
        <f>Lista!G212</f>
        <v>0</v>
      </c>
      <c r="I213" s="125">
        <f>Lista!H212</f>
        <v>0</v>
      </c>
      <c r="J213" s="125">
        <f>Lista!I212</f>
        <v>0</v>
      </c>
      <c r="K213" s="125">
        <f>Lista!J212</f>
        <v>0</v>
      </c>
      <c r="L213" s="125">
        <f>Lista!K212</f>
        <v>0</v>
      </c>
      <c r="M213" s="125">
        <f>Lista!L212</f>
        <v>0</v>
      </c>
      <c r="N213" s="125">
        <f>Lista!M212</f>
        <v>0</v>
      </c>
      <c r="O213" s="125">
        <f>Lista!N212</f>
        <v>0</v>
      </c>
      <c r="P213" s="125">
        <f>Lista!O212</f>
        <v>0</v>
      </c>
      <c r="Q213" s="125">
        <f>Lista!P212</f>
        <v>0</v>
      </c>
      <c r="R213" s="125">
        <f>Lista!Q212</f>
        <v>0</v>
      </c>
      <c r="S213" s="125">
        <f>Lista!R212</f>
        <v>0</v>
      </c>
      <c r="T213" s="81"/>
      <c r="U213" s="81"/>
      <c r="V213" s="81"/>
      <c r="W213" s="81"/>
      <c r="X213" s="81"/>
      <c r="Y213" s="81"/>
      <c r="Z213" s="81"/>
      <c r="AA213" s="81"/>
      <c r="AB213" s="81"/>
      <c r="AC213" s="81"/>
      <c r="AD213" s="81"/>
      <c r="AE213" s="81"/>
      <c r="AF213" s="81"/>
      <c r="AG213" s="81"/>
      <c r="AH213" s="81"/>
      <c r="AI213" s="81"/>
      <c r="AJ213" s="81"/>
      <c r="AK213" s="81"/>
      <c r="AL213" s="81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  <c r="BA213" s="81"/>
      <c r="BB213" s="81"/>
      <c r="BC213" s="81"/>
      <c r="BD213" s="81"/>
      <c r="BE213" s="81"/>
      <c r="BF213" s="81"/>
      <c r="BG213" s="81"/>
      <c r="BH213" s="81"/>
      <c r="BI213" s="81"/>
      <c r="BJ213" s="81"/>
      <c r="BK213" s="81"/>
      <c r="BL213" s="81"/>
      <c r="BM213" s="81"/>
      <c r="BN213" s="81"/>
      <c r="BO213" s="81"/>
      <c r="BP213" s="81"/>
      <c r="BQ213" s="81"/>
      <c r="BR213" s="81"/>
      <c r="BS213" s="81"/>
      <c r="BT213" s="81"/>
      <c r="BU213" s="81"/>
      <c r="BV213" s="81"/>
      <c r="BW213" s="81"/>
      <c r="BX213" s="81"/>
      <c r="BY213" s="81"/>
      <c r="BZ213" s="81"/>
      <c r="CA213" s="81"/>
      <c r="CB213" s="81"/>
      <c r="CC213" s="81"/>
      <c r="CD213" s="81"/>
      <c r="CE213" s="81"/>
      <c r="CF213" s="81"/>
      <c r="CG213" s="81"/>
      <c r="CH213" s="81"/>
      <c r="CI213" s="81"/>
      <c r="CJ213" s="81"/>
      <c r="CK213" s="81"/>
      <c r="CL213" s="81"/>
      <c r="CM213" s="81"/>
      <c r="CN213" s="81"/>
      <c r="CO213" s="81"/>
      <c r="CP213" s="81"/>
      <c r="CQ213" s="81"/>
      <c r="CR213" s="81"/>
      <c r="CS213" s="81"/>
      <c r="CT213" s="81"/>
      <c r="CU213" s="81"/>
      <c r="CV213" s="81"/>
      <c r="CW213" s="81"/>
      <c r="CX213" s="81"/>
      <c r="CY213" s="81"/>
      <c r="CZ213" s="81"/>
      <c r="DA213" s="81"/>
      <c r="DB213" s="81"/>
      <c r="DC213" s="81"/>
      <c r="DD213" s="81"/>
      <c r="DE213" s="81"/>
      <c r="DF213" s="81"/>
      <c r="DG213" s="81"/>
      <c r="DH213" s="81"/>
      <c r="DI213" s="81"/>
      <c r="DJ213" s="81"/>
      <c r="DK213" s="81"/>
      <c r="DL213" s="81"/>
      <c r="DM213" s="81"/>
      <c r="DN213" s="81"/>
      <c r="DO213" s="81"/>
      <c r="DP213" s="81"/>
      <c r="DQ213" s="81"/>
      <c r="DR213" s="81"/>
      <c r="DS213" s="81"/>
      <c r="DT213" s="81"/>
      <c r="DU213" s="81"/>
      <c r="DV213" s="81"/>
      <c r="DW213" s="121"/>
    </row>
    <row r="214" spans="1:127" x14ac:dyDescent="0.25">
      <c r="A214" s="2">
        <f>COUNTIF($D$2:D214,'Reporte de Nomina'!$E$2)</f>
        <v>0</v>
      </c>
      <c r="B214" s="125">
        <f>Lista!A213</f>
        <v>0</v>
      </c>
      <c r="C214" s="125">
        <f>Lista!B213</f>
        <v>0</v>
      </c>
      <c r="D214" s="125">
        <f>Lista!C213</f>
        <v>0</v>
      </c>
      <c r="E214" s="125">
        <f>Lista!D213</f>
        <v>0</v>
      </c>
      <c r="F214" s="125">
        <f>Lista!E213</f>
        <v>0</v>
      </c>
      <c r="G214" s="125">
        <f>Lista!F213</f>
        <v>0</v>
      </c>
      <c r="H214" s="125">
        <f>Lista!G213</f>
        <v>0</v>
      </c>
      <c r="I214" s="125">
        <f>Lista!H213</f>
        <v>0</v>
      </c>
      <c r="J214" s="125">
        <f>Lista!I213</f>
        <v>0</v>
      </c>
      <c r="K214" s="125">
        <f>Lista!J213</f>
        <v>0</v>
      </c>
      <c r="L214" s="125">
        <f>Lista!K213</f>
        <v>0</v>
      </c>
      <c r="M214" s="125">
        <f>Lista!L213</f>
        <v>0</v>
      </c>
      <c r="N214" s="125">
        <f>Lista!M213</f>
        <v>0</v>
      </c>
      <c r="O214" s="125">
        <f>Lista!N213</f>
        <v>0</v>
      </c>
      <c r="P214" s="125">
        <f>Lista!O213</f>
        <v>0</v>
      </c>
      <c r="Q214" s="125">
        <f>Lista!P213</f>
        <v>0</v>
      </c>
      <c r="R214" s="125">
        <f>Lista!Q213</f>
        <v>0</v>
      </c>
      <c r="S214" s="125">
        <f>Lista!R213</f>
        <v>0</v>
      </c>
      <c r="T214" s="81"/>
      <c r="U214" s="81"/>
      <c r="V214" s="81"/>
      <c r="W214" s="81"/>
      <c r="X214" s="81"/>
      <c r="Y214" s="81"/>
      <c r="Z214" s="81"/>
      <c r="AA214" s="81"/>
      <c r="AB214" s="81"/>
      <c r="AC214" s="81"/>
      <c r="AD214" s="81"/>
      <c r="AE214" s="81"/>
      <c r="AF214" s="81"/>
      <c r="AG214" s="81"/>
      <c r="AH214" s="81"/>
      <c r="AI214" s="81"/>
      <c r="AJ214" s="81"/>
      <c r="AK214" s="81"/>
      <c r="AL214" s="81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  <c r="BA214" s="81"/>
      <c r="BB214" s="81"/>
      <c r="BC214" s="81"/>
      <c r="BD214" s="81"/>
      <c r="BE214" s="81"/>
      <c r="BF214" s="81"/>
      <c r="BG214" s="81"/>
      <c r="BH214" s="81"/>
      <c r="BI214" s="81"/>
      <c r="BJ214" s="81"/>
      <c r="BK214" s="81"/>
      <c r="BL214" s="81"/>
      <c r="BM214" s="81"/>
      <c r="BN214" s="81"/>
      <c r="BO214" s="81"/>
      <c r="BP214" s="81"/>
      <c r="BQ214" s="81"/>
      <c r="BR214" s="81"/>
      <c r="BS214" s="81"/>
      <c r="BT214" s="81"/>
      <c r="BU214" s="81"/>
      <c r="BV214" s="81"/>
      <c r="BW214" s="81"/>
      <c r="BX214" s="81"/>
      <c r="BY214" s="81"/>
      <c r="BZ214" s="81"/>
      <c r="CA214" s="81"/>
      <c r="CB214" s="81"/>
      <c r="CC214" s="81"/>
      <c r="CD214" s="81"/>
      <c r="CE214" s="81"/>
      <c r="CF214" s="81"/>
      <c r="CG214" s="81"/>
      <c r="CH214" s="81"/>
      <c r="CI214" s="81"/>
      <c r="CJ214" s="81"/>
      <c r="CK214" s="81"/>
      <c r="CL214" s="81"/>
      <c r="CM214" s="81"/>
      <c r="CN214" s="81"/>
      <c r="CO214" s="81"/>
      <c r="CP214" s="81"/>
      <c r="CQ214" s="81"/>
      <c r="CR214" s="81"/>
      <c r="CS214" s="81"/>
      <c r="CT214" s="81"/>
      <c r="CU214" s="81"/>
      <c r="CV214" s="81"/>
      <c r="CW214" s="81"/>
      <c r="CX214" s="81"/>
      <c r="CY214" s="81"/>
      <c r="CZ214" s="81"/>
      <c r="DA214" s="81"/>
      <c r="DB214" s="81"/>
      <c r="DC214" s="81"/>
      <c r="DD214" s="81"/>
      <c r="DE214" s="81"/>
      <c r="DF214" s="81"/>
      <c r="DG214" s="81"/>
      <c r="DH214" s="81"/>
      <c r="DI214" s="81"/>
      <c r="DJ214" s="81"/>
      <c r="DK214" s="81"/>
      <c r="DL214" s="81"/>
      <c r="DM214" s="81"/>
      <c r="DN214" s="81"/>
      <c r="DO214" s="81"/>
      <c r="DP214" s="81"/>
      <c r="DQ214" s="81"/>
      <c r="DR214" s="81"/>
      <c r="DS214" s="81"/>
      <c r="DT214" s="81"/>
      <c r="DU214" s="81"/>
      <c r="DV214" s="81"/>
      <c r="DW214" s="121"/>
    </row>
    <row r="215" spans="1:127" x14ac:dyDescent="0.25">
      <c r="A215" s="2">
        <f>COUNTIF($D$2:D215,'Reporte de Nomina'!$E$2)</f>
        <v>0</v>
      </c>
      <c r="B215" s="125">
        <f>Lista!A214</f>
        <v>0</v>
      </c>
      <c r="C215" s="125">
        <f>Lista!B214</f>
        <v>0</v>
      </c>
      <c r="D215" s="125">
        <f>Lista!C214</f>
        <v>0</v>
      </c>
      <c r="E215" s="125">
        <f>Lista!D214</f>
        <v>0</v>
      </c>
      <c r="F215" s="125">
        <f>Lista!E214</f>
        <v>0</v>
      </c>
      <c r="G215" s="125">
        <f>Lista!F214</f>
        <v>0</v>
      </c>
      <c r="H215" s="125">
        <f>Lista!G214</f>
        <v>0</v>
      </c>
      <c r="I215" s="125">
        <f>Lista!H214</f>
        <v>0</v>
      </c>
      <c r="J215" s="125">
        <f>Lista!I214</f>
        <v>0</v>
      </c>
      <c r="K215" s="125">
        <f>Lista!J214</f>
        <v>0</v>
      </c>
      <c r="L215" s="125">
        <f>Lista!K214</f>
        <v>0</v>
      </c>
      <c r="M215" s="125">
        <f>Lista!L214</f>
        <v>0</v>
      </c>
      <c r="N215" s="125">
        <f>Lista!M214</f>
        <v>0</v>
      </c>
      <c r="O215" s="125">
        <f>Lista!N214</f>
        <v>0</v>
      </c>
      <c r="P215" s="125">
        <f>Lista!O214</f>
        <v>0</v>
      </c>
      <c r="Q215" s="125">
        <f>Lista!P214</f>
        <v>0</v>
      </c>
      <c r="R215" s="125">
        <f>Lista!Q214</f>
        <v>0</v>
      </c>
      <c r="S215" s="125">
        <f>Lista!R214</f>
        <v>0</v>
      </c>
      <c r="T215" s="81"/>
      <c r="U215" s="81"/>
      <c r="V215" s="81"/>
      <c r="W215" s="81"/>
      <c r="X215" s="81"/>
      <c r="Y215" s="81"/>
      <c r="Z215" s="81"/>
      <c r="AA215" s="81"/>
      <c r="AB215" s="81"/>
      <c r="AC215" s="81"/>
      <c r="AD215" s="81"/>
      <c r="AE215" s="81"/>
      <c r="AF215" s="81"/>
      <c r="AG215" s="81"/>
      <c r="AH215" s="81"/>
      <c r="AI215" s="81"/>
      <c r="AJ215" s="81"/>
      <c r="AK215" s="81"/>
      <c r="AL215" s="81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  <c r="BA215" s="81"/>
      <c r="BB215" s="81"/>
      <c r="BC215" s="81"/>
      <c r="BD215" s="81"/>
      <c r="BE215" s="81"/>
      <c r="BF215" s="81"/>
      <c r="BG215" s="81"/>
      <c r="BH215" s="81"/>
      <c r="BI215" s="81"/>
      <c r="BJ215" s="81"/>
      <c r="BK215" s="81"/>
      <c r="BL215" s="81"/>
      <c r="BM215" s="81"/>
      <c r="BN215" s="81"/>
      <c r="BO215" s="81"/>
      <c r="BP215" s="81"/>
      <c r="BQ215" s="81"/>
      <c r="BR215" s="81"/>
      <c r="BS215" s="81"/>
      <c r="BT215" s="81"/>
      <c r="BU215" s="81"/>
      <c r="BV215" s="81"/>
      <c r="BW215" s="81"/>
      <c r="BX215" s="81"/>
      <c r="BY215" s="81"/>
      <c r="BZ215" s="81"/>
      <c r="CA215" s="81"/>
      <c r="CB215" s="81"/>
      <c r="CC215" s="81"/>
      <c r="CD215" s="81"/>
      <c r="CE215" s="81"/>
      <c r="CF215" s="81"/>
      <c r="CG215" s="81"/>
      <c r="CH215" s="81"/>
      <c r="CI215" s="81"/>
      <c r="CJ215" s="81"/>
      <c r="CK215" s="81"/>
      <c r="CL215" s="81"/>
      <c r="CM215" s="81"/>
      <c r="CN215" s="81"/>
      <c r="CO215" s="81"/>
      <c r="CP215" s="81"/>
      <c r="CQ215" s="81"/>
      <c r="CR215" s="81"/>
      <c r="CS215" s="81"/>
      <c r="CT215" s="81"/>
      <c r="CU215" s="81"/>
      <c r="CV215" s="81"/>
      <c r="CW215" s="81"/>
      <c r="CX215" s="81"/>
      <c r="CY215" s="81"/>
      <c r="CZ215" s="81"/>
      <c r="DA215" s="81"/>
      <c r="DB215" s="81"/>
      <c r="DC215" s="81"/>
      <c r="DD215" s="81"/>
      <c r="DE215" s="81"/>
      <c r="DF215" s="81"/>
      <c r="DG215" s="81"/>
      <c r="DH215" s="81"/>
      <c r="DI215" s="81"/>
      <c r="DJ215" s="81"/>
      <c r="DK215" s="81"/>
      <c r="DL215" s="81"/>
      <c r="DM215" s="81"/>
      <c r="DN215" s="81"/>
      <c r="DO215" s="81"/>
      <c r="DP215" s="81"/>
      <c r="DQ215" s="81"/>
      <c r="DR215" s="81"/>
      <c r="DS215" s="81"/>
      <c r="DT215" s="81"/>
      <c r="DU215" s="81"/>
      <c r="DV215" s="81"/>
      <c r="DW215" s="121"/>
    </row>
    <row r="216" spans="1:127" x14ac:dyDescent="0.25">
      <c r="A216" s="2">
        <f>COUNTIF($D$2:D216,'Reporte de Nomina'!$E$2)</f>
        <v>0</v>
      </c>
      <c r="B216" s="125">
        <f>Lista!A215</f>
        <v>0</v>
      </c>
      <c r="C216" s="125">
        <f>Lista!B215</f>
        <v>0</v>
      </c>
      <c r="D216" s="125">
        <f>Lista!C215</f>
        <v>0</v>
      </c>
      <c r="E216" s="125">
        <f>Lista!D215</f>
        <v>0</v>
      </c>
      <c r="F216" s="125">
        <f>Lista!E215</f>
        <v>0</v>
      </c>
      <c r="G216" s="125">
        <f>Lista!F215</f>
        <v>0</v>
      </c>
      <c r="H216" s="125">
        <f>Lista!G215</f>
        <v>0</v>
      </c>
      <c r="I216" s="125">
        <f>Lista!H215</f>
        <v>0</v>
      </c>
      <c r="J216" s="125">
        <f>Lista!I215</f>
        <v>0</v>
      </c>
      <c r="K216" s="125">
        <f>Lista!J215</f>
        <v>0</v>
      </c>
      <c r="L216" s="125">
        <f>Lista!K215</f>
        <v>0</v>
      </c>
      <c r="M216" s="125">
        <f>Lista!L215</f>
        <v>0</v>
      </c>
      <c r="N216" s="125">
        <f>Lista!M215</f>
        <v>0</v>
      </c>
      <c r="O216" s="125">
        <f>Lista!N215</f>
        <v>0</v>
      </c>
      <c r="P216" s="125">
        <f>Lista!O215</f>
        <v>0</v>
      </c>
      <c r="Q216" s="125">
        <f>Lista!P215</f>
        <v>0</v>
      </c>
      <c r="R216" s="125">
        <f>Lista!Q215</f>
        <v>0</v>
      </c>
      <c r="S216" s="125">
        <f>Lista!R215</f>
        <v>0</v>
      </c>
      <c r="T216" s="81"/>
      <c r="U216" s="81"/>
      <c r="V216" s="81"/>
      <c r="W216" s="81"/>
      <c r="X216" s="81"/>
      <c r="Y216" s="81"/>
      <c r="Z216" s="81"/>
      <c r="AA216" s="81"/>
      <c r="AB216" s="81"/>
      <c r="AC216" s="81"/>
      <c r="AD216" s="81"/>
      <c r="AE216" s="81"/>
      <c r="AF216" s="81"/>
      <c r="AG216" s="81"/>
      <c r="AH216" s="81"/>
      <c r="AI216" s="81"/>
      <c r="AJ216" s="81"/>
      <c r="AK216" s="81"/>
      <c r="AL216" s="81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  <c r="BA216" s="81"/>
      <c r="BB216" s="81"/>
      <c r="BC216" s="81"/>
      <c r="BD216" s="81"/>
      <c r="BE216" s="81"/>
      <c r="BF216" s="81"/>
      <c r="BG216" s="81"/>
      <c r="BH216" s="81"/>
      <c r="BI216" s="81"/>
      <c r="BJ216" s="81"/>
      <c r="BK216" s="81"/>
      <c r="BL216" s="81"/>
      <c r="BM216" s="81"/>
      <c r="BN216" s="81"/>
      <c r="BO216" s="81"/>
      <c r="BP216" s="81"/>
      <c r="BQ216" s="81"/>
      <c r="BR216" s="81"/>
      <c r="BS216" s="81"/>
      <c r="BT216" s="81"/>
      <c r="BU216" s="81"/>
      <c r="BV216" s="81"/>
      <c r="BW216" s="81"/>
      <c r="BX216" s="81"/>
      <c r="BY216" s="81"/>
      <c r="BZ216" s="81"/>
      <c r="CA216" s="81"/>
      <c r="CB216" s="81"/>
      <c r="CC216" s="81"/>
      <c r="CD216" s="81"/>
      <c r="CE216" s="81"/>
      <c r="CF216" s="81"/>
      <c r="CG216" s="81"/>
      <c r="CH216" s="81"/>
      <c r="CI216" s="81"/>
      <c r="CJ216" s="81"/>
      <c r="CK216" s="81"/>
      <c r="CL216" s="81"/>
      <c r="CM216" s="81"/>
      <c r="CN216" s="81"/>
      <c r="CO216" s="81"/>
      <c r="CP216" s="81"/>
      <c r="CQ216" s="81"/>
      <c r="CR216" s="81"/>
      <c r="CS216" s="81"/>
      <c r="CT216" s="81"/>
      <c r="CU216" s="81"/>
      <c r="CV216" s="81"/>
      <c r="CW216" s="81"/>
      <c r="CX216" s="81"/>
      <c r="CY216" s="81"/>
      <c r="CZ216" s="81"/>
      <c r="DA216" s="81"/>
      <c r="DB216" s="81"/>
      <c r="DC216" s="81"/>
      <c r="DD216" s="81"/>
      <c r="DE216" s="81"/>
      <c r="DF216" s="81"/>
      <c r="DG216" s="81"/>
      <c r="DH216" s="81"/>
      <c r="DI216" s="81"/>
      <c r="DJ216" s="81"/>
      <c r="DK216" s="81"/>
      <c r="DL216" s="81"/>
      <c r="DM216" s="81"/>
      <c r="DN216" s="81"/>
      <c r="DO216" s="81"/>
      <c r="DP216" s="81"/>
      <c r="DQ216" s="81"/>
      <c r="DR216" s="81"/>
      <c r="DS216" s="81"/>
      <c r="DT216" s="81"/>
      <c r="DU216" s="81"/>
      <c r="DV216" s="81"/>
      <c r="DW216" s="121"/>
    </row>
    <row r="217" spans="1:127" x14ac:dyDescent="0.25">
      <c r="A217" s="2">
        <f>COUNTIF($D$2:D217,'Reporte de Nomina'!$E$2)</f>
        <v>0</v>
      </c>
      <c r="B217" s="125">
        <f>Lista!A216</f>
        <v>0</v>
      </c>
      <c r="C217" s="125">
        <f>Lista!B216</f>
        <v>0</v>
      </c>
      <c r="D217" s="125">
        <f>Lista!C216</f>
        <v>0</v>
      </c>
      <c r="E217" s="125">
        <f>Lista!D216</f>
        <v>0</v>
      </c>
      <c r="F217" s="125">
        <f>Lista!E216</f>
        <v>0</v>
      </c>
      <c r="G217" s="125">
        <f>Lista!F216</f>
        <v>0</v>
      </c>
      <c r="H217" s="125">
        <f>Lista!G216</f>
        <v>0</v>
      </c>
      <c r="I217" s="125">
        <f>Lista!H216</f>
        <v>0</v>
      </c>
      <c r="J217" s="125">
        <f>Lista!I216</f>
        <v>0</v>
      </c>
      <c r="K217" s="125">
        <f>Lista!J216</f>
        <v>0</v>
      </c>
      <c r="L217" s="125">
        <f>Lista!K216</f>
        <v>0</v>
      </c>
      <c r="M217" s="125">
        <f>Lista!L216</f>
        <v>0</v>
      </c>
      <c r="N217" s="125">
        <f>Lista!M216</f>
        <v>0</v>
      </c>
      <c r="O217" s="125">
        <f>Lista!N216</f>
        <v>0</v>
      </c>
      <c r="P217" s="125">
        <f>Lista!O216</f>
        <v>0</v>
      </c>
      <c r="Q217" s="125">
        <f>Lista!P216</f>
        <v>0</v>
      </c>
      <c r="R217" s="125">
        <f>Lista!Q216</f>
        <v>0</v>
      </c>
      <c r="S217" s="125">
        <f>Lista!R216</f>
        <v>0</v>
      </c>
      <c r="T217" s="81"/>
      <c r="U217" s="81"/>
      <c r="V217" s="81"/>
      <c r="W217" s="81"/>
      <c r="X217" s="81"/>
      <c r="Y217" s="81"/>
      <c r="Z217" s="81"/>
      <c r="AA217" s="81"/>
      <c r="AB217" s="81"/>
      <c r="AC217" s="81"/>
      <c r="AD217" s="81"/>
      <c r="AE217" s="81"/>
      <c r="AF217" s="81"/>
      <c r="AG217" s="81"/>
      <c r="AH217" s="81"/>
      <c r="AI217" s="81"/>
      <c r="AJ217" s="81"/>
      <c r="AK217" s="81"/>
      <c r="AL217" s="81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  <c r="BA217" s="81"/>
      <c r="BB217" s="81"/>
      <c r="BC217" s="81"/>
      <c r="BD217" s="81"/>
      <c r="BE217" s="81"/>
      <c r="BF217" s="81"/>
      <c r="BG217" s="81"/>
      <c r="BH217" s="81"/>
      <c r="BI217" s="81"/>
      <c r="BJ217" s="81"/>
      <c r="BK217" s="81"/>
      <c r="BL217" s="81"/>
      <c r="BM217" s="81"/>
      <c r="BN217" s="81"/>
      <c r="BO217" s="81"/>
      <c r="BP217" s="81"/>
      <c r="BQ217" s="81"/>
      <c r="BR217" s="81"/>
      <c r="BS217" s="81"/>
      <c r="BT217" s="81"/>
      <c r="BU217" s="81"/>
      <c r="BV217" s="81"/>
      <c r="BW217" s="81"/>
      <c r="BX217" s="81"/>
      <c r="BY217" s="81"/>
      <c r="BZ217" s="81"/>
      <c r="CA217" s="81"/>
      <c r="CB217" s="81"/>
      <c r="CC217" s="81"/>
      <c r="CD217" s="81"/>
      <c r="CE217" s="81"/>
      <c r="CF217" s="81"/>
      <c r="CG217" s="81"/>
      <c r="CH217" s="81"/>
      <c r="CI217" s="81"/>
      <c r="CJ217" s="81"/>
      <c r="CK217" s="81"/>
      <c r="CL217" s="81"/>
      <c r="CM217" s="81"/>
      <c r="CN217" s="81"/>
      <c r="CO217" s="81"/>
      <c r="CP217" s="81"/>
      <c r="CQ217" s="81"/>
      <c r="CR217" s="81"/>
      <c r="CS217" s="81"/>
      <c r="CT217" s="81"/>
      <c r="CU217" s="81"/>
      <c r="CV217" s="81"/>
      <c r="CW217" s="81"/>
      <c r="CX217" s="81"/>
      <c r="CY217" s="81"/>
      <c r="CZ217" s="81"/>
      <c r="DA217" s="81"/>
      <c r="DB217" s="81"/>
      <c r="DC217" s="81"/>
      <c r="DD217" s="81"/>
      <c r="DE217" s="81"/>
      <c r="DF217" s="81"/>
      <c r="DG217" s="81"/>
      <c r="DH217" s="81"/>
      <c r="DI217" s="81"/>
      <c r="DJ217" s="81"/>
      <c r="DK217" s="81"/>
      <c r="DL217" s="81"/>
      <c r="DM217" s="81"/>
      <c r="DN217" s="81"/>
      <c r="DO217" s="81"/>
      <c r="DP217" s="81"/>
      <c r="DQ217" s="81"/>
      <c r="DR217" s="81"/>
      <c r="DS217" s="81"/>
      <c r="DT217" s="81"/>
      <c r="DU217" s="81"/>
      <c r="DV217" s="81"/>
      <c r="DW217" s="121"/>
    </row>
    <row r="218" spans="1:127" x14ac:dyDescent="0.25">
      <c r="A218" s="2">
        <f>COUNTIF($D$2:D218,'Reporte de Nomina'!$E$2)</f>
        <v>0</v>
      </c>
      <c r="B218" s="125">
        <f>Lista!A217</f>
        <v>0</v>
      </c>
      <c r="C218" s="125">
        <f>Lista!B217</f>
        <v>0</v>
      </c>
      <c r="D218" s="125">
        <f>Lista!C217</f>
        <v>0</v>
      </c>
      <c r="E218" s="125">
        <f>Lista!D217</f>
        <v>0</v>
      </c>
      <c r="F218" s="125">
        <f>Lista!E217</f>
        <v>0</v>
      </c>
      <c r="G218" s="125">
        <f>Lista!F217</f>
        <v>0</v>
      </c>
      <c r="H218" s="125">
        <f>Lista!G217</f>
        <v>0</v>
      </c>
      <c r="I218" s="125">
        <f>Lista!H217</f>
        <v>0</v>
      </c>
      <c r="J218" s="125">
        <f>Lista!I217</f>
        <v>0</v>
      </c>
      <c r="K218" s="125">
        <f>Lista!J217</f>
        <v>0</v>
      </c>
      <c r="L218" s="125">
        <f>Lista!K217</f>
        <v>0</v>
      </c>
      <c r="M218" s="125">
        <f>Lista!L217</f>
        <v>0</v>
      </c>
      <c r="N218" s="125">
        <f>Lista!M217</f>
        <v>0</v>
      </c>
      <c r="O218" s="125">
        <f>Lista!N217</f>
        <v>0</v>
      </c>
      <c r="P218" s="125">
        <f>Lista!O217</f>
        <v>0</v>
      </c>
      <c r="Q218" s="125">
        <f>Lista!P217</f>
        <v>0</v>
      </c>
      <c r="R218" s="125">
        <f>Lista!Q217</f>
        <v>0</v>
      </c>
      <c r="S218" s="125">
        <f>Lista!R217</f>
        <v>0</v>
      </c>
      <c r="T218" s="81"/>
      <c r="U218" s="81"/>
      <c r="V218" s="81"/>
      <c r="W218" s="81"/>
      <c r="X218" s="81"/>
      <c r="Y218" s="81"/>
      <c r="Z218" s="81"/>
      <c r="AA218" s="81"/>
      <c r="AB218" s="81"/>
      <c r="AC218" s="81"/>
      <c r="AD218" s="81"/>
      <c r="AE218" s="81"/>
      <c r="AF218" s="81"/>
      <c r="AG218" s="81"/>
      <c r="AH218" s="81"/>
      <c r="AI218" s="81"/>
      <c r="AJ218" s="81"/>
      <c r="AK218" s="81"/>
      <c r="AL218" s="81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  <c r="BA218" s="81"/>
      <c r="BB218" s="81"/>
      <c r="BC218" s="81"/>
      <c r="BD218" s="81"/>
      <c r="BE218" s="81"/>
      <c r="BF218" s="81"/>
      <c r="BG218" s="81"/>
      <c r="BH218" s="81"/>
      <c r="BI218" s="81"/>
      <c r="BJ218" s="81"/>
      <c r="BK218" s="81"/>
      <c r="BL218" s="81"/>
      <c r="BM218" s="81"/>
      <c r="BN218" s="81"/>
      <c r="BO218" s="81"/>
      <c r="BP218" s="81"/>
      <c r="BQ218" s="81"/>
      <c r="BR218" s="81"/>
      <c r="BS218" s="81"/>
      <c r="BT218" s="81"/>
      <c r="BU218" s="81"/>
      <c r="BV218" s="81"/>
      <c r="BW218" s="81"/>
      <c r="BX218" s="81"/>
      <c r="BY218" s="81"/>
      <c r="BZ218" s="81"/>
      <c r="CA218" s="81"/>
      <c r="CB218" s="81"/>
      <c r="CC218" s="81"/>
      <c r="CD218" s="81"/>
      <c r="CE218" s="81"/>
      <c r="CF218" s="81"/>
      <c r="CG218" s="81"/>
      <c r="CH218" s="81"/>
      <c r="CI218" s="81"/>
      <c r="CJ218" s="81"/>
      <c r="CK218" s="81"/>
      <c r="CL218" s="81"/>
      <c r="CM218" s="81"/>
      <c r="CN218" s="81"/>
      <c r="CO218" s="81"/>
      <c r="CP218" s="81"/>
      <c r="CQ218" s="81"/>
      <c r="CR218" s="81"/>
      <c r="CS218" s="81"/>
      <c r="CT218" s="81"/>
      <c r="CU218" s="81"/>
      <c r="CV218" s="81"/>
      <c r="CW218" s="81"/>
      <c r="CX218" s="81"/>
      <c r="CY218" s="81"/>
      <c r="CZ218" s="81"/>
      <c r="DA218" s="81"/>
      <c r="DB218" s="81"/>
      <c r="DC218" s="81"/>
      <c r="DD218" s="81"/>
      <c r="DE218" s="81"/>
      <c r="DF218" s="81"/>
      <c r="DG218" s="81"/>
      <c r="DH218" s="81"/>
      <c r="DI218" s="81"/>
      <c r="DJ218" s="81"/>
      <c r="DK218" s="81"/>
      <c r="DL218" s="81"/>
      <c r="DM218" s="81"/>
      <c r="DN218" s="81"/>
      <c r="DO218" s="81"/>
      <c r="DP218" s="81"/>
      <c r="DQ218" s="81"/>
      <c r="DR218" s="81"/>
      <c r="DS218" s="81"/>
      <c r="DT218" s="81"/>
      <c r="DU218" s="81"/>
      <c r="DV218" s="81"/>
      <c r="DW218" s="121"/>
    </row>
    <row r="219" spans="1:127" x14ac:dyDescent="0.25">
      <c r="A219" s="2">
        <f>COUNTIF($D$2:D219,'Reporte de Nomina'!$E$2)</f>
        <v>0</v>
      </c>
      <c r="B219" s="125">
        <f>Lista!A218</f>
        <v>0</v>
      </c>
      <c r="C219" s="125">
        <f>Lista!B218</f>
        <v>0</v>
      </c>
      <c r="D219" s="125">
        <f>Lista!C218</f>
        <v>0</v>
      </c>
      <c r="E219" s="125">
        <f>Lista!D218</f>
        <v>0</v>
      </c>
      <c r="F219" s="125">
        <f>Lista!E218</f>
        <v>0</v>
      </c>
      <c r="G219" s="125">
        <f>Lista!F218</f>
        <v>0</v>
      </c>
      <c r="H219" s="125">
        <f>Lista!G218</f>
        <v>0</v>
      </c>
      <c r="I219" s="125">
        <f>Lista!H218</f>
        <v>0</v>
      </c>
      <c r="J219" s="125">
        <f>Lista!I218</f>
        <v>0</v>
      </c>
      <c r="K219" s="125">
        <f>Lista!J218</f>
        <v>0</v>
      </c>
      <c r="L219" s="125">
        <f>Lista!K218</f>
        <v>0</v>
      </c>
      <c r="M219" s="125">
        <f>Lista!L218</f>
        <v>0</v>
      </c>
      <c r="N219" s="125">
        <f>Lista!M218</f>
        <v>0</v>
      </c>
      <c r="O219" s="125">
        <f>Lista!N218</f>
        <v>0</v>
      </c>
      <c r="P219" s="125">
        <f>Lista!O218</f>
        <v>0</v>
      </c>
      <c r="Q219" s="125">
        <f>Lista!P218</f>
        <v>0</v>
      </c>
      <c r="R219" s="125">
        <f>Lista!Q218</f>
        <v>0</v>
      </c>
      <c r="S219" s="125">
        <f>Lista!R218</f>
        <v>0</v>
      </c>
      <c r="T219" s="81"/>
      <c r="U219" s="81"/>
      <c r="V219" s="81"/>
      <c r="W219" s="81"/>
      <c r="X219" s="81"/>
      <c r="Y219" s="81"/>
      <c r="Z219" s="81"/>
      <c r="AA219" s="81"/>
      <c r="AB219" s="81"/>
      <c r="AC219" s="81"/>
      <c r="AD219" s="81"/>
      <c r="AE219" s="81"/>
      <c r="AF219" s="81"/>
      <c r="AG219" s="81"/>
      <c r="AH219" s="81"/>
      <c r="AI219" s="81"/>
      <c r="AJ219" s="81"/>
      <c r="AK219" s="81"/>
      <c r="AL219" s="81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  <c r="BA219" s="81"/>
      <c r="BB219" s="81"/>
      <c r="BC219" s="81"/>
      <c r="BD219" s="81"/>
      <c r="BE219" s="81"/>
      <c r="BF219" s="81"/>
      <c r="BG219" s="81"/>
      <c r="BH219" s="81"/>
      <c r="BI219" s="81"/>
      <c r="BJ219" s="81"/>
      <c r="BK219" s="81"/>
      <c r="BL219" s="81"/>
      <c r="BM219" s="81"/>
      <c r="BN219" s="81"/>
      <c r="BO219" s="81"/>
      <c r="BP219" s="81"/>
      <c r="BQ219" s="81"/>
      <c r="BR219" s="81"/>
      <c r="BS219" s="81"/>
      <c r="BT219" s="81"/>
      <c r="BU219" s="81"/>
      <c r="BV219" s="81"/>
      <c r="BW219" s="81"/>
      <c r="BX219" s="81"/>
      <c r="BY219" s="81"/>
      <c r="BZ219" s="81"/>
      <c r="CA219" s="81"/>
      <c r="CB219" s="81"/>
      <c r="CC219" s="81"/>
      <c r="CD219" s="81"/>
      <c r="CE219" s="81"/>
      <c r="CF219" s="81"/>
      <c r="CG219" s="81"/>
      <c r="CH219" s="81"/>
      <c r="CI219" s="81"/>
      <c r="CJ219" s="81"/>
      <c r="CK219" s="81"/>
      <c r="CL219" s="81"/>
      <c r="CM219" s="81"/>
      <c r="CN219" s="81"/>
      <c r="CO219" s="81"/>
      <c r="CP219" s="81"/>
      <c r="CQ219" s="81"/>
      <c r="CR219" s="81"/>
      <c r="CS219" s="81"/>
      <c r="CT219" s="81"/>
      <c r="CU219" s="81"/>
      <c r="CV219" s="81"/>
      <c r="CW219" s="81"/>
      <c r="CX219" s="81"/>
      <c r="CY219" s="81"/>
      <c r="CZ219" s="81"/>
      <c r="DA219" s="81"/>
      <c r="DB219" s="81"/>
      <c r="DC219" s="81"/>
      <c r="DD219" s="81"/>
      <c r="DE219" s="81"/>
      <c r="DF219" s="81"/>
      <c r="DG219" s="81"/>
      <c r="DH219" s="81"/>
      <c r="DI219" s="81"/>
      <c r="DJ219" s="81"/>
      <c r="DK219" s="81"/>
      <c r="DL219" s="81"/>
      <c r="DM219" s="81"/>
      <c r="DN219" s="81"/>
      <c r="DO219" s="81"/>
      <c r="DP219" s="81"/>
      <c r="DQ219" s="81"/>
      <c r="DR219" s="81"/>
      <c r="DS219" s="81"/>
      <c r="DT219" s="81"/>
      <c r="DU219" s="81"/>
      <c r="DV219" s="81"/>
      <c r="DW219" s="121"/>
    </row>
    <row r="220" spans="1:127" x14ac:dyDescent="0.25">
      <c r="A220" s="2">
        <f>COUNTIF($D$2:D220,'Reporte de Nomina'!$E$2)</f>
        <v>0</v>
      </c>
      <c r="B220" s="125">
        <f>Lista!A219</f>
        <v>0</v>
      </c>
      <c r="C220" s="125">
        <f>Lista!B219</f>
        <v>0</v>
      </c>
      <c r="D220" s="125">
        <f>Lista!C219</f>
        <v>0</v>
      </c>
      <c r="E220" s="125">
        <f>Lista!D219</f>
        <v>0</v>
      </c>
      <c r="F220" s="125">
        <f>Lista!E219</f>
        <v>0</v>
      </c>
      <c r="G220" s="125">
        <f>Lista!F219</f>
        <v>0</v>
      </c>
      <c r="H220" s="125">
        <f>Lista!G219</f>
        <v>0</v>
      </c>
      <c r="I220" s="125">
        <f>Lista!H219</f>
        <v>0</v>
      </c>
      <c r="J220" s="125">
        <f>Lista!I219</f>
        <v>0</v>
      </c>
      <c r="K220" s="125">
        <f>Lista!J219</f>
        <v>0</v>
      </c>
      <c r="L220" s="125">
        <f>Lista!K219</f>
        <v>0</v>
      </c>
      <c r="M220" s="125">
        <f>Lista!L219</f>
        <v>0</v>
      </c>
      <c r="N220" s="125">
        <f>Lista!M219</f>
        <v>0</v>
      </c>
      <c r="O220" s="125">
        <f>Lista!N219</f>
        <v>0</v>
      </c>
      <c r="P220" s="125">
        <f>Lista!O219</f>
        <v>0</v>
      </c>
      <c r="Q220" s="125">
        <f>Lista!P219</f>
        <v>0</v>
      </c>
      <c r="R220" s="125">
        <f>Lista!Q219</f>
        <v>0</v>
      </c>
      <c r="S220" s="125">
        <f>Lista!R219</f>
        <v>0</v>
      </c>
      <c r="T220" s="81"/>
      <c r="U220" s="81"/>
      <c r="V220" s="81"/>
      <c r="W220" s="81"/>
      <c r="X220" s="81"/>
      <c r="Y220" s="81"/>
      <c r="Z220" s="81"/>
      <c r="AA220" s="81"/>
      <c r="AB220" s="81"/>
      <c r="AC220" s="81"/>
      <c r="AD220" s="81"/>
      <c r="AE220" s="81"/>
      <c r="AF220" s="81"/>
      <c r="AG220" s="81"/>
      <c r="AH220" s="81"/>
      <c r="AI220" s="81"/>
      <c r="AJ220" s="81"/>
      <c r="AK220" s="81"/>
      <c r="AL220" s="81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  <c r="BA220" s="81"/>
      <c r="BB220" s="81"/>
      <c r="BC220" s="81"/>
      <c r="BD220" s="81"/>
      <c r="BE220" s="81"/>
      <c r="BF220" s="81"/>
      <c r="BG220" s="81"/>
      <c r="BH220" s="81"/>
      <c r="BI220" s="81"/>
      <c r="BJ220" s="81"/>
      <c r="BK220" s="81"/>
      <c r="BL220" s="81"/>
      <c r="BM220" s="81"/>
      <c r="BN220" s="81"/>
      <c r="BO220" s="81"/>
      <c r="BP220" s="81"/>
      <c r="BQ220" s="81"/>
      <c r="BR220" s="81"/>
      <c r="BS220" s="81"/>
      <c r="BT220" s="81"/>
      <c r="BU220" s="81"/>
      <c r="BV220" s="81"/>
      <c r="BW220" s="81"/>
      <c r="BX220" s="81"/>
      <c r="BY220" s="81"/>
      <c r="BZ220" s="81"/>
      <c r="CA220" s="81"/>
      <c r="CB220" s="81"/>
      <c r="CC220" s="81"/>
      <c r="CD220" s="81"/>
      <c r="CE220" s="81"/>
      <c r="CF220" s="81"/>
      <c r="CG220" s="81"/>
      <c r="CH220" s="81"/>
      <c r="CI220" s="81"/>
      <c r="CJ220" s="81"/>
      <c r="CK220" s="81"/>
      <c r="CL220" s="81"/>
      <c r="CM220" s="81"/>
      <c r="CN220" s="81"/>
      <c r="CO220" s="81"/>
      <c r="CP220" s="81"/>
      <c r="CQ220" s="81"/>
      <c r="CR220" s="81"/>
      <c r="CS220" s="81"/>
      <c r="CT220" s="81"/>
      <c r="CU220" s="81"/>
      <c r="CV220" s="81"/>
      <c r="CW220" s="81"/>
      <c r="CX220" s="81"/>
      <c r="CY220" s="81"/>
      <c r="CZ220" s="81"/>
      <c r="DA220" s="81"/>
      <c r="DB220" s="81"/>
      <c r="DC220" s="81"/>
      <c r="DD220" s="81"/>
      <c r="DE220" s="81"/>
      <c r="DF220" s="81"/>
      <c r="DG220" s="81"/>
      <c r="DH220" s="81"/>
      <c r="DI220" s="81"/>
      <c r="DJ220" s="81"/>
      <c r="DK220" s="81"/>
      <c r="DL220" s="81"/>
      <c r="DM220" s="81"/>
      <c r="DN220" s="81"/>
      <c r="DO220" s="81"/>
      <c r="DP220" s="81"/>
      <c r="DQ220" s="81"/>
      <c r="DR220" s="81"/>
      <c r="DS220" s="81"/>
      <c r="DT220" s="81"/>
      <c r="DU220" s="81"/>
      <c r="DV220" s="81"/>
      <c r="DW220" s="121"/>
    </row>
    <row r="221" spans="1:127" x14ac:dyDescent="0.25">
      <c r="A221" s="2">
        <f>COUNTIF($D$2:D221,'Reporte de Nomina'!$E$2)</f>
        <v>0</v>
      </c>
      <c r="B221" s="125">
        <f>Lista!A220</f>
        <v>0</v>
      </c>
      <c r="C221" s="125">
        <f>Lista!B220</f>
        <v>0</v>
      </c>
      <c r="D221" s="125">
        <f>Lista!C220</f>
        <v>0</v>
      </c>
      <c r="E221" s="125">
        <f>Lista!D220</f>
        <v>0</v>
      </c>
      <c r="F221" s="125">
        <f>Lista!E220</f>
        <v>0</v>
      </c>
      <c r="G221" s="125">
        <f>Lista!F220</f>
        <v>0</v>
      </c>
      <c r="H221" s="125">
        <f>Lista!G220</f>
        <v>0</v>
      </c>
      <c r="I221" s="125">
        <f>Lista!H220</f>
        <v>0</v>
      </c>
      <c r="J221" s="125">
        <f>Lista!I220</f>
        <v>0</v>
      </c>
      <c r="K221" s="125">
        <f>Lista!J220</f>
        <v>0</v>
      </c>
      <c r="L221" s="125">
        <f>Lista!K220</f>
        <v>0</v>
      </c>
      <c r="M221" s="125">
        <f>Lista!L220</f>
        <v>0</v>
      </c>
      <c r="N221" s="125">
        <f>Lista!M220</f>
        <v>0</v>
      </c>
      <c r="O221" s="125">
        <f>Lista!N220</f>
        <v>0</v>
      </c>
      <c r="P221" s="125">
        <f>Lista!O220</f>
        <v>0</v>
      </c>
      <c r="Q221" s="125">
        <f>Lista!P220</f>
        <v>0</v>
      </c>
      <c r="R221" s="125">
        <f>Lista!Q220</f>
        <v>0</v>
      </c>
      <c r="S221" s="125">
        <f>Lista!R220</f>
        <v>0</v>
      </c>
      <c r="T221" s="81"/>
      <c r="U221" s="81"/>
      <c r="V221" s="81"/>
      <c r="W221" s="81"/>
      <c r="X221" s="81"/>
      <c r="Y221" s="81"/>
      <c r="Z221" s="81"/>
      <c r="AA221" s="81"/>
      <c r="AB221" s="81"/>
      <c r="AC221" s="81"/>
      <c r="AD221" s="81"/>
      <c r="AE221" s="81"/>
      <c r="AF221" s="81"/>
      <c r="AG221" s="81"/>
      <c r="AH221" s="81"/>
      <c r="AI221" s="81"/>
      <c r="AJ221" s="81"/>
      <c r="AK221" s="81"/>
      <c r="AL221" s="81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  <c r="BA221" s="81"/>
      <c r="BB221" s="81"/>
      <c r="BC221" s="81"/>
      <c r="BD221" s="81"/>
      <c r="BE221" s="81"/>
      <c r="BF221" s="81"/>
      <c r="BG221" s="81"/>
      <c r="BH221" s="81"/>
      <c r="BI221" s="81"/>
      <c r="BJ221" s="81"/>
      <c r="BK221" s="81"/>
      <c r="BL221" s="81"/>
      <c r="BM221" s="81"/>
      <c r="BN221" s="81"/>
      <c r="BO221" s="81"/>
      <c r="BP221" s="81"/>
      <c r="BQ221" s="81"/>
      <c r="BR221" s="81"/>
      <c r="BS221" s="81"/>
      <c r="BT221" s="81"/>
      <c r="BU221" s="81"/>
      <c r="BV221" s="81"/>
      <c r="BW221" s="81"/>
      <c r="BX221" s="81"/>
      <c r="BY221" s="81"/>
      <c r="BZ221" s="81"/>
      <c r="CA221" s="81"/>
      <c r="CB221" s="81"/>
      <c r="CC221" s="81"/>
      <c r="CD221" s="81"/>
      <c r="CE221" s="81"/>
      <c r="CF221" s="81"/>
      <c r="CG221" s="81"/>
      <c r="CH221" s="81"/>
      <c r="CI221" s="81"/>
      <c r="CJ221" s="81"/>
      <c r="CK221" s="81"/>
      <c r="CL221" s="81"/>
      <c r="CM221" s="81"/>
      <c r="CN221" s="81"/>
      <c r="CO221" s="81"/>
      <c r="CP221" s="81"/>
      <c r="CQ221" s="81"/>
      <c r="CR221" s="81"/>
      <c r="CS221" s="81"/>
      <c r="CT221" s="81"/>
      <c r="CU221" s="81"/>
      <c r="CV221" s="81"/>
      <c r="CW221" s="81"/>
      <c r="CX221" s="81"/>
      <c r="CY221" s="81"/>
      <c r="CZ221" s="81"/>
      <c r="DA221" s="81"/>
      <c r="DB221" s="81"/>
      <c r="DC221" s="81"/>
      <c r="DD221" s="81"/>
      <c r="DE221" s="81"/>
      <c r="DF221" s="81"/>
      <c r="DG221" s="81"/>
      <c r="DH221" s="81"/>
      <c r="DI221" s="81"/>
      <c r="DJ221" s="81"/>
      <c r="DK221" s="81"/>
      <c r="DL221" s="81"/>
      <c r="DM221" s="81"/>
      <c r="DN221" s="81"/>
      <c r="DO221" s="81"/>
      <c r="DP221" s="81"/>
      <c r="DQ221" s="81"/>
      <c r="DR221" s="81"/>
      <c r="DS221" s="81"/>
      <c r="DT221" s="81"/>
      <c r="DU221" s="81"/>
      <c r="DV221" s="81"/>
      <c r="DW221" s="121"/>
    </row>
    <row r="222" spans="1:127" x14ac:dyDescent="0.25">
      <c r="A222" s="2">
        <f>COUNTIF($D$2:D222,'Reporte de Nomina'!$E$2)</f>
        <v>0</v>
      </c>
      <c r="B222" s="125">
        <f>Lista!A221</f>
        <v>0</v>
      </c>
      <c r="C222" s="125">
        <f>Lista!B221</f>
        <v>0</v>
      </c>
      <c r="D222" s="125">
        <f>Lista!C221</f>
        <v>0</v>
      </c>
      <c r="E222" s="125">
        <f>Lista!D221</f>
        <v>0</v>
      </c>
      <c r="F222" s="125">
        <f>Lista!E221</f>
        <v>0</v>
      </c>
      <c r="G222" s="125">
        <f>Lista!F221</f>
        <v>0</v>
      </c>
      <c r="H222" s="125">
        <f>Lista!G221</f>
        <v>0</v>
      </c>
      <c r="I222" s="125">
        <f>Lista!H221</f>
        <v>0</v>
      </c>
      <c r="J222" s="125">
        <f>Lista!I221</f>
        <v>0</v>
      </c>
      <c r="K222" s="125">
        <f>Lista!J221</f>
        <v>0</v>
      </c>
      <c r="L222" s="125">
        <f>Lista!K221</f>
        <v>0</v>
      </c>
      <c r="M222" s="125">
        <f>Lista!L221</f>
        <v>0</v>
      </c>
      <c r="N222" s="125">
        <f>Lista!M221</f>
        <v>0</v>
      </c>
      <c r="O222" s="125">
        <f>Lista!N221</f>
        <v>0</v>
      </c>
      <c r="P222" s="125">
        <f>Lista!O221</f>
        <v>0</v>
      </c>
      <c r="Q222" s="125">
        <f>Lista!P221</f>
        <v>0</v>
      </c>
      <c r="R222" s="125">
        <f>Lista!Q221</f>
        <v>0</v>
      </c>
      <c r="S222" s="125">
        <f>Lista!R221</f>
        <v>0</v>
      </c>
      <c r="T222" s="81"/>
      <c r="U222" s="81"/>
      <c r="V222" s="81"/>
      <c r="W222" s="81"/>
      <c r="X222" s="81"/>
      <c r="Y222" s="81"/>
      <c r="Z222" s="81"/>
      <c r="AA222" s="81"/>
      <c r="AB222" s="81"/>
      <c r="AC222" s="81"/>
      <c r="AD222" s="81"/>
      <c r="AE222" s="81"/>
      <c r="AF222" s="81"/>
      <c r="AG222" s="81"/>
      <c r="AH222" s="81"/>
      <c r="AI222" s="81"/>
      <c r="AJ222" s="81"/>
      <c r="AK222" s="81"/>
      <c r="AL222" s="81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  <c r="BA222" s="81"/>
      <c r="BB222" s="81"/>
      <c r="BC222" s="81"/>
      <c r="BD222" s="81"/>
      <c r="BE222" s="81"/>
      <c r="BF222" s="81"/>
      <c r="BG222" s="81"/>
      <c r="BH222" s="81"/>
      <c r="BI222" s="81"/>
      <c r="BJ222" s="81"/>
      <c r="BK222" s="81"/>
      <c r="BL222" s="81"/>
      <c r="BM222" s="81"/>
      <c r="BN222" s="81"/>
      <c r="BO222" s="81"/>
      <c r="BP222" s="81"/>
      <c r="BQ222" s="81"/>
      <c r="BR222" s="81"/>
      <c r="BS222" s="81"/>
      <c r="BT222" s="81"/>
      <c r="BU222" s="81"/>
      <c r="BV222" s="81"/>
      <c r="BW222" s="81"/>
      <c r="BX222" s="81"/>
      <c r="BY222" s="81"/>
      <c r="BZ222" s="81"/>
      <c r="CA222" s="81"/>
      <c r="CB222" s="81"/>
      <c r="CC222" s="81"/>
      <c r="CD222" s="81"/>
      <c r="CE222" s="81"/>
      <c r="CF222" s="81"/>
      <c r="CG222" s="81"/>
      <c r="CH222" s="81"/>
      <c r="CI222" s="81"/>
      <c r="CJ222" s="81"/>
      <c r="CK222" s="81"/>
      <c r="CL222" s="81"/>
      <c r="CM222" s="81"/>
      <c r="CN222" s="81"/>
      <c r="CO222" s="81"/>
      <c r="CP222" s="81"/>
      <c r="CQ222" s="81"/>
      <c r="CR222" s="81"/>
      <c r="CS222" s="81"/>
      <c r="CT222" s="81"/>
      <c r="CU222" s="81"/>
      <c r="CV222" s="81"/>
      <c r="CW222" s="81"/>
      <c r="CX222" s="81"/>
      <c r="CY222" s="81"/>
      <c r="CZ222" s="81"/>
      <c r="DA222" s="81"/>
      <c r="DB222" s="81"/>
      <c r="DC222" s="81"/>
      <c r="DD222" s="81"/>
      <c r="DE222" s="81"/>
      <c r="DF222" s="81"/>
      <c r="DG222" s="81"/>
      <c r="DH222" s="81"/>
      <c r="DI222" s="81"/>
      <c r="DJ222" s="81"/>
      <c r="DK222" s="81"/>
      <c r="DL222" s="81"/>
      <c r="DM222" s="81"/>
      <c r="DN222" s="81"/>
      <c r="DO222" s="81"/>
      <c r="DP222" s="81"/>
      <c r="DQ222" s="81"/>
      <c r="DR222" s="81"/>
      <c r="DS222" s="81"/>
      <c r="DT222" s="81"/>
      <c r="DU222" s="81"/>
      <c r="DV222" s="81"/>
      <c r="DW222" s="121"/>
    </row>
    <row r="223" spans="1:127" x14ac:dyDescent="0.25">
      <c r="A223" s="2">
        <f>COUNTIF($D$2:D223,'Reporte de Nomina'!$E$2)</f>
        <v>0</v>
      </c>
      <c r="B223" s="125">
        <f>Lista!A222</f>
        <v>0</v>
      </c>
      <c r="C223" s="125">
        <f>Lista!B222</f>
        <v>0</v>
      </c>
      <c r="D223" s="125">
        <f>Lista!C222</f>
        <v>0</v>
      </c>
      <c r="E223" s="125">
        <f>Lista!D222</f>
        <v>0</v>
      </c>
      <c r="F223" s="125">
        <f>Lista!E222</f>
        <v>0</v>
      </c>
      <c r="G223" s="125">
        <f>Lista!F222</f>
        <v>0</v>
      </c>
      <c r="H223" s="125">
        <f>Lista!G222</f>
        <v>0</v>
      </c>
      <c r="I223" s="125">
        <f>Lista!H222</f>
        <v>0</v>
      </c>
      <c r="J223" s="125">
        <f>Lista!I222</f>
        <v>0</v>
      </c>
      <c r="K223" s="125">
        <f>Lista!J222</f>
        <v>0</v>
      </c>
      <c r="L223" s="125">
        <f>Lista!K222</f>
        <v>0</v>
      </c>
      <c r="M223" s="125">
        <f>Lista!L222</f>
        <v>0</v>
      </c>
      <c r="N223" s="125">
        <f>Lista!M222</f>
        <v>0</v>
      </c>
      <c r="O223" s="125">
        <f>Lista!N222</f>
        <v>0</v>
      </c>
      <c r="P223" s="125">
        <f>Lista!O222</f>
        <v>0</v>
      </c>
      <c r="Q223" s="125">
        <f>Lista!P222</f>
        <v>0</v>
      </c>
      <c r="R223" s="125">
        <f>Lista!Q222</f>
        <v>0</v>
      </c>
      <c r="S223" s="125">
        <f>Lista!R222</f>
        <v>0</v>
      </c>
      <c r="T223" s="81"/>
      <c r="U223" s="81"/>
      <c r="V223" s="81"/>
      <c r="W223" s="81"/>
      <c r="X223" s="81"/>
      <c r="Y223" s="81"/>
      <c r="Z223" s="81"/>
      <c r="AA223" s="81"/>
      <c r="AB223" s="81"/>
      <c r="AC223" s="81"/>
      <c r="AD223" s="81"/>
      <c r="AE223" s="81"/>
      <c r="AF223" s="81"/>
      <c r="AG223" s="81"/>
      <c r="AH223" s="81"/>
      <c r="AI223" s="81"/>
      <c r="AJ223" s="81"/>
      <c r="AK223" s="81"/>
      <c r="AL223" s="81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  <c r="BA223" s="81"/>
      <c r="BB223" s="81"/>
      <c r="BC223" s="81"/>
      <c r="BD223" s="81"/>
      <c r="BE223" s="81"/>
      <c r="BF223" s="81"/>
      <c r="BG223" s="81"/>
      <c r="BH223" s="81"/>
      <c r="BI223" s="81"/>
      <c r="BJ223" s="81"/>
      <c r="BK223" s="81"/>
      <c r="BL223" s="81"/>
      <c r="BM223" s="81"/>
      <c r="BN223" s="81"/>
      <c r="BO223" s="81"/>
      <c r="BP223" s="81"/>
      <c r="BQ223" s="81"/>
      <c r="BR223" s="81"/>
      <c r="BS223" s="81"/>
      <c r="BT223" s="81"/>
      <c r="BU223" s="81"/>
      <c r="BV223" s="81"/>
      <c r="BW223" s="81"/>
      <c r="BX223" s="81"/>
      <c r="BY223" s="81"/>
      <c r="BZ223" s="81"/>
      <c r="CA223" s="81"/>
      <c r="CB223" s="81"/>
      <c r="CC223" s="81"/>
      <c r="CD223" s="81"/>
      <c r="CE223" s="81"/>
      <c r="CF223" s="81"/>
      <c r="CG223" s="81"/>
      <c r="CH223" s="81"/>
      <c r="CI223" s="81"/>
      <c r="CJ223" s="81"/>
      <c r="CK223" s="81"/>
      <c r="CL223" s="81"/>
      <c r="CM223" s="81"/>
      <c r="CN223" s="81"/>
      <c r="CO223" s="81"/>
      <c r="CP223" s="81"/>
      <c r="CQ223" s="81"/>
      <c r="CR223" s="81"/>
      <c r="CS223" s="81"/>
      <c r="CT223" s="81"/>
      <c r="CU223" s="81"/>
      <c r="CV223" s="81"/>
      <c r="CW223" s="81"/>
      <c r="CX223" s="81"/>
      <c r="CY223" s="81"/>
      <c r="CZ223" s="81"/>
      <c r="DA223" s="81"/>
      <c r="DB223" s="81"/>
      <c r="DC223" s="81"/>
      <c r="DD223" s="81"/>
      <c r="DE223" s="81"/>
      <c r="DF223" s="81"/>
      <c r="DG223" s="81"/>
      <c r="DH223" s="81"/>
      <c r="DI223" s="81"/>
      <c r="DJ223" s="81"/>
      <c r="DK223" s="81"/>
      <c r="DL223" s="81"/>
      <c r="DM223" s="81"/>
      <c r="DN223" s="81"/>
      <c r="DO223" s="81"/>
      <c r="DP223" s="81"/>
      <c r="DQ223" s="81"/>
      <c r="DR223" s="81"/>
      <c r="DS223" s="81"/>
      <c r="DT223" s="81"/>
      <c r="DU223" s="81"/>
      <c r="DV223" s="81"/>
      <c r="DW223" s="121"/>
    </row>
    <row r="224" spans="1:127" x14ac:dyDescent="0.25">
      <c r="A224" s="2">
        <f>COUNTIF($D$2:D224,'Reporte de Nomina'!$E$2)</f>
        <v>0</v>
      </c>
      <c r="B224" s="125">
        <f>Lista!A223</f>
        <v>0</v>
      </c>
      <c r="C224" s="125">
        <f>Lista!B223</f>
        <v>0</v>
      </c>
      <c r="D224" s="125">
        <f>Lista!C223</f>
        <v>0</v>
      </c>
      <c r="E224" s="125">
        <f>Lista!D223</f>
        <v>0</v>
      </c>
      <c r="F224" s="125">
        <f>Lista!E223</f>
        <v>0</v>
      </c>
      <c r="G224" s="125">
        <f>Lista!F223</f>
        <v>0</v>
      </c>
      <c r="H224" s="125">
        <f>Lista!G223</f>
        <v>0</v>
      </c>
      <c r="I224" s="125">
        <f>Lista!H223</f>
        <v>0</v>
      </c>
      <c r="J224" s="125">
        <f>Lista!I223</f>
        <v>0</v>
      </c>
      <c r="K224" s="125">
        <f>Lista!J223</f>
        <v>0</v>
      </c>
      <c r="L224" s="125">
        <f>Lista!K223</f>
        <v>0</v>
      </c>
      <c r="M224" s="125">
        <f>Lista!L223</f>
        <v>0</v>
      </c>
      <c r="N224" s="125">
        <f>Lista!M223</f>
        <v>0</v>
      </c>
      <c r="O224" s="125">
        <f>Lista!N223</f>
        <v>0</v>
      </c>
      <c r="P224" s="125">
        <f>Lista!O223</f>
        <v>0</v>
      </c>
      <c r="Q224" s="125">
        <f>Lista!P223</f>
        <v>0</v>
      </c>
      <c r="R224" s="125">
        <f>Lista!Q223</f>
        <v>0</v>
      </c>
      <c r="S224" s="125">
        <f>Lista!R223</f>
        <v>0</v>
      </c>
      <c r="T224" s="81"/>
      <c r="U224" s="81"/>
      <c r="V224" s="81"/>
      <c r="W224" s="81"/>
      <c r="X224" s="81"/>
      <c r="Y224" s="81"/>
      <c r="Z224" s="81"/>
      <c r="AA224" s="81"/>
      <c r="AB224" s="81"/>
      <c r="AC224" s="81"/>
      <c r="AD224" s="81"/>
      <c r="AE224" s="81"/>
      <c r="AF224" s="81"/>
      <c r="AG224" s="81"/>
      <c r="AH224" s="81"/>
      <c r="AI224" s="81"/>
      <c r="AJ224" s="81"/>
      <c r="AK224" s="81"/>
      <c r="AL224" s="81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  <c r="BA224" s="81"/>
      <c r="BB224" s="81"/>
      <c r="BC224" s="81"/>
      <c r="BD224" s="81"/>
      <c r="BE224" s="81"/>
      <c r="BF224" s="81"/>
      <c r="BG224" s="81"/>
      <c r="BH224" s="81"/>
      <c r="BI224" s="81"/>
      <c r="BJ224" s="81"/>
      <c r="BK224" s="81"/>
      <c r="BL224" s="81"/>
      <c r="BM224" s="81"/>
      <c r="BN224" s="81"/>
      <c r="BO224" s="81"/>
      <c r="BP224" s="81"/>
      <c r="BQ224" s="81"/>
      <c r="BR224" s="81"/>
      <c r="BS224" s="81"/>
      <c r="BT224" s="81"/>
      <c r="BU224" s="81"/>
      <c r="BV224" s="81"/>
      <c r="BW224" s="81"/>
      <c r="BX224" s="81"/>
      <c r="BY224" s="81"/>
      <c r="BZ224" s="81"/>
      <c r="CA224" s="81"/>
      <c r="CB224" s="81"/>
      <c r="CC224" s="81"/>
      <c r="CD224" s="81"/>
      <c r="CE224" s="81"/>
      <c r="CF224" s="81"/>
      <c r="CG224" s="81"/>
      <c r="CH224" s="81"/>
      <c r="CI224" s="81"/>
      <c r="CJ224" s="81"/>
      <c r="CK224" s="81"/>
      <c r="CL224" s="81"/>
      <c r="CM224" s="81"/>
      <c r="CN224" s="81"/>
      <c r="CO224" s="81"/>
      <c r="CP224" s="81"/>
      <c r="CQ224" s="81"/>
      <c r="CR224" s="81"/>
      <c r="CS224" s="81"/>
      <c r="CT224" s="81"/>
      <c r="CU224" s="81"/>
      <c r="CV224" s="81"/>
      <c r="CW224" s="81"/>
      <c r="CX224" s="81"/>
      <c r="CY224" s="81"/>
      <c r="CZ224" s="81"/>
      <c r="DA224" s="81"/>
      <c r="DB224" s="81"/>
      <c r="DC224" s="81"/>
      <c r="DD224" s="81"/>
      <c r="DE224" s="81"/>
      <c r="DF224" s="81"/>
      <c r="DG224" s="81"/>
      <c r="DH224" s="81"/>
      <c r="DI224" s="81"/>
      <c r="DJ224" s="81"/>
      <c r="DK224" s="81"/>
      <c r="DL224" s="81"/>
      <c r="DM224" s="81"/>
      <c r="DN224" s="81"/>
      <c r="DO224" s="81"/>
      <c r="DP224" s="81"/>
      <c r="DQ224" s="81"/>
      <c r="DR224" s="81"/>
      <c r="DS224" s="81"/>
      <c r="DT224" s="81"/>
      <c r="DU224" s="81"/>
      <c r="DV224" s="81"/>
      <c r="DW224" s="121"/>
    </row>
    <row r="225" spans="1:127" x14ac:dyDescent="0.25">
      <c r="A225" s="2">
        <f>COUNTIF($D$2:D225,'Reporte de Nomina'!$E$2)</f>
        <v>0</v>
      </c>
      <c r="B225" s="125">
        <f>Lista!A224</f>
        <v>0</v>
      </c>
      <c r="C225" s="125">
        <f>Lista!B224</f>
        <v>0</v>
      </c>
      <c r="D225" s="125">
        <f>Lista!C224</f>
        <v>0</v>
      </c>
      <c r="E225" s="125">
        <f>Lista!D224</f>
        <v>0</v>
      </c>
      <c r="F225" s="125">
        <f>Lista!E224</f>
        <v>0</v>
      </c>
      <c r="G225" s="125">
        <f>Lista!F224</f>
        <v>0</v>
      </c>
      <c r="H225" s="125">
        <f>Lista!G224</f>
        <v>0</v>
      </c>
      <c r="I225" s="125">
        <f>Lista!H224</f>
        <v>0</v>
      </c>
      <c r="J225" s="125">
        <f>Lista!I224</f>
        <v>0</v>
      </c>
      <c r="K225" s="125">
        <f>Lista!J224</f>
        <v>0</v>
      </c>
      <c r="L225" s="125">
        <f>Lista!K224</f>
        <v>0</v>
      </c>
      <c r="M225" s="125">
        <f>Lista!L224</f>
        <v>0</v>
      </c>
      <c r="N225" s="125">
        <f>Lista!M224</f>
        <v>0</v>
      </c>
      <c r="O225" s="125">
        <f>Lista!N224</f>
        <v>0</v>
      </c>
      <c r="P225" s="125">
        <f>Lista!O224</f>
        <v>0</v>
      </c>
      <c r="Q225" s="125">
        <f>Lista!P224</f>
        <v>0</v>
      </c>
      <c r="R225" s="125">
        <f>Lista!Q224</f>
        <v>0</v>
      </c>
      <c r="S225" s="125">
        <f>Lista!R224</f>
        <v>0</v>
      </c>
      <c r="T225" s="81"/>
      <c r="U225" s="81"/>
      <c r="V225" s="81"/>
      <c r="W225" s="81"/>
      <c r="X225" s="81"/>
      <c r="Y225" s="81"/>
      <c r="Z225" s="81"/>
      <c r="AA225" s="81"/>
      <c r="AB225" s="81"/>
      <c r="AC225" s="81"/>
      <c r="AD225" s="81"/>
      <c r="AE225" s="81"/>
      <c r="AF225" s="81"/>
      <c r="AG225" s="81"/>
      <c r="AH225" s="81"/>
      <c r="AI225" s="81"/>
      <c r="AJ225" s="81"/>
      <c r="AK225" s="81"/>
      <c r="AL225" s="81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  <c r="BA225" s="81"/>
      <c r="BB225" s="81"/>
      <c r="BC225" s="81"/>
      <c r="BD225" s="81"/>
      <c r="BE225" s="81"/>
      <c r="BF225" s="81"/>
      <c r="BG225" s="81"/>
      <c r="BH225" s="81"/>
      <c r="BI225" s="81"/>
      <c r="BJ225" s="81"/>
      <c r="BK225" s="81"/>
      <c r="BL225" s="81"/>
      <c r="BM225" s="81"/>
      <c r="BN225" s="81"/>
      <c r="BO225" s="81"/>
      <c r="BP225" s="81"/>
      <c r="BQ225" s="81"/>
      <c r="BR225" s="81"/>
      <c r="BS225" s="81"/>
      <c r="BT225" s="81"/>
      <c r="BU225" s="81"/>
      <c r="BV225" s="81"/>
      <c r="BW225" s="81"/>
      <c r="BX225" s="81"/>
      <c r="BY225" s="81"/>
      <c r="BZ225" s="81"/>
      <c r="CA225" s="81"/>
      <c r="CB225" s="81"/>
      <c r="CC225" s="81"/>
      <c r="CD225" s="81"/>
      <c r="CE225" s="81"/>
      <c r="CF225" s="81"/>
      <c r="CG225" s="81"/>
      <c r="CH225" s="81"/>
      <c r="CI225" s="81"/>
      <c r="CJ225" s="81"/>
      <c r="CK225" s="81"/>
      <c r="CL225" s="81"/>
      <c r="CM225" s="81"/>
      <c r="CN225" s="81"/>
      <c r="CO225" s="81"/>
      <c r="CP225" s="81"/>
      <c r="CQ225" s="81"/>
      <c r="CR225" s="81"/>
      <c r="CS225" s="81"/>
      <c r="CT225" s="81"/>
      <c r="CU225" s="81"/>
      <c r="CV225" s="81"/>
      <c r="CW225" s="81"/>
      <c r="CX225" s="81"/>
      <c r="CY225" s="81"/>
      <c r="CZ225" s="81"/>
      <c r="DA225" s="81"/>
      <c r="DB225" s="81"/>
      <c r="DC225" s="81"/>
      <c r="DD225" s="81"/>
      <c r="DE225" s="81"/>
      <c r="DF225" s="81"/>
      <c r="DG225" s="81"/>
      <c r="DH225" s="81"/>
      <c r="DI225" s="81"/>
      <c r="DJ225" s="81"/>
      <c r="DK225" s="81"/>
      <c r="DL225" s="81"/>
      <c r="DM225" s="81"/>
      <c r="DN225" s="81"/>
      <c r="DO225" s="81"/>
      <c r="DP225" s="81"/>
      <c r="DQ225" s="81"/>
      <c r="DR225" s="81"/>
      <c r="DS225" s="81"/>
      <c r="DT225" s="81"/>
      <c r="DU225" s="81"/>
      <c r="DV225" s="81"/>
      <c r="DW225" s="121"/>
    </row>
    <row r="226" spans="1:127" x14ac:dyDescent="0.25">
      <c r="A226" s="2">
        <f>COUNTIF($D$2:D226,'Reporte de Nomina'!$E$2)</f>
        <v>0</v>
      </c>
      <c r="B226" s="125">
        <f>Lista!A225</f>
        <v>0</v>
      </c>
      <c r="C226" s="125">
        <f>Lista!B225</f>
        <v>0</v>
      </c>
      <c r="D226" s="125">
        <f>Lista!C225</f>
        <v>0</v>
      </c>
      <c r="E226" s="125">
        <f>Lista!D225</f>
        <v>0</v>
      </c>
      <c r="F226" s="125">
        <f>Lista!E225</f>
        <v>0</v>
      </c>
      <c r="G226" s="125">
        <f>Lista!F225</f>
        <v>0</v>
      </c>
      <c r="H226" s="125">
        <f>Lista!G225</f>
        <v>0</v>
      </c>
      <c r="I226" s="125">
        <f>Lista!H225</f>
        <v>0</v>
      </c>
      <c r="J226" s="125">
        <f>Lista!I225</f>
        <v>0</v>
      </c>
      <c r="K226" s="125">
        <f>Lista!J225</f>
        <v>0</v>
      </c>
      <c r="L226" s="125">
        <f>Lista!K225</f>
        <v>0</v>
      </c>
      <c r="M226" s="125">
        <f>Lista!L225</f>
        <v>0</v>
      </c>
      <c r="N226" s="125">
        <f>Lista!M225</f>
        <v>0</v>
      </c>
      <c r="O226" s="125">
        <f>Lista!N225</f>
        <v>0</v>
      </c>
      <c r="P226" s="125">
        <f>Lista!O225</f>
        <v>0</v>
      </c>
      <c r="Q226" s="125">
        <f>Lista!P225</f>
        <v>0</v>
      </c>
      <c r="R226" s="125">
        <f>Lista!Q225</f>
        <v>0</v>
      </c>
      <c r="S226" s="125">
        <f>Lista!R225</f>
        <v>0</v>
      </c>
      <c r="T226" s="81"/>
      <c r="U226" s="81"/>
      <c r="V226" s="81"/>
      <c r="W226" s="81"/>
      <c r="X226" s="81"/>
      <c r="Y226" s="81"/>
      <c r="Z226" s="81"/>
      <c r="AA226" s="81"/>
      <c r="AB226" s="81"/>
      <c r="AC226" s="81"/>
      <c r="AD226" s="81"/>
      <c r="AE226" s="81"/>
      <c r="AF226" s="81"/>
      <c r="AG226" s="81"/>
      <c r="AH226" s="81"/>
      <c r="AI226" s="81"/>
      <c r="AJ226" s="81"/>
      <c r="AK226" s="81"/>
      <c r="AL226" s="81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  <c r="BA226" s="81"/>
      <c r="BB226" s="81"/>
      <c r="BC226" s="81"/>
      <c r="BD226" s="81"/>
      <c r="BE226" s="81"/>
      <c r="BF226" s="81"/>
      <c r="BG226" s="81"/>
      <c r="BH226" s="81"/>
      <c r="BI226" s="81"/>
      <c r="BJ226" s="81"/>
      <c r="BK226" s="81"/>
      <c r="BL226" s="81"/>
      <c r="BM226" s="81"/>
      <c r="BN226" s="81"/>
      <c r="BO226" s="81"/>
      <c r="BP226" s="81"/>
      <c r="BQ226" s="81"/>
      <c r="BR226" s="81"/>
      <c r="BS226" s="81"/>
      <c r="BT226" s="81"/>
      <c r="BU226" s="81"/>
      <c r="BV226" s="81"/>
      <c r="BW226" s="81"/>
      <c r="BX226" s="81"/>
      <c r="BY226" s="81"/>
      <c r="BZ226" s="81"/>
      <c r="CA226" s="81"/>
      <c r="CB226" s="81"/>
      <c r="CC226" s="81"/>
      <c r="CD226" s="81"/>
      <c r="CE226" s="81"/>
      <c r="CF226" s="81"/>
      <c r="CG226" s="81"/>
      <c r="CH226" s="81"/>
      <c r="CI226" s="81"/>
      <c r="CJ226" s="81"/>
      <c r="CK226" s="81"/>
      <c r="CL226" s="81"/>
      <c r="CM226" s="81"/>
      <c r="CN226" s="81"/>
      <c r="CO226" s="81"/>
      <c r="CP226" s="81"/>
      <c r="CQ226" s="81"/>
      <c r="CR226" s="81"/>
      <c r="CS226" s="81"/>
      <c r="CT226" s="81"/>
      <c r="CU226" s="81"/>
      <c r="CV226" s="81"/>
      <c r="CW226" s="81"/>
      <c r="CX226" s="81"/>
      <c r="CY226" s="81"/>
      <c r="CZ226" s="81"/>
      <c r="DA226" s="81"/>
      <c r="DB226" s="81"/>
      <c r="DC226" s="81"/>
      <c r="DD226" s="81"/>
      <c r="DE226" s="81"/>
      <c r="DF226" s="81"/>
      <c r="DG226" s="81"/>
      <c r="DH226" s="81"/>
      <c r="DI226" s="81"/>
      <c r="DJ226" s="81"/>
      <c r="DK226" s="81"/>
      <c r="DL226" s="81"/>
      <c r="DM226" s="81"/>
      <c r="DN226" s="81"/>
      <c r="DO226" s="81"/>
      <c r="DP226" s="81"/>
      <c r="DQ226" s="81"/>
      <c r="DR226" s="81"/>
      <c r="DS226" s="81"/>
      <c r="DT226" s="81"/>
      <c r="DU226" s="81"/>
      <c r="DV226" s="81"/>
      <c r="DW226" s="121"/>
    </row>
    <row r="227" spans="1:127" x14ac:dyDescent="0.25">
      <c r="A227" s="2">
        <f>COUNTIF($D$2:D227,'Reporte de Nomina'!$E$2)</f>
        <v>0</v>
      </c>
      <c r="B227" s="125">
        <f>Lista!A226</f>
        <v>0</v>
      </c>
      <c r="C227" s="125">
        <f>Lista!B226</f>
        <v>0</v>
      </c>
      <c r="D227" s="125">
        <f>Lista!C226</f>
        <v>0</v>
      </c>
      <c r="E227" s="125">
        <f>Lista!D226</f>
        <v>0</v>
      </c>
      <c r="F227" s="125">
        <f>Lista!E226</f>
        <v>0</v>
      </c>
      <c r="G227" s="125">
        <f>Lista!F226</f>
        <v>0</v>
      </c>
      <c r="H227" s="125">
        <f>Lista!G226</f>
        <v>0</v>
      </c>
      <c r="I227" s="125">
        <f>Lista!H226</f>
        <v>0</v>
      </c>
      <c r="J227" s="125">
        <f>Lista!I226</f>
        <v>0</v>
      </c>
      <c r="K227" s="125">
        <f>Lista!J226</f>
        <v>0</v>
      </c>
      <c r="L227" s="125">
        <f>Lista!K226</f>
        <v>0</v>
      </c>
      <c r="M227" s="125">
        <f>Lista!L226</f>
        <v>0</v>
      </c>
      <c r="N227" s="125">
        <f>Lista!M226</f>
        <v>0</v>
      </c>
      <c r="O227" s="125">
        <f>Lista!N226</f>
        <v>0</v>
      </c>
      <c r="P227" s="125">
        <f>Lista!O226</f>
        <v>0</v>
      </c>
      <c r="Q227" s="125">
        <f>Lista!P226</f>
        <v>0</v>
      </c>
      <c r="R227" s="125">
        <f>Lista!Q226</f>
        <v>0</v>
      </c>
      <c r="S227" s="125">
        <f>Lista!R226</f>
        <v>0</v>
      </c>
      <c r="T227" s="81"/>
      <c r="U227" s="81"/>
      <c r="V227" s="81"/>
      <c r="W227" s="81"/>
      <c r="X227" s="81"/>
      <c r="Y227" s="81"/>
      <c r="Z227" s="81"/>
      <c r="AA227" s="81"/>
      <c r="AB227" s="81"/>
      <c r="AC227" s="81"/>
      <c r="AD227" s="81"/>
      <c r="AE227" s="81"/>
      <c r="AF227" s="81"/>
      <c r="AG227" s="81"/>
      <c r="AH227" s="81"/>
      <c r="AI227" s="81"/>
      <c r="AJ227" s="81"/>
      <c r="AK227" s="81"/>
      <c r="AL227" s="81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  <c r="BA227" s="81"/>
      <c r="BB227" s="81"/>
      <c r="BC227" s="81"/>
      <c r="BD227" s="81"/>
      <c r="BE227" s="81"/>
      <c r="BF227" s="81"/>
      <c r="BG227" s="81"/>
      <c r="BH227" s="81"/>
      <c r="BI227" s="81"/>
      <c r="BJ227" s="81"/>
      <c r="BK227" s="81"/>
      <c r="BL227" s="81"/>
      <c r="BM227" s="81"/>
      <c r="BN227" s="81"/>
      <c r="BO227" s="81"/>
      <c r="BP227" s="81"/>
      <c r="BQ227" s="81"/>
      <c r="BR227" s="81"/>
      <c r="BS227" s="81"/>
      <c r="BT227" s="81"/>
      <c r="BU227" s="81"/>
      <c r="BV227" s="81"/>
      <c r="BW227" s="81"/>
      <c r="BX227" s="81"/>
      <c r="BY227" s="81"/>
      <c r="BZ227" s="81"/>
      <c r="CA227" s="81"/>
      <c r="CB227" s="81"/>
      <c r="CC227" s="81"/>
      <c r="CD227" s="81"/>
      <c r="CE227" s="81"/>
      <c r="CF227" s="81"/>
      <c r="CG227" s="81"/>
      <c r="CH227" s="81"/>
      <c r="CI227" s="81"/>
      <c r="CJ227" s="81"/>
      <c r="CK227" s="81"/>
      <c r="CL227" s="81"/>
      <c r="CM227" s="81"/>
      <c r="CN227" s="81"/>
      <c r="CO227" s="81"/>
      <c r="CP227" s="81"/>
      <c r="CQ227" s="81"/>
      <c r="CR227" s="81"/>
      <c r="CS227" s="81"/>
      <c r="CT227" s="81"/>
      <c r="CU227" s="81"/>
      <c r="CV227" s="81"/>
      <c r="CW227" s="81"/>
      <c r="CX227" s="81"/>
      <c r="CY227" s="81"/>
      <c r="CZ227" s="81"/>
      <c r="DA227" s="81"/>
      <c r="DB227" s="81"/>
      <c r="DC227" s="81"/>
      <c r="DD227" s="81"/>
      <c r="DE227" s="81"/>
      <c r="DF227" s="81"/>
      <c r="DG227" s="81"/>
      <c r="DH227" s="81"/>
      <c r="DI227" s="81"/>
      <c r="DJ227" s="81"/>
      <c r="DK227" s="81"/>
      <c r="DL227" s="81"/>
      <c r="DM227" s="81"/>
      <c r="DN227" s="81"/>
      <c r="DO227" s="81"/>
      <c r="DP227" s="81"/>
      <c r="DQ227" s="81"/>
      <c r="DR227" s="81"/>
      <c r="DS227" s="81"/>
      <c r="DT227" s="81"/>
      <c r="DU227" s="81"/>
      <c r="DV227" s="81"/>
      <c r="DW227" s="121"/>
    </row>
    <row r="228" spans="1:127" x14ac:dyDescent="0.25">
      <c r="A228" s="2">
        <f>COUNTIF($D$2:D228,'Reporte de Nomina'!$E$2)</f>
        <v>0</v>
      </c>
      <c r="B228" s="125">
        <f>Lista!A227</f>
        <v>0</v>
      </c>
      <c r="C228" s="125">
        <f>Lista!B227</f>
        <v>0</v>
      </c>
      <c r="D228" s="125">
        <f>Lista!C227</f>
        <v>0</v>
      </c>
      <c r="E228" s="125">
        <f>Lista!D227</f>
        <v>0</v>
      </c>
      <c r="F228" s="125">
        <f>Lista!E227</f>
        <v>0</v>
      </c>
      <c r="G228" s="125">
        <f>Lista!F227</f>
        <v>0</v>
      </c>
      <c r="H228" s="125">
        <f>Lista!G227</f>
        <v>0</v>
      </c>
      <c r="I228" s="125">
        <f>Lista!H227</f>
        <v>0</v>
      </c>
      <c r="J228" s="125">
        <f>Lista!I227</f>
        <v>0</v>
      </c>
      <c r="K228" s="125">
        <f>Lista!J227</f>
        <v>0</v>
      </c>
      <c r="L228" s="125">
        <f>Lista!K227</f>
        <v>0</v>
      </c>
      <c r="M228" s="125">
        <f>Lista!L227</f>
        <v>0</v>
      </c>
      <c r="N228" s="125">
        <f>Lista!M227</f>
        <v>0</v>
      </c>
      <c r="O228" s="125">
        <f>Lista!N227</f>
        <v>0</v>
      </c>
      <c r="P228" s="125">
        <f>Lista!O227</f>
        <v>0</v>
      </c>
      <c r="Q228" s="125">
        <f>Lista!P227</f>
        <v>0</v>
      </c>
      <c r="R228" s="125">
        <f>Lista!Q227</f>
        <v>0</v>
      </c>
      <c r="S228" s="125">
        <f>Lista!R227</f>
        <v>0</v>
      </c>
      <c r="T228" s="81"/>
      <c r="U228" s="81"/>
      <c r="V228" s="81"/>
      <c r="W228" s="81"/>
      <c r="X228" s="81"/>
      <c r="Y228" s="81"/>
      <c r="Z228" s="81"/>
      <c r="AA228" s="81"/>
      <c r="AB228" s="81"/>
      <c r="AC228" s="81"/>
      <c r="AD228" s="81"/>
      <c r="AE228" s="81"/>
      <c r="AF228" s="81"/>
      <c r="AG228" s="81"/>
      <c r="AH228" s="81"/>
      <c r="AI228" s="81"/>
      <c r="AJ228" s="81"/>
      <c r="AK228" s="81"/>
      <c r="AL228" s="81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  <c r="BA228" s="81"/>
      <c r="BB228" s="81"/>
      <c r="BC228" s="81"/>
      <c r="BD228" s="81"/>
      <c r="BE228" s="81"/>
      <c r="BF228" s="81"/>
      <c r="BG228" s="81"/>
      <c r="BH228" s="81"/>
      <c r="BI228" s="81"/>
      <c r="BJ228" s="81"/>
      <c r="BK228" s="81"/>
      <c r="BL228" s="81"/>
      <c r="BM228" s="81"/>
      <c r="BN228" s="81"/>
      <c r="BO228" s="81"/>
      <c r="BP228" s="81"/>
      <c r="BQ228" s="81"/>
      <c r="BR228" s="81"/>
      <c r="BS228" s="81"/>
      <c r="BT228" s="81"/>
      <c r="BU228" s="81"/>
      <c r="BV228" s="81"/>
      <c r="BW228" s="81"/>
      <c r="BX228" s="81"/>
      <c r="BY228" s="81"/>
      <c r="BZ228" s="81"/>
      <c r="CA228" s="81"/>
      <c r="CB228" s="81"/>
      <c r="CC228" s="81"/>
      <c r="CD228" s="81"/>
      <c r="CE228" s="81"/>
      <c r="CF228" s="81"/>
      <c r="CG228" s="81"/>
      <c r="CH228" s="81"/>
      <c r="CI228" s="81"/>
      <c r="CJ228" s="81"/>
      <c r="CK228" s="81"/>
      <c r="CL228" s="81"/>
      <c r="CM228" s="81"/>
      <c r="CN228" s="81"/>
      <c r="CO228" s="81"/>
      <c r="CP228" s="81"/>
      <c r="CQ228" s="81"/>
      <c r="CR228" s="81"/>
      <c r="CS228" s="81"/>
      <c r="CT228" s="81"/>
      <c r="CU228" s="81"/>
      <c r="CV228" s="81"/>
      <c r="CW228" s="81"/>
      <c r="CX228" s="81"/>
      <c r="CY228" s="81"/>
      <c r="CZ228" s="81"/>
      <c r="DA228" s="81"/>
      <c r="DB228" s="81"/>
      <c r="DC228" s="81"/>
      <c r="DD228" s="81"/>
      <c r="DE228" s="81"/>
      <c r="DF228" s="81"/>
      <c r="DG228" s="81"/>
      <c r="DH228" s="81"/>
      <c r="DI228" s="81"/>
      <c r="DJ228" s="81"/>
      <c r="DK228" s="81"/>
      <c r="DL228" s="81"/>
      <c r="DM228" s="81"/>
      <c r="DN228" s="81"/>
      <c r="DO228" s="81"/>
      <c r="DP228" s="81"/>
      <c r="DQ228" s="81"/>
      <c r="DR228" s="81"/>
      <c r="DS228" s="81"/>
      <c r="DT228" s="81"/>
      <c r="DU228" s="81"/>
      <c r="DV228" s="81"/>
      <c r="DW228" s="121"/>
    </row>
    <row r="229" spans="1:127" x14ac:dyDescent="0.25">
      <c r="A229" s="2">
        <f>COUNTIF($D$2:D229,'Reporte de Nomina'!$E$2)</f>
        <v>0</v>
      </c>
      <c r="B229" s="125">
        <f>Lista!A228</f>
        <v>0</v>
      </c>
      <c r="C229" s="125">
        <f>Lista!B228</f>
        <v>0</v>
      </c>
      <c r="D229" s="125">
        <f>Lista!C228</f>
        <v>0</v>
      </c>
      <c r="E229" s="125">
        <f>Lista!D228</f>
        <v>0</v>
      </c>
      <c r="F229" s="125">
        <f>Lista!E228</f>
        <v>0</v>
      </c>
      <c r="G229" s="125">
        <f>Lista!F228</f>
        <v>0</v>
      </c>
      <c r="H229" s="125">
        <f>Lista!G228</f>
        <v>0</v>
      </c>
      <c r="I229" s="125">
        <f>Lista!H228</f>
        <v>0</v>
      </c>
      <c r="J229" s="125">
        <f>Lista!I228</f>
        <v>0</v>
      </c>
      <c r="K229" s="125">
        <f>Lista!J228</f>
        <v>0</v>
      </c>
      <c r="L229" s="125">
        <f>Lista!K228</f>
        <v>0</v>
      </c>
      <c r="M229" s="125">
        <f>Lista!L228</f>
        <v>0</v>
      </c>
      <c r="N229" s="125">
        <f>Lista!M228</f>
        <v>0</v>
      </c>
      <c r="O229" s="125">
        <f>Lista!N228</f>
        <v>0</v>
      </c>
      <c r="P229" s="125">
        <f>Lista!O228</f>
        <v>0</v>
      </c>
      <c r="Q229" s="125">
        <f>Lista!P228</f>
        <v>0</v>
      </c>
      <c r="R229" s="125">
        <f>Lista!Q228</f>
        <v>0</v>
      </c>
      <c r="S229" s="125">
        <f>Lista!R228</f>
        <v>0</v>
      </c>
      <c r="T229" s="81"/>
      <c r="U229" s="81"/>
      <c r="V229" s="81"/>
      <c r="W229" s="81"/>
      <c r="X229" s="81"/>
      <c r="Y229" s="81"/>
      <c r="Z229" s="81"/>
      <c r="AA229" s="81"/>
      <c r="AB229" s="81"/>
      <c r="AC229" s="81"/>
      <c r="AD229" s="81"/>
      <c r="AE229" s="81"/>
      <c r="AF229" s="81"/>
      <c r="AG229" s="81"/>
      <c r="AH229" s="81"/>
      <c r="AI229" s="81"/>
      <c r="AJ229" s="81"/>
      <c r="AK229" s="81"/>
      <c r="AL229" s="81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  <c r="BA229" s="81"/>
      <c r="BB229" s="81"/>
      <c r="BC229" s="81"/>
      <c r="BD229" s="81"/>
      <c r="BE229" s="81"/>
      <c r="BF229" s="81"/>
      <c r="BG229" s="81"/>
      <c r="BH229" s="81"/>
      <c r="BI229" s="81"/>
      <c r="BJ229" s="81"/>
      <c r="BK229" s="81"/>
      <c r="BL229" s="81"/>
      <c r="BM229" s="81"/>
      <c r="BN229" s="81"/>
      <c r="BO229" s="81"/>
      <c r="BP229" s="81"/>
      <c r="BQ229" s="81"/>
      <c r="BR229" s="81"/>
      <c r="BS229" s="81"/>
      <c r="BT229" s="81"/>
      <c r="BU229" s="81"/>
      <c r="BV229" s="81"/>
      <c r="BW229" s="81"/>
      <c r="BX229" s="81"/>
      <c r="BY229" s="81"/>
      <c r="BZ229" s="81"/>
      <c r="CA229" s="81"/>
      <c r="CB229" s="81"/>
      <c r="CC229" s="81"/>
      <c r="CD229" s="81"/>
      <c r="CE229" s="81"/>
      <c r="CF229" s="81"/>
      <c r="CG229" s="81"/>
      <c r="CH229" s="81"/>
      <c r="CI229" s="81"/>
      <c r="CJ229" s="81"/>
      <c r="CK229" s="81"/>
      <c r="CL229" s="81"/>
      <c r="CM229" s="81"/>
      <c r="CN229" s="81"/>
      <c r="CO229" s="81"/>
      <c r="CP229" s="81"/>
      <c r="CQ229" s="81"/>
      <c r="CR229" s="81"/>
      <c r="CS229" s="81"/>
      <c r="CT229" s="81"/>
      <c r="CU229" s="81"/>
      <c r="CV229" s="81"/>
      <c r="CW229" s="81"/>
      <c r="CX229" s="81"/>
      <c r="CY229" s="81"/>
      <c r="CZ229" s="81"/>
      <c r="DA229" s="81"/>
      <c r="DB229" s="81"/>
      <c r="DC229" s="81"/>
      <c r="DD229" s="81"/>
      <c r="DE229" s="81"/>
      <c r="DF229" s="81"/>
      <c r="DG229" s="81"/>
      <c r="DH229" s="81"/>
      <c r="DI229" s="81"/>
      <c r="DJ229" s="81"/>
      <c r="DK229" s="81"/>
      <c r="DL229" s="81"/>
      <c r="DM229" s="81"/>
      <c r="DN229" s="81"/>
      <c r="DO229" s="81"/>
      <c r="DP229" s="81"/>
      <c r="DQ229" s="81"/>
      <c r="DR229" s="81"/>
      <c r="DS229" s="81"/>
      <c r="DT229" s="81"/>
      <c r="DU229" s="81"/>
      <c r="DV229" s="81"/>
      <c r="DW229" s="121"/>
    </row>
    <row r="230" spans="1:127" x14ac:dyDescent="0.25">
      <c r="A230" s="2">
        <f>COUNTIF($D$2:D230,'Reporte de Nomina'!$E$2)</f>
        <v>0</v>
      </c>
      <c r="B230" s="125">
        <f>Lista!A229</f>
        <v>0</v>
      </c>
      <c r="C230" s="125">
        <f>Lista!B229</f>
        <v>0</v>
      </c>
      <c r="D230" s="125">
        <f>Lista!C229</f>
        <v>0</v>
      </c>
      <c r="E230" s="125">
        <f>Lista!D229</f>
        <v>0</v>
      </c>
      <c r="F230" s="125">
        <f>Lista!E229</f>
        <v>0</v>
      </c>
      <c r="G230" s="125">
        <f>Lista!F229</f>
        <v>0</v>
      </c>
      <c r="H230" s="125">
        <f>Lista!G229</f>
        <v>0</v>
      </c>
      <c r="I230" s="125">
        <f>Lista!H229</f>
        <v>0</v>
      </c>
      <c r="J230" s="125">
        <f>Lista!I229</f>
        <v>0</v>
      </c>
      <c r="K230" s="125">
        <f>Lista!J229</f>
        <v>0</v>
      </c>
      <c r="L230" s="125">
        <f>Lista!K229</f>
        <v>0</v>
      </c>
      <c r="M230" s="125">
        <f>Lista!L229</f>
        <v>0</v>
      </c>
      <c r="N230" s="125">
        <f>Lista!M229</f>
        <v>0</v>
      </c>
      <c r="O230" s="125">
        <f>Lista!N229</f>
        <v>0</v>
      </c>
      <c r="P230" s="125">
        <f>Lista!O229</f>
        <v>0</v>
      </c>
      <c r="Q230" s="125">
        <f>Lista!P229</f>
        <v>0</v>
      </c>
      <c r="R230" s="125">
        <f>Lista!Q229</f>
        <v>0</v>
      </c>
      <c r="S230" s="125">
        <f>Lista!R229</f>
        <v>0</v>
      </c>
      <c r="T230" s="81"/>
      <c r="U230" s="81"/>
      <c r="V230" s="81"/>
      <c r="W230" s="81"/>
      <c r="X230" s="81"/>
      <c r="Y230" s="81"/>
      <c r="Z230" s="81"/>
      <c r="AA230" s="81"/>
      <c r="AB230" s="81"/>
      <c r="AC230" s="81"/>
      <c r="AD230" s="81"/>
      <c r="AE230" s="81"/>
      <c r="AF230" s="81"/>
      <c r="AG230" s="81"/>
      <c r="AH230" s="81"/>
      <c r="AI230" s="81"/>
      <c r="AJ230" s="81"/>
      <c r="AK230" s="81"/>
      <c r="AL230" s="81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  <c r="BA230" s="81"/>
      <c r="BB230" s="81"/>
      <c r="BC230" s="81"/>
      <c r="BD230" s="81"/>
      <c r="BE230" s="81"/>
      <c r="BF230" s="81"/>
      <c r="BG230" s="81"/>
      <c r="BH230" s="81"/>
      <c r="BI230" s="81"/>
      <c r="BJ230" s="81"/>
      <c r="BK230" s="81"/>
      <c r="BL230" s="81"/>
      <c r="BM230" s="81"/>
      <c r="BN230" s="81"/>
      <c r="BO230" s="81"/>
      <c r="BP230" s="81"/>
      <c r="BQ230" s="81"/>
      <c r="BR230" s="81"/>
      <c r="BS230" s="81"/>
      <c r="BT230" s="81"/>
      <c r="BU230" s="81"/>
      <c r="BV230" s="81"/>
      <c r="BW230" s="81"/>
      <c r="BX230" s="81"/>
      <c r="BY230" s="81"/>
      <c r="BZ230" s="81"/>
      <c r="CA230" s="81"/>
      <c r="CB230" s="81"/>
      <c r="CC230" s="81"/>
      <c r="CD230" s="81"/>
      <c r="CE230" s="81"/>
      <c r="CF230" s="81"/>
      <c r="CG230" s="81"/>
      <c r="CH230" s="81"/>
      <c r="CI230" s="81"/>
      <c r="CJ230" s="81"/>
      <c r="CK230" s="81"/>
      <c r="CL230" s="81"/>
      <c r="CM230" s="81"/>
      <c r="CN230" s="81"/>
      <c r="CO230" s="81"/>
      <c r="CP230" s="81"/>
      <c r="CQ230" s="81"/>
      <c r="CR230" s="81"/>
      <c r="CS230" s="81"/>
      <c r="CT230" s="81"/>
      <c r="CU230" s="81"/>
      <c r="CV230" s="81"/>
      <c r="CW230" s="81"/>
      <c r="CX230" s="81"/>
      <c r="CY230" s="81"/>
      <c r="CZ230" s="81"/>
      <c r="DA230" s="81"/>
      <c r="DB230" s="81"/>
      <c r="DC230" s="81"/>
      <c r="DD230" s="81"/>
      <c r="DE230" s="81"/>
      <c r="DF230" s="81"/>
      <c r="DG230" s="81"/>
      <c r="DH230" s="81"/>
      <c r="DI230" s="81"/>
      <c r="DJ230" s="81"/>
      <c r="DK230" s="81"/>
      <c r="DL230" s="81"/>
      <c r="DM230" s="81"/>
      <c r="DN230" s="81"/>
      <c r="DO230" s="81"/>
      <c r="DP230" s="81"/>
      <c r="DQ230" s="81"/>
      <c r="DR230" s="81"/>
      <c r="DS230" s="81"/>
      <c r="DT230" s="81"/>
      <c r="DU230" s="81"/>
      <c r="DV230" s="81"/>
      <c r="DW230" s="121"/>
    </row>
    <row r="231" spans="1:127" x14ac:dyDescent="0.25">
      <c r="A231" s="2">
        <f>COUNTIF($D$2:D231,'Reporte de Nomina'!$E$2)</f>
        <v>0</v>
      </c>
      <c r="B231" s="125">
        <f>Lista!A230</f>
        <v>0</v>
      </c>
      <c r="C231" s="125">
        <f>Lista!B230</f>
        <v>0</v>
      </c>
      <c r="D231" s="125">
        <f>Lista!C230</f>
        <v>0</v>
      </c>
      <c r="E231" s="125">
        <f>Lista!D230</f>
        <v>0</v>
      </c>
      <c r="F231" s="125">
        <f>Lista!E230</f>
        <v>0</v>
      </c>
      <c r="G231" s="125">
        <f>Lista!F230</f>
        <v>0</v>
      </c>
      <c r="H231" s="125">
        <f>Lista!G230</f>
        <v>0</v>
      </c>
      <c r="I231" s="125">
        <f>Lista!H230</f>
        <v>0</v>
      </c>
      <c r="J231" s="125">
        <f>Lista!I230</f>
        <v>0</v>
      </c>
      <c r="K231" s="125">
        <f>Lista!J230</f>
        <v>0</v>
      </c>
      <c r="L231" s="125">
        <f>Lista!K230</f>
        <v>0</v>
      </c>
      <c r="M231" s="125">
        <f>Lista!L230</f>
        <v>0</v>
      </c>
      <c r="N231" s="125">
        <f>Lista!M230</f>
        <v>0</v>
      </c>
      <c r="O231" s="125">
        <f>Lista!N230</f>
        <v>0</v>
      </c>
      <c r="P231" s="125">
        <f>Lista!O230</f>
        <v>0</v>
      </c>
      <c r="Q231" s="125">
        <f>Lista!P230</f>
        <v>0</v>
      </c>
      <c r="R231" s="125">
        <f>Lista!Q230</f>
        <v>0</v>
      </c>
      <c r="S231" s="125">
        <f>Lista!R230</f>
        <v>0</v>
      </c>
      <c r="T231" s="81"/>
      <c r="U231" s="81"/>
      <c r="V231" s="81"/>
      <c r="W231" s="81"/>
      <c r="X231" s="81"/>
      <c r="Y231" s="81"/>
      <c r="Z231" s="81"/>
      <c r="AA231" s="81"/>
      <c r="AB231" s="81"/>
      <c r="AC231" s="81"/>
      <c r="AD231" s="81"/>
      <c r="AE231" s="81"/>
      <c r="AF231" s="81"/>
      <c r="AG231" s="81"/>
      <c r="AH231" s="81"/>
      <c r="AI231" s="81"/>
      <c r="AJ231" s="81"/>
      <c r="AK231" s="81"/>
      <c r="AL231" s="81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  <c r="BA231" s="81"/>
      <c r="BB231" s="81"/>
      <c r="BC231" s="81"/>
      <c r="BD231" s="81"/>
      <c r="BE231" s="81"/>
      <c r="BF231" s="81"/>
      <c r="BG231" s="81"/>
      <c r="BH231" s="81"/>
      <c r="BI231" s="81"/>
      <c r="BJ231" s="81"/>
      <c r="BK231" s="81"/>
      <c r="BL231" s="81"/>
      <c r="BM231" s="81"/>
      <c r="BN231" s="81"/>
      <c r="BO231" s="81"/>
      <c r="BP231" s="81"/>
      <c r="BQ231" s="81"/>
      <c r="BR231" s="81"/>
      <c r="BS231" s="81"/>
      <c r="BT231" s="81"/>
      <c r="BU231" s="81"/>
      <c r="BV231" s="81"/>
      <c r="BW231" s="81"/>
      <c r="BX231" s="81"/>
      <c r="BY231" s="81"/>
      <c r="BZ231" s="81"/>
      <c r="CA231" s="81"/>
      <c r="CB231" s="81"/>
      <c r="CC231" s="81"/>
      <c r="CD231" s="81"/>
      <c r="CE231" s="81"/>
      <c r="CF231" s="81"/>
      <c r="CG231" s="81"/>
      <c r="CH231" s="81"/>
      <c r="CI231" s="81"/>
      <c r="CJ231" s="81"/>
      <c r="CK231" s="81"/>
      <c r="CL231" s="81"/>
      <c r="CM231" s="81"/>
      <c r="CN231" s="81"/>
      <c r="CO231" s="81"/>
      <c r="CP231" s="81"/>
      <c r="CQ231" s="81"/>
      <c r="CR231" s="81"/>
      <c r="CS231" s="81"/>
      <c r="CT231" s="81"/>
      <c r="CU231" s="81"/>
      <c r="CV231" s="81"/>
      <c r="CW231" s="81"/>
      <c r="CX231" s="81"/>
      <c r="CY231" s="81"/>
      <c r="CZ231" s="81"/>
      <c r="DA231" s="81"/>
      <c r="DB231" s="81"/>
      <c r="DC231" s="81"/>
      <c r="DD231" s="81"/>
      <c r="DE231" s="81"/>
      <c r="DF231" s="81"/>
      <c r="DG231" s="81"/>
      <c r="DH231" s="81"/>
      <c r="DI231" s="81"/>
      <c r="DJ231" s="81"/>
      <c r="DK231" s="81"/>
      <c r="DL231" s="81"/>
      <c r="DM231" s="81"/>
      <c r="DN231" s="81"/>
      <c r="DO231" s="81"/>
      <c r="DP231" s="81"/>
      <c r="DQ231" s="81"/>
      <c r="DR231" s="81"/>
      <c r="DS231" s="81"/>
      <c r="DT231" s="81"/>
      <c r="DU231" s="81"/>
      <c r="DV231" s="81"/>
      <c r="DW231" s="121"/>
    </row>
    <row r="232" spans="1:127" x14ac:dyDescent="0.25">
      <c r="A232" s="2">
        <f>COUNTIF($D$2:D232,'Reporte de Nomina'!$E$2)</f>
        <v>0</v>
      </c>
      <c r="B232" s="125">
        <f>Lista!A231</f>
        <v>0</v>
      </c>
      <c r="C232" s="125">
        <f>Lista!B231</f>
        <v>0</v>
      </c>
      <c r="D232" s="125">
        <f>Lista!C231</f>
        <v>0</v>
      </c>
      <c r="E232" s="125">
        <f>Lista!D231</f>
        <v>0</v>
      </c>
      <c r="F232" s="125">
        <f>Lista!E231</f>
        <v>0</v>
      </c>
      <c r="G232" s="125">
        <f>Lista!F231</f>
        <v>0</v>
      </c>
      <c r="H232" s="125">
        <f>Lista!G231</f>
        <v>0</v>
      </c>
      <c r="I232" s="125">
        <f>Lista!H231</f>
        <v>0</v>
      </c>
      <c r="J232" s="125">
        <f>Lista!I231</f>
        <v>0</v>
      </c>
      <c r="K232" s="125">
        <f>Lista!J231</f>
        <v>0</v>
      </c>
      <c r="L232" s="125">
        <f>Lista!K231</f>
        <v>0</v>
      </c>
      <c r="M232" s="125">
        <f>Lista!L231</f>
        <v>0</v>
      </c>
      <c r="N232" s="125">
        <f>Lista!M231</f>
        <v>0</v>
      </c>
      <c r="O232" s="125">
        <f>Lista!N231</f>
        <v>0</v>
      </c>
      <c r="P232" s="125">
        <f>Lista!O231</f>
        <v>0</v>
      </c>
      <c r="Q232" s="125">
        <f>Lista!P231</f>
        <v>0</v>
      </c>
      <c r="R232" s="125">
        <f>Lista!Q231</f>
        <v>0</v>
      </c>
      <c r="S232" s="125">
        <f>Lista!R231</f>
        <v>0</v>
      </c>
      <c r="T232" s="81"/>
      <c r="U232" s="81"/>
      <c r="V232" s="81"/>
      <c r="W232" s="81"/>
      <c r="X232" s="81"/>
      <c r="Y232" s="81"/>
      <c r="Z232" s="81"/>
      <c r="AA232" s="81"/>
      <c r="AB232" s="81"/>
      <c r="AC232" s="81"/>
      <c r="AD232" s="81"/>
      <c r="AE232" s="81"/>
      <c r="AF232" s="81"/>
      <c r="AG232" s="81"/>
      <c r="AH232" s="81"/>
      <c r="AI232" s="81"/>
      <c r="AJ232" s="81"/>
      <c r="AK232" s="81"/>
      <c r="AL232" s="81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  <c r="BA232" s="81"/>
      <c r="BB232" s="81"/>
      <c r="BC232" s="81"/>
      <c r="BD232" s="81"/>
      <c r="BE232" s="81"/>
      <c r="BF232" s="81"/>
      <c r="BG232" s="81"/>
      <c r="BH232" s="81"/>
      <c r="BI232" s="81"/>
      <c r="BJ232" s="81"/>
      <c r="BK232" s="81"/>
      <c r="BL232" s="81"/>
      <c r="BM232" s="81"/>
      <c r="BN232" s="81"/>
      <c r="BO232" s="81"/>
      <c r="BP232" s="81"/>
      <c r="BQ232" s="81"/>
      <c r="BR232" s="81"/>
      <c r="BS232" s="81"/>
      <c r="BT232" s="81"/>
      <c r="BU232" s="81"/>
      <c r="BV232" s="81"/>
      <c r="BW232" s="81"/>
      <c r="BX232" s="81"/>
      <c r="BY232" s="81"/>
      <c r="BZ232" s="81"/>
      <c r="CA232" s="81"/>
      <c r="CB232" s="81"/>
      <c r="CC232" s="81"/>
      <c r="CD232" s="81"/>
      <c r="CE232" s="81"/>
      <c r="CF232" s="81"/>
      <c r="CG232" s="81"/>
      <c r="CH232" s="81"/>
      <c r="CI232" s="81"/>
      <c r="CJ232" s="81"/>
      <c r="CK232" s="81"/>
      <c r="CL232" s="81"/>
      <c r="CM232" s="81"/>
      <c r="CN232" s="81"/>
      <c r="CO232" s="81"/>
      <c r="CP232" s="81"/>
      <c r="CQ232" s="81"/>
      <c r="CR232" s="81"/>
      <c r="CS232" s="81"/>
      <c r="CT232" s="81"/>
      <c r="CU232" s="81"/>
      <c r="CV232" s="81"/>
      <c r="CW232" s="81"/>
      <c r="CX232" s="81"/>
      <c r="CY232" s="81"/>
      <c r="CZ232" s="81"/>
      <c r="DA232" s="81"/>
      <c r="DB232" s="81"/>
      <c r="DC232" s="81"/>
      <c r="DD232" s="81"/>
      <c r="DE232" s="81"/>
      <c r="DF232" s="81"/>
      <c r="DG232" s="81"/>
      <c r="DH232" s="81"/>
      <c r="DI232" s="81"/>
      <c r="DJ232" s="81"/>
      <c r="DK232" s="81"/>
      <c r="DL232" s="81"/>
      <c r="DM232" s="81"/>
      <c r="DN232" s="81"/>
      <c r="DO232" s="81"/>
      <c r="DP232" s="81"/>
      <c r="DQ232" s="81"/>
      <c r="DR232" s="81"/>
      <c r="DS232" s="81"/>
      <c r="DT232" s="81"/>
      <c r="DU232" s="81"/>
      <c r="DV232" s="81"/>
      <c r="DW232" s="121"/>
    </row>
    <row r="233" spans="1:127" x14ac:dyDescent="0.25">
      <c r="A233" s="2">
        <f>COUNTIF($D$2:D233,'Reporte de Nomina'!$E$2)</f>
        <v>0</v>
      </c>
      <c r="B233" s="125">
        <f>Lista!A232</f>
        <v>0</v>
      </c>
      <c r="C233" s="125">
        <f>Lista!B232</f>
        <v>0</v>
      </c>
      <c r="D233" s="125">
        <f>Lista!C232</f>
        <v>0</v>
      </c>
      <c r="E233" s="125">
        <f>Lista!D232</f>
        <v>0</v>
      </c>
      <c r="F233" s="125">
        <f>Lista!E232</f>
        <v>0</v>
      </c>
      <c r="G233" s="125">
        <f>Lista!F232</f>
        <v>0</v>
      </c>
      <c r="H233" s="125">
        <f>Lista!G232</f>
        <v>0</v>
      </c>
      <c r="I233" s="125">
        <f>Lista!H232</f>
        <v>0</v>
      </c>
      <c r="J233" s="125">
        <f>Lista!I232</f>
        <v>0</v>
      </c>
      <c r="K233" s="125">
        <f>Lista!J232</f>
        <v>0</v>
      </c>
      <c r="L233" s="125">
        <f>Lista!K232</f>
        <v>0</v>
      </c>
      <c r="M233" s="125">
        <f>Lista!L232</f>
        <v>0</v>
      </c>
      <c r="N233" s="125">
        <f>Lista!M232</f>
        <v>0</v>
      </c>
      <c r="O233" s="125">
        <f>Lista!N232</f>
        <v>0</v>
      </c>
      <c r="P233" s="125">
        <f>Lista!O232</f>
        <v>0</v>
      </c>
      <c r="Q233" s="125">
        <f>Lista!P232</f>
        <v>0</v>
      </c>
      <c r="R233" s="125">
        <f>Lista!Q232</f>
        <v>0</v>
      </c>
      <c r="S233" s="125">
        <f>Lista!R232</f>
        <v>0</v>
      </c>
      <c r="T233" s="81"/>
      <c r="U233" s="81"/>
      <c r="V233" s="81"/>
      <c r="W233" s="81"/>
      <c r="X233" s="81"/>
      <c r="Y233" s="81"/>
      <c r="Z233" s="81"/>
      <c r="AA233" s="81"/>
      <c r="AB233" s="81"/>
      <c r="AC233" s="81"/>
      <c r="AD233" s="81"/>
      <c r="AE233" s="81"/>
      <c r="AF233" s="81"/>
      <c r="AG233" s="81"/>
      <c r="AH233" s="81"/>
      <c r="AI233" s="81"/>
      <c r="AJ233" s="81"/>
      <c r="AK233" s="81"/>
      <c r="AL233" s="81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  <c r="BA233" s="81"/>
      <c r="BB233" s="81"/>
      <c r="BC233" s="81"/>
      <c r="BD233" s="81"/>
      <c r="BE233" s="81"/>
      <c r="BF233" s="81"/>
      <c r="BG233" s="81"/>
      <c r="BH233" s="81"/>
      <c r="BI233" s="81"/>
      <c r="BJ233" s="81"/>
      <c r="BK233" s="81"/>
      <c r="BL233" s="81"/>
      <c r="BM233" s="81"/>
      <c r="BN233" s="81"/>
      <c r="BO233" s="81"/>
      <c r="BP233" s="81"/>
      <c r="BQ233" s="81"/>
      <c r="BR233" s="81"/>
      <c r="BS233" s="81"/>
      <c r="BT233" s="81"/>
      <c r="BU233" s="81"/>
      <c r="BV233" s="81"/>
      <c r="BW233" s="81"/>
      <c r="BX233" s="81"/>
      <c r="BY233" s="81"/>
      <c r="BZ233" s="81"/>
      <c r="CA233" s="81"/>
      <c r="CB233" s="81"/>
      <c r="CC233" s="81"/>
      <c r="CD233" s="81"/>
      <c r="CE233" s="81"/>
      <c r="CF233" s="81"/>
      <c r="CG233" s="81"/>
      <c r="CH233" s="81"/>
      <c r="CI233" s="81"/>
      <c r="CJ233" s="81"/>
      <c r="CK233" s="81"/>
      <c r="CL233" s="81"/>
      <c r="CM233" s="81"/>
      <c r="CN233" s="81"/>
      <c r="CO233" s="81"/>
      <c r="CP233" s="81"/>
      <c r="CQ233" s="81"/>
      <c r="CR233" s="81"/>
      <c r="CS233" s="81"/>
      <c r="CT233" s="81"/>
      <c r="CU233" s="81"/>
      <c r="CV233" s="81"/>
      <c r="CW233" s="81"/>
      <c r="CX233" s="81"/>
      <c r="CY233" s="81"/>
      <c r="CZ233" s="81"/>
      <c r="DA233" s="81"/>
      <c r="DB233" s="81"/>
      <c r="DC233" s="81"/>
      <c r="DD233" s="81"/>
      <c r="DE233" s="81"/>
      <c r="DF233" s="81"/>
      <c r="DG233" s="81"/>
      <c r="DH233" s="81"/>
      <c r="DI233" s="81"/>
      <c r="DJ233" s="81"/>
      <c r="DK233" s="81"/>
      <c r="DL233" s="81"/>
      <c r="DM233" s="81"/>
      <c r="DN233" s="81"/>
      <c r="DO233" s="81"/>
      <c r="DP233" s="81"/>
      <c r="DQ233" s="81"/>
      <c r="DR233" s="81"/>
      <c r="DS233" s="81"/>
      <c r="DT233" s="81"/>
      <c r="DU233" s="81"/>
      <c r="DV233" s="81"/>
      <c r="DW233" s="121"/>
    </row>
    <row r="234" spans="1:127" x14ac:dyDescent="0.25">
      <c r="A234" s="2">
        <f>COUNTIF($D$2:D234,'Reporte de Nomina'!$E$2)</f>
        <v>0</v>
      </c>
      <c r="B234" s="125">
        <f>Lista!A233</f>
        <v>0</v>
      </c>
      <c r="C234" s="125">
        <f>Lista!B233</f>
        <v>0</v>
      </c>
      <c r="D234" s="125">
        <f>Lista!C233</f>
        <v>0</v>
      </c>
      <c r="E234" s="125">
        <f>Lista!D233</f>
        <v>0</v>
      </c>
      <c r="F234" s="125">
        <f>Lista!E233</f>
        <v>0</v>
      </c>
      <c r="G234" s="125">
        <f>Lista!F233</f>
        <v>0</v>
      </c>
      <c r="H234" s="125">
        <f>Lista!G233</f>
        <v>0</v>
      </c>
      <c r="I234" s="125">
        <f>Lista!H233</f>
        <v>0</v>
      </c>
      <c r="J234" s="125">
        <f>Lista!I233</f>
        <v>0</v>
      </c>
      <c r="K234" s="125">
        <f>Lista!J233</f>
        <v>0</v>
      </c>
      <c r="L234" s="125">
        <f>Lista!K233</f>
        <v>0</v>
      </c>
      <c r="M234" s="125">
        <f>Lista!L233</f>
        <v>0</v>
      </c>
      <c r="N234" s="125">
        <f>Lista!M233</f>
        <v>0</v>
      </c>
      <c r="O234" s="125">
        <f>Lista!N233</f>
        <v>0</v>
      </c>
      <c r="P234" s="125">
        <f>Lista!O233</f>
        <v>0</v>
      </c>
      <c r="Q234" s="125">
        <f>Lista!P233</f>
        <v>0</v>
      </c>
      <c r="R234" s="125">
        <f>Lista!Q233</f>
        <v>0</v>
      </c>
      <c r="S234" s="125">
        <f>Lista!R233</f>
        <v>0</v>
      </c>
      <c r="T234" s="81"/>
      <c r="U234" s="81"/>
      <c r="V234" s="81"/>
      <c r="W234" s="81"/>
      <c r="X234" s="81"/>
      <c r="Y234" s="81"/>
      <c r="Z234" s="81"/>
      <c r="AA234" s="81"/>
      <c r="AB234" s="81"/>
      <c r="AC234" s="81"/>
      <c r="AD234" s="81"/>
      <c r="AE234" s="81"/>
      <c r="AF234" s="81"/>
      <c r="AG234" s="81"/>
      <c r="AH234" s="81"/>
      <c r="AI234" s="81"/>
      <c r="AJ234" s="81"/>
      <c r="AK234" s="81"/>
      <c r="AL234" s="81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  <c r="BA234" s="81"/>
      <c r="BB234" s="81"/>
      <c r="BC234" s="81"/>
      <c r="BD234" s="81"/>
      <c r="BE234" s="81"/>
      <c r="BF234" s="81"/>
      <c r="BG234" s="81"/>
      <c r="BH234" s="81"/>
      <c r="BI234" s="81"/>
      <c r="BJ234" s="81"/>
      <c r="BK234" s="81"/>
      <c r="BL234" s="81"/>
      <c r="BM234" s="81"/>
      <c r="BN234" s="81"/>
      <c r="BO234" s="81"/>
      <c r="BP234" s="81"/>
      <c r="BQ234" s="81"/>
      <c r="BR234" s="81"/>
      <c r="BS234" s="81"/>
      <c r="BT234" s="81"/>
      <c r="BU234" s="81"/>
      <c r="BV234" s="81"/>
      <c r="BW234" s="81"/>
      <c r="BX234" s="81"/>
      <c r="BY234" s="81"/>
      <c r="BZ234" s="81"/>
      <c r="CA234" s="81"/>
      <c r="CB234" s="81"/>
      <c r="CC234" s="81"/>
      <c r="CD234" s="81"/>
      <c r="CE234" s="81"/>
      <c r="CF234" s="81"/>
      <c r="CG234" s="81"/>
      <c r="CH234" s="81"/>
      <c r="CI234" s="81"/>
      <c r="CJ234" s="81"/>
      <c r="CK234" s="81"/>
      <c r="CL234" s="81"/>
      <c r="CM234" s="81"/>
      <c r="CN234" s="81"/>
      <c r="CO234" s="81"/>
      <c r="CP234" s="81"/>
      <c r="CQ234" s="81"/>
      <c r="CR234" s="81"/>
      <c r="CS234" s="81"/>
      <c r="CT234" s="81"/>
      <c r="CU234" s="81"/>
      <c r="CV234" s="81"/>
      <c r="CW234" s="81"/>
      <c r="CX234" s="81"/>
      <c r="CY234" s="81"/>
      <c r="CZ234" s="81"/>
      <c r="DA234" s="81"/>
      <c r="DB234" s="81"/>
      <c r="DC234" s="81"/>
      <c r="DD234" s="81"/>
      <c r="DE234" s="81"/>
      <c r="DF234" s="81"/>
      <c r="DG234" s="81"/>
      <c r="DH234" s="81"/>
      <c r="DI234" s="81"/>
      <c r="DJ234" s="81"/>
      <c r="DK234" s="81"/>
      <c r="DL234" s="81"/>
      <c r="DM234" s="81"/>
      <c r="DN234" s="81"/>
      <c r="DO234" s="81"/>
      <c r="DP234" s="81"/>
      <c r="DQ234" s="81"/>
      <c r="DR234" s="81"/>
      <c r="DS234" s="81"/>
      <c r="DT234" s="81"/>
      <c r="DU234" s="81"/>
      <c r="DV234" s="81"/>
      <c r="DW234" s="121"/>
    </row>
    <row r="235" spans="1:127" x14ac:dyDescent="0.25">
      <c r="A235" s="2">
        <f>COUNTIF($D$2:D235,'Reporte de Nomina'!$E$2)</f>
        <v>0</v>
      </c>
      <c r="B235" s="125">
        <f>Lista!A234</f>
        <v>0</v>
      </c>
      <c r="C235" s="125">
        <f>Lista!B234</f>
        <v>0</v>
      </c>
      <c r="D235" s="125">
        <f>Lista!C234</f>
        <v>0</v>
      </c>
      <c r="E235" s="125">
        <f>Lista!D234</f>
        <v>0</v>
      </c>
      <c r="F235" s="125">
        <f>Lista!E234</f>
        <v>0</v>
      </c>
      <c r="G235" s="125">
        <f>Lista!F234</f>
        <v>0</v>
      </c>
      <c r="H235" s="125">
        <f>Lista!G234</f>
        <v>0</v>
      </c>
      <c r="I235" s="125">
        <f>Lista!H234</f>
        <v>0</v>
      </c>
      <c r="J235" s="125">
        <f>Lista!I234</f>
        <v>0</v>
      </c>
      <c r="K235" s="125">
        <f>Lista!J234</f>
        <v>0</v>
      </c>
      <c r="L235" s="125">
        <f>Lista!K234</f>
        <v>0</v>
      </c>
      <c r="M235" s="125">
        <f>Lista!L234</f>
        <v>0</v>
      </c>
      <c r="N235" s="125">
        <f>Lista!M234</f>
        <v>0</v>
      </c>
      <c r="O235" s="125">
        <f>Lista!N234</f>
        <v>0</v>
      </c>
      <c r="P235" s="125">
        <f>Lista!O234</f>
        <v>0</v>
      </c>
      <c r="Q235" s="125">
        <f>Lista!P234</f>
        <v>0</v>
      </c>
      <c r="R235" s="125">
        <f>Lista!Q234</f>
        <v>0</v>
      </c>
      <c r="S235" s="125">
        <f>Lista!R234</f>
        <v>0</v>
      </c>
      <c r="T235" s="81"/>
      <c r="U235" s="81"/>
      <c r="V235" s="81"/>
      <c r="W235" s="81"/>
      <c r="X235" s="81"/>
      <c r="Y235" s="81"/>
      <c r="Z235" s="81"/>
      <c r="AA235" s="81"/>
      <c r="AB235" s="81"/>
      <c r="AC235" s="81"/>
      <c r="AD235" s="81"/>
      <c r="AE235" s="81"/>
      <c r="AF235" s="81"/>
      <c r="AG235" s="81"/>
      <c r="AH235" s="81"/>
      <c r="AI235" s="81"/>
      <c r="AJ235" s="81"/>
      <c r="AK235" s="81"/>
      <c r="AL235" s="81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  <c r="BA235" s="81"/>
      <c r="BB235" s="81"/>
      <c r="BC235" s="81"/>
      <c r="BD235" s="81"/>
      <c r="BE235" s="81"/>
      <c r="BF235" s="81"/>
      <c r="BG235" s="81"/>
      <c r="BH235" s="81"/>
      <c r="BI235" s="81"/>
      <c r="BJ235" s="81"/>
      <c r="BK235" s="81"/>
      <c r="BL235" s="81"/>
      <c r="BM235" s="81"/>
      <c r="BN235" s="81"/>
      <c r="BO235" s="81"/>
      <c r="BP235" s="81"/>
      <c r="BQ235" s="81"/>
      <c r="BR235" s="81"/>
      <c r="BS235" s="81"/>
      <c r="BT235" s="81"/>
      <c r="BU235" s="81"/>
      <c r="BV235" s="81"/>
      <c r="BW235" s="81"/>
      <c r="BX235" s="81"/>
      <c r="BY235" s="81"/>
      <c r="BZ235" s="81"/>
      <c r="CA235" s="81"/>
      <c r="CB235" s="81"/>
      <c r="CC235" s="81"/>
      <c r="CD235" s="81"/>
      <c r="CE235" s="81"/>
      <c r="CF235" s="81"/>
      <c r="CG235" s="81"/>
      <c r="CH235" s="81"/>
      <c r="CI235" s="81"/>
      <c r="CJ235" s="81"/>
      <c r="CK235" s="81"/>
      <c r="CL235" s="81"/>
      <c r="CM235" s="81"/>
      <c r="CN235" s="81"/>
      <c r="CO235" s="81"/>
      <c r="CP235" s="81"/>
      <c r="CQ235" s="81"/>
      <c r="CR235" s="81"/>
      <c r="CS235" s="81"/>
      <c r="CT235" s="81"/>
      <c r="CU235" s="81"/>
      <c r="CV235" s="81"/>
      <c r="CW235" s="81"/>
      <c r="CX235" s="81"/>
      <c r="CY235" s="81"/>
      <c r="CZ235" s="81"/>
      <c r="DA235" s="81"/>
      <c r="DB235" s="81"/>
      <c r="DC235" s="81"/>
      <c r="DD235" s="81"/>
      <c r="DE235" s="81"/>
      <c r="DF235" s="81"/>
      <c r="DG235" s="81"/>
      <c r="DH235" s="81"/>
      <c r="DI235" s="81"/>
      <c r="DJ235" s="81"/>
      <c r="DK235" s="81"/>
      <c r="DL235" s="81"/>
      <c r="DM235" s="81"/>
      <c r="DN235" s="81"/>
      <c r="DO235" s="81"/>
      <c r="DP235" s="81"/>
      <c r="DQ235" s="81"/>
      <c r="DR235" s="81"/>
      <c r="DS235" s="81"/>
      <c r="DT235" s="81"/>
      <c r="DU235" s="81"/>
      <c r="DV235" s="81"/>
      <c r="DW235" s="121"/>
    </row>
    <row r="236" spans="1:127" x14ac:dyDescent="0.25">
      <c r="A236" s="2">
        <f>COUNTIF($D$2:D236,'Reporte de Nomina'!$E$2)</f>
        <v>0</v>
      </c>
      <c r="B236" s="125">
        <f>Lista!A235</f>
        <v>0</v>
      </c>
      <c r="C236" s="125">
        <f>Lista!B235</f>
        <v>0</v>
      </c>
      <c r="D236" s="125">
        <f>Lista!C235</f>
        <v>0</v>
      </c>
      <c r="E236" s="125">
        <f>Lista!D235</f>
        <v>0</v>
      </c>
      <c r="F236" s="125">
        <f>Lista!E235</f>
        <v>0</v>
      </c>
      <c r="G236" s="125">
        <f>Lista!F235</f>
        <v>0</v>
      </c>
      <c r="H236" s="125">
        <f>Lista!G235</f>
        <v>0</v>
      </c>
      <c r="I236" s="125">
        <f>Lista!H235</f>
        <v>0</v>
      </c>
      <c r="J236" s="125">
        <f>Lista!I235</f>
        <v>0</v>
      </c>
      <c r="K236" s="125">
        <f>Lista!J235</f>
        <v>0</v>
      </c>
      <c r="L236" s="125">
        <f>Lista!K235</f>
        <v>0</v>
      </c>
      <c r="M236" s="125">
        <f>Lista!L235</f>
        <v>0</v>
      </c>
      <c r="N236" s="125">
        <f>Lista!M235</f>
        <v>0</v>
      </c>
      <c r="O236" s="125">
        <f>Lista!N235</f>
        <v>0</v>
      </c>
      <c r="P236" s="125">
        <f>Lista!O235</f>
        <v>0</v>
      </c>
      <c r="Q236" s="125">
        <f>Lista!P235</f>
        <v>0</v>
      </c>
      <c r="R236" s="125">
        <f>Lista!Q235</f>
        <v>0</v>
      </c>
      <c r="S236" s="125">
        <f>Lista!R235</f>
        <v>0</v>
      </c>
      <c r="T236" s="81"/>
      <c r="U236" s="81"/>
      <c r="V236" s="81"/>
      <c r="W236" s="81"/>
      <c r="X236" s="81"/>
      <c r="Y236" s="81"/>
      <c r="Z236" s="81"/>
      <c r="AA236" s="81"/>
      <c r="AB236" s="81"/>
      <c r="AC236" s="81"/>
      <c r="AD236" s="81"/>
      <c r="AE236" s="81"/>
      <c r="AF236" s="81"/>
      <c r="AG236" s="81"/>
      <c r="AH236" s="81"/>
      <c r="AI236" s="81"/>
      <c r="AJ236" s="81"/>
      <c r="AK236" s="81"/>
      <c r="AL236" s="81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  <c r="BA236" s="81"/>
      <c r="BB236" s="81"/>
      <c r="BC236" s="81"/>
      <c r="BD236" s="81"/>
      <c r="BE236" s="81"/>
      <c r="BF236" s="81"/>
      <c r="BG236" s="81"/>
      <c r="BH236" s="81"/>
      <c r="BI236" s="81"/>
      <c r="BJ236" s="81"/>
      <c r="BK236" s="81"/>
      <c r="BL236" s="81"/>
      <c r="BM236" s="81"/>
      <c r="BN236" s="81"/>
      <c r="BO236" s="81"/>
      <c r="BP236" s="81"/>
      <c r="BQ236" s="81"/>
      <c r="BR236" s="81"/>
      <c r="BS236" s="81"/>
      <c r="BT236" s="81"/>
      <c r="BU236" s="81"/>
      <c r="BV236" s="81"/>
      <c r="BW236" s="81"/>
      <c r="BX236" s="81"/>
      <c r="BY236" s="81"/>
      <c r="BZ236" s="81"/>
      <c r="CA236" s="81"/>
      <c r="CB236" s="81"/>
      <c r="CC236" s="81"/>
      <c r="CD236" s="81"/>
      <c r="CE236" s="81"/>
      <c r="CF236" s="81"/>
      <c r="CG236" s="81"/>
      <c r="CH236" s="81"/>
      <c r="CI236" s="81"/>
      <c r="CJ236" s="81"/>
      <c r="CK236" s="81"/>
      <c r="CL236" s="81"/>
      <c r="CM236" s="81"/>
      <c r="CN236" s="81"/>
      <c r="CO236" s="81"/>
      <c r="CP236" s="81"/>
      <c r="CQ236" s="81"/>
      <c r="CR236" s="81"/>
      <c r="CS236" s="81"/>
      <c r="CT236" s="81"/>
      <c r="CU236" s="81"/>
      <c r="CV236" s="81"/>
      <c r="CW236" s="81"/>
      <c r="CX236" s="81"/>
      <c r="CY236" s="81"/>
      <c r="CZ236" s="81"/>
      <c r="DA236" s="81"/>
      <c r="DB236" s="81"/>
      <c r="DC236" s="81"/>
      <c r="DD236" s="81"/>
      <c r="DE236" s="81"/>
      <c r="DF236" s="81"/>
      <c r="DG236" s="81"/>
      <c r="DH236" s="81"/>
      <c r="DI236" s="81"/>
      <c r="DJ236" s="81"/>
      <c r="DK236" s="81"/>
      <c r="DL236" s="81"/>
      <c r="DM236" s="81"/>
      <c r="DN236" s="81"/>
      <c r="DO236" s="81"/>
      <c r="DP236" s="81"/>
      <c r="DQ236" s="81"/>
      <c r="DR236" s="81"/>
      <c r="DS236" s="81"/>
      <c r="DT236" s="81"/>
      <c r="DU236" s="81"/>
      <c r="DV236" s="81"/>
      <c r="DW236" s="121"/>
    </row>
    <row r="237" spans="1:127" x14ac:dyDescent="0.25">
      <c r="A237" s="2">
        <f>COUNTIF($D$2:D237,'Reporte de Nomina'!$E$2)</f>
        <v>0</v>
      </c>
      <c r="B237" s="125">
        <f>Lista!A236</f>
        <v>0</v>
      </c>
      <c r="C237" s="125">
        <f>Lista!B236</f>
        <v>0</v>
      </c>
      <c r="D237" s="125">
        <f>Lista!C236</f>
        <v>0</v>
      </c>
      <c r="E237" s="125">
        <f>Lista!D236</f>
        <v>0</v>
      </c>
      <c r="F237" s="125">
        <f>Lista!E236</f>
        <v>0</v>
      </c>
      <c r="G237" s="125">
        <f>Lista!F236</f>
        <v>0</v>
      </c>
      <c r="H237" s="125">
        <f>Lista!G236</f>
        <v>0</v>
      </c>
      <c r="I237" s="125">
        <f>Lista!H236</f>
        <v>0</v>
      </c>
      <c r="J237" s="125">
        <f>Lista!I236</f>
        <v>0</v>
      </c>
      <c r="K237" s="125">
        <f>Lista!J236</f>
        <v>0</v>
      </c>
      <c r="L237" s="125">
        <f>Lista!K236</f>
        <v>0</v>
      </c>
      <c r="M237" s="125">
        <f>Lista!L236</f>
        <v>0</v>
      </c>
      <c r="N237" s="125">
        <f>Lista!M236</f>
        <v>0</v>
      </c>
      <c r="O237" s="125">
        <f>Lista!N236</f>
        <v>0</v>
      </c>
      <c r="P237" s="125">
        <f>Lista!O236</f>
        <v>0</v>
      </c>
      <c r="Q237" s="125">
        <f>Lista!P236</f>
        <v>0</v>
      </c>
      <c r="R237" s="125">
        <f>Lista!Q236</f>
        <v>0</v>
      </c>
      <c r="S237" s="125">
        <f>Lista!R236</f>
        <v>0</v>
      </c>
      <c r="T237" s="81"/>
      <c r="U237" s="81"/>
      <c r="V237" s="81"/>
      <c r="W237" s="81"/>
      <c r="X237" s="81"/>
      <c r="Y237" s="81"/>
      <c r="Z237" s="81"/>
      <c r="AA237" s="81"/>
      <c r="AB237" s="81"/>
      <c r="AC237" s="81"/>
      <c r="AD237" s="81"/>
      <c r="AE237" s="81"/>
      <c r="AF237" s="81"/>
      <c r="AG237" s="81"/>
      <c r="AH237" s="81"/>
      <c r="AI237" s="81"/>
      <c r="AJ237" s="81"/>
      <c r="AK237" s="81"/>
      <c r="AL237" s="81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  <c r="BA237" s="81"/>
      <c r="BB237" s="81"/>
      <c r="BC237" s="81"/>
      <c r="BD237" s="81"/>
      <c r="BE237" s="81"/>
      <c r="BF237" s="81"/>
      <c r="BG237" s="81"/>
      <c r="BH237" s="81"/>
      <c r="BI237" s="81"/>
      <c r="BJ237" s="81"/>
      <c r="BK237" s="81"/>
      <c r="BL237" s="81"/>
      <c r="BM237" s="81"/>
      <c r="BN237" s="81"/>
      <c r="BO237" s="81"/>
      <c r="BP237" s="81"/>
      <c r="BQ237" s="81"/>
      <c r="BR237" s="81"/>
      <c r="BS237" s="81"/>
      <c r="BT237" s="81"/>
      <c r="BU237" s="81"/>
      <c r="BV237" s="81"/>
      <c r="BW237" s="81"/>
      <c r="BX237" s="81"/>
      <c r="BY237" s="81"/>
      <c r="BZ237" s="81"/>
      <c r="CA237" s="81"/>
      <c r="CB237" s="81"/>
      <c r="CC237" s="81"/>
      <c r="CD237" s="81"/>
      <c r="CE237" s="81"/>
      <c r="CF237" s="81"/>
      <c r="CG237" s="81"/>
      <c r="CH237" s="81"/>
      <c r="CI237" s="81"/>
      <c r="CJ237" s="81"/>
      <c r="CK237" s="81"/>
      <c r="CL237" s="81"/>
      <c r="CM237" s="81"/>
      <c r="CN237" s="81"/>
      <c r="CO237" s="81"/>
      <c r="CP237" s="81"/>
      <c r="CQ237" s="81"/>
      <c r="CR237" s="81"/>
      <c r="CS237" s="81"/>
      <c r="CT237" s="81"/>
      <c r="CU237" s="81"/>
      <c r="CV237" s="81"/>
      <c r="CW237" s="81"/>
      <c r="CX237" s="81"/>
      <c r="CY237" s="81"/>
      <c r="CZ237" s="81"/>
      <c r="DA237" s="81"/>
      <c r="DB237" s="81"/>
      <c r="DC237" s="81"/>
      <c r="DD237" s="81"/>
      <c r="DE237" s="81"/>
      <c r="DF237" s="81"/>
      <c r="DG237" s="81"/>
      <c r="DH237" s="81"/>
      <c r="DI237" s="81"/>
      <c r="DJ237" s="81"/>
      <c r="DK237" s="81"/>
      <c r="DL237" s="81"/>
      <c r="DM237" s="81"/>
      <c r="DN237" s="81"/>
      <c r="DO237" s="81"/>
      <c r="DP237" s="81"/>
      <c r="DQ237" s="81"/>
      <c r="DR237" s="81"/>
      <c r="DS237" s="81"/>
      <c r="DT237" s="81"/>
      <c r="DU237" s="81"/>
      <c r="DV237" s="81"/>
      <c r="DW237" s="121"/>
    </row>
    <row r="238" spans="1:127" x14ac:dyDescent="0.25">
      <c r="A238" s="2">
        <f>COUNTIF($D$2:D238,'Reporte de Nomina'!$E$2)</f>
        <v>0</v>
      </c>
      <c r="B238" s="125">
        <f>Lista!A237</f>
        <v>0</v>
      </c>
      <c r="C238" s="125">
        <f>Lista!B237</f>
        <v>0</v>
      </c>
      <c r="D238" s="125">
        <f>Lista!C237</f>
        <v>0</v>
      </c>
      <c r="E238" s="125">
        <f>Lista!D237</f>
        <v>0</v>
      </c>
      <c r="F238" s="125">
        <f>Lista!E237</f>
        <v>0</v>
      </c>
      <c r="G238" s="125">
        <f>Lista!F237</f>
        <v>0</v>
      </c>
      <c r="H238" s="125">
        <f>Lista!G237</f>
        <v>0</v>
      </c>
      <c r="I238" s="125">
        <f>Lista!H237</f>
        <v>0</v>
      </c>
      <c r="J238" s="125">
        <f>Lista!I237</f>
        <v>0</v>
      </c>
      <c r="K238" s="125">
        <f>Lista!J237</f>
        <v>0</v>
      </c>
      <c r="L238" s="125">
        <f>Lista!K237</f>
        <v>0</v>
      </c>
      <c r="M238" s="125">
        <f>Lista!L237</f>
        <v>0</v>
      </c>
      <c r="N238" s="125">
        <f>Lista!M237</f>
        <v>0</v>
      </c>
      <c r="O238" s="125">
        <f>Lista!N237</f>
        <v>0</v>
      </c>
      <c r="P238" s="125">
        <f>Lista!O237</f>
        <v>0</v>
      </c>
      <c r="Q238" s="125">
        <f>Lista!P237</f>
        <v>0</v>
      </c>
      <c r="R238" s="125">
        <f>Lista!Q237</f>
        <v>0</v>
      </c>
      <c r="S238" s="125">
        <f>Lista!R237</f>
        <v>0</v>
      </c>
      <c r="T238" s="81"/>
      <c r="U238" s="81"/>
      <c r="V238" s="81"/>
      <c r="W238" s="81"/>
      <c r="X238" s="81"/>
      <c r="Y238" s="81"/>
      <c r="Z238" s="81"/>
      <c r="AA238" s="81"/>
      <c r="AB238" s="81"/>
      <c r="AC238" s="81"/>
      <c r="AD238" s="81"/>
      <c r="AE238" s="81"/>
      <c r="AF238" s="81"/>
      <c r="AG238" s="81"/>
      <c r="AH238" s="81"/>
      <c r="AI238" s="81"/>
      <c r="AJ238" s="81"/>
      <c r="AK238" s="81"/>
      <c r="AL238" s="81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  <c r="BA238" s="81"/>
      <c r="BB238" s="81"/>
      <c r="BC238" s="81"/>
      <c r="BD238" s="81"/>
      <c r="BE238" s="81"/>
      <c r="BF238" s="81"/>
      <c r="BG238" s="81"/>
      <c r="BH238" s="81"/>
      <c r="BI238" s="81"/>
      <c r="BJ238" s="81"/>
      <c r="BK238" s="81"/>
      <c r="BL238" s="81"/>
      <c r="BM238" s="81"/>
      <c r="BN238" s="81"/>
      <c r="BO238" s="81"/>
      <c r="BP238" s="81"/>
      <c r="BQ238" s="81"/>
      <c r="BR238" s="81"/>
      <c r="BS238" s="81"/>
      <c r="BT238" s="81"/>
      <c r="BU238" s="81"/>
      <c r="BV238" s="81"/>
      <c r="BW238" s="81"/>
      <c r="BX238" s="81"/>
      <c r="BY238" s="81"/>
      <c r="BZ238" s="81"/>
      <c r="CA238" s="81"/>
      <c r="CB238" s="81"/>
      <c r="CC238" s="81"/>
      <c r="CD238" s="81"/>
      <c r="CE238" s="81"/>
      <c r="CF238" s="81"/>
      <c r="CG238" s="81"/>
      <c r="CH238" s="81"/>
      <c r="CI238" s="81"/>
      <c r="CJ238" s="81"/>
      <c r="CK238" s="81"/>
      <c r="CL238" s="81"/>
      <c r="CM238" s="81"/>
      <c r="CN238" s="81"/>
      <c r="CO238" s="81"/>
      <c r="CP238" s="81"/>
      <c r="CQ238" s="81"/>
      <c r="CR238" s="81"/>
      <c r="CS238" s="81"/>
      <c r="CT238" s="81"/>
      <c r="CU238" s="81"/>
      <c r="CV238" s="81"/>
      <c r="CW238" s="81"/>
      <c r="CX238" s="81"/>
      <c r="CY238" s="81"/>
      <c r="CZ238" s="81"/>
      <c r="DA238" s="81"/>
      <c r="DB238" s="81"/>
      <c r="DC238" s="81"/>
      <c r="DD238" s="81"/>
      <c r="DE238" s="81"/>
      <c r="DF238" s="81"/>
      <c r="DG238" s="81"/>
      <c r="DH238" s="81"/>
      <c r="DI238" s="81"/>
      <c r="DJ238" s="81"/>
      <c r="DK238" s="81"/>
      <c r="DL238" s="81"/>
      <c r="DM238" s="81"/>
      <c r="DN238" s="81"/>
      <c r="DO238" s="81"/>
      <c r="DP238" s="81"/>
      <c r="DQ238" s="81"/>
      <c r="DR238" s="81"/>
      <c r="DS238" s="81"/>
      <c r="DT238" s="81"/>
      <c r="DU238" s="81"/>
      <c r="DV238" s="81"/>
      <c r="DW238" s="121"/>
    </row>
    <row r="239" spans="1:127" x14ac:dyDescent="0.25">
      <c r="A239" s="2">
        <f>COUNTIF($D$2:D239,'Reporte de Nomina'!$E$2)</f>
        <v>0</v>
      </c>
      <c r="B239" s="125">
        <f>Lista!A238</f>
        <v>0</v>
      </c>
      <c r="C239" s="125">
        <f>Lista!B238</f>
        <v>0</v>
      </c>
      <c r="D239" s="125">
        <f>Lista!C238</f>
        <v>0</v>
      </c>
      <c r="E239" s="125">
        <f>Lista!D238</f>
        <v>0</v>
      </c>
      <c r="F239" s="125">
        <f>Lista!E238</f>
        <v>0</v>
      </c>
      <c r="G239" s="125">
        <f>Lista!F238</f>
        <v>0</v>
      </c>
      <c r="H239" s="125">
        <f>Lista!G238</f>
        <v>0</v>
      </c>
      <c r="I239" s="125">
        <f>Lista!H238</f>
        <v>0</v>
      </c>
      <c r="J239" s="125">
        <f>Lista!I238</f>
        <v>0</v>
      </c>
      <c r="K239" s="125">
        <f>Lista!J238</f>
        <v>0</v>
      </c>
      <c r="L239" s="125">
        <f>Lista!K238</f>
        <v>0</v>
      </c>
      <c r="M239" s="125">
        <f>Lista!L238</f>
        <v>0</v>
      </c>
      <c r="N239" s="125">
        <f>Lista!M238</f>
        <v>0</v>
      </c>
      <c r="O239" s="125">
        <f>Lista!N238</f>
        <v>0</v>
      </c>
      <c r="P239" s="125">
        <f>Lista!O238</f>
        <v>0</v>
      </c>
      <c r="Q239" s="125">
        <f>Lista!P238</f>
        <v>0</v>
      </c>
      <c r="R239" s="125">
        <f>Lista!Q238</f>
        <v>0</v>
      </c>
      <c r="S239" s="125">
        <f>Lista!R238</f>
        <v>0</v>
      </c>
      <c r="T239" s="81"/>
      <c r="U239" s="81"/>
      <c r="V239" s="81"/>
      <c r="W239" s="81"/>
      <c r="X239" s="81"/>
      <c r="Y239" s="81"/>
      <c r="Z239" s="81"/>
      <c r="AA239" s="81"/>
      <c r="AB239" s="81"/>
      <c r="AC239" s="81"/>
      <c r="AD239" s="81"/>
      <c r="AE239" s="81"/>
      <c r="AF239" s="81"/>
      <c r="AG239" s="81"/>
      <c r="AH239" s="81"/>
      <c r="AI239" s="81"/>
      <c r="AJ239" s="81"/>
      <c r="AK239" s="81"/>
      <c r="AL239" s="81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  <c r="BA239" s="81"/>
      <c r="BB239" s="81"/>
      <c r="BC239" s="81"/>
      <c r="BD239" s="81"/>
      <c r="BE239" s="81"/>
      <c r="BF239" s="81"/>
      <c r="BG239" s="81"/>
      <c r="BH239" s="81"/>
      <c r="BI239" s="81"/>
      <c r="BJ239" s="81"/>
      <c r="BK239" s="81"/>
      <c r="BL239" s="81"/>
      <c r="BM239" s="81"/>
      <c r="BN239" s="81"/>
      <c r="BO239" s="81"/>
      <c r="BP239" s="81"/>
      <c r="BQ239" s="81"/>
      <c r="BR239" s="81"/>
      <c r="BS239" s="81"/>
      <c r="BT239" s="81"/>
      <c r="BU239" s="81"/>
      <c r="BV239" s="81"/>
      <c r="BW239" s="81"/>
      <c r="BX239" s="81"/>
      <c r="BY239" s="81"/>
      <c r="BZ239" s="81"/>
      <c r="CA239" s="81"/>
      <c r="CB239" s="81"/>
      <c r="CC239" s="81"/>
      <c r="CD239" s="81"/>
      <c r="CE239" s="81"/>
      <c r="CF239" s="81"/>
      <c r="CG239" s="81"/>
      <c r="CH239" s="81"/>
      <c r="CI239" s="81"/>
      <c r="CJ239" s="81"/>
      <c r="CK239" s="81"/>
      <c r="CL239" s="81"/>
      <c r="CM239" s="81"/>
      <c r="CN239" s="81"/>
      <c r="CO239" s="81"/>
      <c r="CP239" s="81"/>
      <c r="CQ239" s="81"/>
      <c r="CR239" s="81"/>
      <c r="CS239" s="81"/>
      <c r="CT239" s="81"/>
      <c r="CU239" s="81"/>
      <c r="CV239" s="81"/>
      <c r="CW239" s="81"/>
      <c r="CX239" s="81"/>
      <c r="CY239" s="81"/>
      <c r="CZ239" s="81"/>
      <c r="DA239" s="81"/>
      <c r="DB239" s="81"/>
      <c r="DC239" s="81"/>
      <c r="DD239" s="81"/>
      <c r="DE239" s="81"/>
      <c r="DF239" s="81"/>
      <c r="DG239" s="81"/>
      <c r="DH239" s="81"/>
      <c r="DI239" s="81"/>
      <c r="DJ239" s="81"/>
      <c r="DK239" s="81"/>
      <c r="DL239" s="81"/>
      <c r="DM239" s="81"/>
      <c r="DN239" s="81"/>
      <c r="DO239" s="81"/>
      <c r="DP239" s="81"/>
      <c r="DQ239" s="81"/>
      <c r="DR239" s="81"/>
      <c r="DS239" s="81"/>
      <c r="DT239" s="81"/>
      <c r="DU239" s="81"/>
      <c r="DV239" s="81"/>
      <c r="DW239" s="121"/>
    </row>
    <row r="240" spans="1:127" x14ac:dyDescent="0.25">
      <c r="A240" s="2">
        <f>COUNTIF($D$2:D240,'Reporte de Nomina'!$E$2)</f>
        <v>0</v>
      </c>
      <c r="B240" s="125">
        <f>Lista!A239</f>
        <v>0</v>
      </c>
      <c r="C240" s="125">
        <f>Lista!B239</f>
        <v>0</v>
      </c>
      <c r="D240" s="125">
        <f>Lista!C239</f>
        <v>0</v>
      </c>
      <c r="E240" s="125">
        <f>Lista!D239</f>
        <v>0</v>
      </c>
      <c r="F240" s="125">
        <f>Lista!E239</f>
        <v>0</v>
      </c>
      <c r="G240" s="125">
        <f>Lista!F239</f>
        <v>0</v>
      </c>
      <c r="H240" s="125">
        <f>Lista!G239</f>
        <v>0</v>
      </c>
      <c r="I240" s="125">
        <f>Lista!H239</f>
        <v>0</v>
      </c>
      <c r="J240" s="125">
        <f>Lista!I239</f>
        <v>0</v>
      </c>
      <c r="K240" s="125">
        <f>Lista!J239</f>
        <v>0</v>
      </c>
      <c r="L240" s="125">
        <f>Lista!K239</f>
        <v>0</v>
      </c>
      <c r="M240" s="125">
        <f>Lista!L239</f>
        <v>0</v>
      </c>
      <c r="N240" s="125">
        <f>Lista!M239</f>
        <v>0</v>
      </c>
      <c r="O240" s="125">
        <f>Lista!N239</f>
        <v>0</v>
      </c>
      <c r="P240" s="125">
        <f>Lista!O239</f>
        <v>0</v>
      </c>
      <c r="Q240" s="125">
        <f>Lista!P239</f>
        <v>0</v>
      </c>
      <c r="R240" s="125">
        <f>Lista!Q239</f>
        <v>0</v>
      </c>
      <c r="S240" s="125">
        <f>Lista!R239</f>
        <v>0</v>
      </c>
      <c r="T240" s="81"/>
      <c r="U240" s="81"/>
      <c r="V240" s="81"/>
      <c r="W240" s="81"/>
      <c r="X240" s="81"/>
      <c r="Y240" s="81"/>
      <c r="Z240" s="81"/>
      <c r="AA240" s="81"/>
      <c r="AB240" s="81"/>
      <c r="AC240" s="81"/>
      <c r="AD240" s="81"/>
      <c r="AE240" s="81"/>
      <c r="AF240" s="81"/>
      <c r="AG240" s="81"/>
      <c r="AH240" s="81"/>
      <c r="AI240" s="81"/>
      <c r="AJ240" s="81"/>
      <c r="AK240" s="81"/>
      <c r="AL240" s="81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  <c r="BA240" s="81"/>
      <c r="BB240" s="81"/>
      <c r="BC240" s="81"/>
      <c r="BD240" s="81"/>
      <c r="BE240" s="81"/>
      <c r="BF240" s="81"/>
      <c r="BG240" s="81"/>
      <c r="BH240" s="81"/>
      <c r="BI240" s="81"/>
      <c r="BJ240" s="81"/>
      <c r="BK240" s="81"/>
      <c r="BL240" s="81"/>
      <c r="BM240" s="81"/>
      <c r="BN240" s="81"/>
      <c r="BO240" s="81"/>
      <c r="BP240" s="81"/>
      <c r="BQ240" s="81"/>
      <c r="BR240" s="81"/>
      <c r="BS240" s="81"/>
      <c r="BT240" s="81"/>
      <c r="BU240" s="81"/>
      <c r="BV240" s="81"/>
      <c r="BW240" s="81"/>
      <c r="BX240" s="81"/>
      <c r="BY240" s="81"/>
      <c r="BZ240" s="81"/>
      <c r="CA240" s="81"/>
      <c r="CB240" s="81"/>
      <c r="CC240" s="81"/>
      <c r="CD240" s="81"/>
      <c r="CE240" s="81"/>
      <c r="CF240" s="81"/>
      <c r="CG240" s="81"/>
      <c r="CH240" s="81"/>
      <c r="CI240" s="81"/>
      <c r="CJ240" s="81"/>
      <c r="CK240" s="81"/>
      <c r="CL240" s="81"/>
      <c r="CM240" s="81"/>
      <c r="CN240" s="81"/>
      <c r="CO240" s="81"/>
      <c r="CP240" s="81"/>
      <c r="CQ240" s="81"/>
      <c r="CR240" s="81"/>
      <c r="CS240" s="81"/>
      <c r="CT240" s="81"/>
      <c r="CU240" s="81"/>
      <c r="CV240" s="81"/>
      <c r="CW240" s="81"/>
      <c r="CX240" s="81"/>
      <c r="CY240" s="81"/>
      <c r="CZ240" s="81"/>
      <c r="DA240" s="81"/>
      <c r="DB240" s="81"/>
      <c r="DC240" s="81"/>
      <c r="DD240" s="81"/>
      <c r="DE240" s="81"/>
      <c r="DF240" s="81"/>
      <c r="DG240" s="81"/>
      <c r="DH240" s="81"/>
      <c r="DI240" s="81"/>
      <c r="DJ240" s="81"/>
      <c r="DK240" s="81"/>
      <c r="DL240" s="81"/>
      <c r="DM240" s="81"/>
      <c r="DN240" s="81"/>
      <c r="DO240" s="81"/>
      <c r="DP240" s="81"/>
      <c r="DQ240" s="81"/>
      <c r="DR240" s="81"/>
      <c r="DS240" s="81"/>
      <c r="DT240" s="81"/>
      <c r="DU240" s="81"/>
      <c r="DV240" s="81"/>
      <c r="DW240" s="121"/>
    </row>
    <row r="241" spans="1:127" x14ac:dyDescent="0.25">
      <c r="A241" s="2">
        <f>COUNTIF($D$2:D241,'Reporte de Nomina'!$E$2)</f>
        <v>0</v>
      </c>
      <c r="B241" s="125">
        <f>Lista!A240</f>
        <v>0</v>
      </c>
      <c r="C241" s="125">
        <f>Lista!B240</f>
        <v>0</v>
      </c>
      <c r="D241" s="125">
        <f>Lista!C240</f>
        <v>0</v>
      </c>
      <c r="E241" s="125">
        <f>Lista!D240</f>
        <v>0</v>
      </c>
      <c r="F241" s="125">
        <f>Lista!E240</f>
        <v>0</v>
      </c>
      <c r="G241" s="125">
        <f>Lista!F240</f>
        <v>0</v>
      </c>
      <c r="H241" s="125">
        <f>Lista!G240</f>
        <v>0</v>
      </c>
      <c r="I241" s="125">
        <f>Lista!H240</f>
        <v>0</v>
      </c>
      <c r="J241" s="125">
        <f>Lista!I240</f>
        <v>0</v>
      </c>
      <c r="K241" s="125">
        <f>Lista!J240</f>
        <v>0</v>
      </c>
      <c r="L241" s="125">
        <f>Lista!K240</f>
        <v>0</v>
      </c>
      <c r="M241" s="125">
        <f>Lista!L240</f>
        <v>0</v>
      </c>
      <c r="N241" s="125">
        <f>Lista!M240</f>
        <v>0</v>
      </c>
      <c r="O241" s="125">
        <f>Lista!N240</f>
        <v>0</v>
      </c>
      <c r="P241" s="125">
        <f>Lista!O240</f>
        <v>0</v>
      </c>
      <c r="Q241" s="125">
        <f>Lista!P240</f>
        <v>0</v>
      </c>
      <c r="R241" s="125">
        <f>Lista!Q240</f>
        <v>0</v>
      </c>
      <c r="S241" s="125">
        <f>Lista!R240</f>
        <v>0</v>
      </c>
      <c r="T241" s="81"/>
      <c r="U241" s="81"/>
      <c r="V241" s="81"/>
      <c r="W241" s="81"/>
      <c r="X241" s="81"/>
      <c r="Y241" s="81"/>
      <c r="Z241" s="81"/>
      <c r="AA241" s="81"/>
      <c r="AB241" s="81"/>
      <c r="AC241" s="81"/>
      <c r="AD241" s="81"/>
      <c r="AE241" s="81"/>
      <c r="AF241" s="81"/>
      <c r="AG241" s="81"/>
      <c r="AH241" s="81"/>
      <c r="AI241" s="81"/>
      <c r="AJ241" s="81"/>
      <c r="AK241" s="81"/>
      <c r="AL241" s="81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  <c r="BA241" s="81"/>
      <c r="BB241" s="81"/>
      <c r="BC241" s="81"/>
      <c r="BD241" s="81"/>
      <c r="BE241" s="81"/>
      <c r="BF241" s="81"/>
      <c r="BG241" s="81"/>
      <c r="BH241" s="81"/>
      <c r="BI241" s="81"/>
      <c r="BJ241" s="81"/>
      <c r="BK241" s="81"/>
      <c r="BL241" s="81"/>
      <c r="BM241" s="81"/>
      <c r="BN241" s="81"/>
      <c r="BO241" s="81"/>
      <c r="BP241" s="81"/>
      <c r="BQ241" s="81"/>
      <c r="BR241" s="81"/>
      <c r="BS241" s="81"/>
      <c r="BT241" s="81"/>
      <c r="BU241" s="81"/>
      <c r="BV241" s="81"/>
      <c r="BW241" s="81"/>
      <c r="BX241" s="81"/>
      <c r="BY241" s="81"/>
      <c r="BZ241" s="81"/>
      <c r="CA241" s="81"/>
      <c r="CB241" s="81"/>
      <c r="CC241" s="81"/>
      <c r="CD241" s="81"/>
      <c r="CE241" s="81"/>
      <c r="CF241" s="81"/>
      <c r="CG241" s="81"/>
      <c r="CH241" s="81"/>
      <c r="CI241" s="81"/>
      <c r="CJ241" s="81"/>
      <c r="CK241" s="81"/>
      <c r="CL241" s="81"/>
      <c r="CM241" s="81"/>
      <c r="CN241" s="81"/>
      <c r="CO241" s="81"/>
      <c r="CP241" s="81"/>
      <c r="CQ241" s="81"/>
      <c r="CR241" s="81"/>
      <c r="CS241" s="81"/>
      <c r="CT241" s="81"/>
      <c r="CU241" s="81"/>
      <c r="CV241" s="81"/>
      <c r="CW241" s="81"/>
      <c r="CX241" s="81"/>
      <c r="CY241" s="81"/>
      <c r="CZ241" s="81"/>
      <c r="DA241" s="81"/>
      <c r="DB241" s="81"/>
      <c r="DC241" s="81"/>
      <c r="DD241" s="81"/>
      <c r="DE241" s="81"/>
      <c r="DF241" s="81"/>
      <c r="DG241" s="81"/>
      <c r="DH241" s="81"/>
      <c r="DI241" s="81"/>
      <c r="DJ241" s="81"/>
      <c r="DK241" s="81"/>
      <c r="DL241" s="81"/>
      <c r="DM241" s="81"/>
      <c r="DN241" s="81"/>
      <c r="DO241" s="81"/>
      <c r="DP241" s="81"/>
      <c r="DQ241" s="81"/>
      <c r="DR241" s="81"/>
      <c r="DS241" s="81"/>
      <c r="DT241" s="81"/>
      <c r="DU241" s="81"/>
      <c r="DV241" s="81"/>
      <c r="DW241" s="121"/>
    </row>
    <row r="242" spans="1:127" x14ac:dyDescent="0.25">
      <c r="A242" s="2">
        <f>COUNTIF($D$2:D242,'Reporte de Nomina'!$E$2)</f>
        <v>0</v>
      </c>
      <c r="B242" s="125">
        <f>Lista!A241</f>
        <v>0</v>
      </c>
      <c r="C242" s="125">
        <f>Lista!B241</f>
        <v>0</v>
      </c>
      <c r="D242" s="125">
        <f>Lista!C241</f>
        <v>0</v>
      </c>
      <c r="E242" s="125">
        <f>Lista!D241</f>
        <v>0</v>
      </c>
      <c r="F242" s="125">
        <f>Lista!E241</f>
        <v>0</v>
      </c>
      <c r="G242" s="125">
        <f>Lista!F241</f>
        <v>0</v>
      </c>
      <c r="H242" s="125">
        <f>Lista!G241</f>
        <v>0</v>
      </c>
      <c r="I242" s="125">
        <f>Lista!H241</f>
        <v>0</v>
      </c>
      <c r="J242" s="125">
        <f>Lista!I241</f>
        <v>0</v>
      </c>
      <c r="K242" s="125">
        <f>Lista!J241</f>
        <v>0</v>
      </c>
      <c r="L242" s="125">
        <f>Lista!K241</f>
        <v>0</v>
      </c>
      <c r="M242" s="125">
        <f>Lista!L241</f>
        <v>0</v>
      </c>
      <c r="N242" s="125">
        <f>Lista!M241</f>
        <v>0</v>
      </c>
      <c r="O242" s="125">
        <f>Lista!N241</f>
        <v>0</v>
      </c>
      <c r="P242" s="125">
        <f>Lista!O241</f>
        <v>0</v>
      </c>
      <c r="Q242" s="125">
        <f>Lista!P241</f>
        <v>0</v>
      </c>
      <c r="R242" s="125">
        <f>Lista!Q241</f>
        <v>0</v>
      </c>
      <c r="S242" s="125">
        <f>Lista!R241</f>
        <v>0</v>
      </c>
      <c r="T242" s="81"/>
      <c r="U242" s="81"/>
      <c r="V242" s="81"/>
      <c r="W242" s="81"/>
      <c r="X242" s="81"/>
      <c r="Y242" s="81"/>
      <c r="Z242" s="81"/>
      <c r="AA242" s="81"/>
      <c r="AB242" s="81"/>
      <c r="AC242" s="81"/>
      <c r="AD242" s="81"/>
      <c r="AE242" s="81"/>
      <c r="AF242" s="81"/>
      <c r="AG242" s="81"/>
      <c r="AH242" s="81"/>
      <c r="AI242" s="81"/>
      <c r="AJ242" s="81"/>
      <c r="AK242" s="81"/>
      <c r="AL242" s="81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  <c r="BA242" s="81"/>
      <c r="BB242" s="81"/>
      <c r="BC242" s="81"/>
      <c r="BD242" s="81"/>
      <c r="BE242" s="81"/>
      <c r="BF242" s="81"/>
      <c r="BG242" s="81"/>
      <c r="BH242" s="81"/>
      <c r="BI242" s="81"/>
      <c r="BJ242" s="81"/>
      <c r="BK242" s="81"/>
      <c r="BL242" s="81"/>
      <c r="BM242" s="81"/>
      <c r="BN242" s="81"/>
      <c r="BO242" s="81"/>
      <c r="BP242" s="81"/>
      <c r="BQ242" s="81"/>
      <c r="BR242" s="81"/>
      <c r="BS242" s="81"/>
      <c r="BT242" s="81"/>
      <c r="BU242" s="81"/>
      <c r="BV242" s="81"/>
      <c r="BW242" s="81"/>
      <c r="BX242" s="81"/>
      <c r="BY242" s="81"/>
      <c r="BZ242" s="81"/>
      <c r="CA242" s="81"/>
      <c r="CB242" s="81"/>
      <c r="CC242" s="81"/>
      <c r="CD242" s="81"/>
      <c r="CE242" s="81"/>
      <c r="CF242" s="81"/>
      <c r="CG242" s="81"/>
      <c r="CH242" s="81"/>
      <c r="CI242" s="81"/>
      <c r="CJ242" s="81"/>
      <c r="CK242" s="81"/>
      <c r="CL242" s="81"/>
      <c r="CM242" s="81"/>
      <c r="CN242" s="81"/>
      <c r="CO242" s="81"/>
      <c r="CP242" s="81"/>
      <c r="CQ242" s="81"/>
      <c r="CR242" s="81"/>
      <c r="CS242" s="81"/>
      <c r="CT242" s="81"/>
      <c r="CU242" s="81"/>
      <c r="CV242" s="81"/>
      <c r="CW242" s="81"/>
      <c r="CX242" s="81"/>
      <c r="CY242" s="81"/>
      <c r="CZ242" s="81"/>
      <c r="DA242" s="81"/>
      <c r="DB242" s="81"/>
      <c r="DC242" s="81"/>
      <c r="DD242" s="81"/>
      <c r="DE242" s="81"/>
      <c r="DF242" s="81"/>
      <c r="DG242" s="81"/>
      <c r="DH242" s="81"/>
      <c r="DI242" s="81"/>
      <c r="DJ242" s="81"/>
      <c r="DK242" s="81"/>
      <c r="DL242" s="81"/>
      <c r="DM242" s="81"/>
      <c r="DN242" s="81"/>
      <c r="DO242" s="81"/>
      <c r="DP242" s="81"/>
      <c r="DQ242" s="81"/>
      <c r="DR242" s="81"/>
      <c r="DS242" s="81"/>
      <c r="DT242" s="81"/>
      <c r="DU242" s="81"/>
      <c r="DV242" s="81"/>
      <c r="DW242" s="121"/>
    </row>
    <row r="243" spans="1:127" x14ac:dyDescent="0.25">
      <c r="A243" s="2">
        <f>COUNTIF($D$2:D243,'Reporte de Nomina'!$E$2)</f>
        <v>0</v>
      </c>
      <c r="B243" s="125">
        <f>Lista!A242</f>
        <v>0</v>
      </c>
      <c r="C243" s="125">
        <f>Lista!B242</f>
        <v>0</v>
      </c>
      <c r="D243" s="125">
        <f>Lista!C242</f>
        <v>0</v>
      </c>
      <c r="E243" s="125">
        <f>Lista!D242</f>
        <v>0</v>
      </c>
      <c r="F243" s="125">
        <f>Lista!E242</f>
        <v>0</v>
      </c>
      <c r="G243" s="125">
        <f>Lista!F242</f>
        <v>0</v>
      </c>
      <c r="H243" s="125">
        <f>Lista!G242</f>
        <v>0</v>
      </c>
      <c r="I243" s="125">
        <f>Lista!H242</f>
        <v>0</v>
      </c>
      <c r="J243" s="125">
        <f>Lista!I242</f>
        <v>0</v>
      </c>
      <c r="K243" s="125">
        <f>Lista!J242</f>
        <v>0</v>
      </c>
      <c r="L243" s="125">
        <f>Lista!K242</f>
        <v>0</v>
      </c>
      <c r="M243" s="125">
        <f>Lista!L242</f>
        <v>0</v>
      </c>
      <c r="N243" s="125">
        <f>Lista!M242</f>
        <v>0</v>
      </c>
      <c r="O243" s="125">
        <f>Lista!N242</f>
        <v>0</v>
      </c>
      <c r="P243" s="125">
        <f>Lista!O242</f>
        <v>0</v>
      </c>
      <c r="Q243" s="125">
        <f>Lista!P242</f>
        <v>0</v>
      </c>
      <c r="R243" s="125">
        <f>Lista!Q242</f>
        <v>0</v>
      </c>
      <c r="S243" s="125">
        <f>Lista!R242</f>
        <v>0</v>
      </c>
      <c r="T243" s="81"/>
      <c r="U243" s="81"/>
      <c r="V243" s="81"/>
      <c r="W243" s="81"/>
      <c r="X243" s="81"/>
      <c r="Y243" s="81"/>
      <c r="Z243" s="81"/>
      <c r="AA243" s="81"/>
      <c r="AB243" s="81"/>
      <c r="AC243" s="81"/>
      <c r="AD243" s="81"/>
      <c r="AE243" s="81"/>
      <c r="AF243" s="81"/>
      <c r="AG243" s="81"/>
      <c r="AH243" s="81"/>
      <c r="AI243" s="81"/>
      <c r="AJ243" s="81"/>
      <c r="AK243" s="81"/>
      <c r="AL243" s="81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  <c r="BA243" s="81"/>
      <c r="BB243" s="81"/>
      <c r="BC243" s="81"/>
      <c r="BD243" s="81"/>
      <c r="BE243" s="81"/>
      <c r="BF243" s="81"/>
      <c r="BG243" s="81"/>
      <c r="BH243" s="81"/>
      <c r="BI243" s="81"/>
      <c r="BJ243" s="81"/>
      <c r="BK243" s="81"/>
      <c r="BL243" s="81"/>
      <c r="BM243" s="81"/>
      <c r="BN243" s="81"/>
      <c r="BO243" s="81"/>
      <c r="BP243" s="81"/>
      <c r="BQ243" s="81"/>
      <c r="BR243" s="81"/>
      <c r="BS243" s="81"/>
      <c r="BT243" s="81"/>
      <c r="BU243" s="81"/>
      <c r="BV243" s="81"/>
      <c r="BW243" s="81"/>
      <c r="BX243" s="81"/>
      <c r="BY243" s="81"/>
      <c r="BZ243" s="81"/>
      <c r="CA243" s="81"/>
      <c r="CB243" s="81"/>
      <c r="CC243" s="81"/>
      <c r="CD243" s="81"/>
      <c r="CE243" s="81"/>
      <c r="CF243" s="81"/>
      <c r="CG243" s="81"/>
      <c r="CH243" s="81"/>
      <c r="CI243" s="81"/>
      <c r="CJ243" s="81"/>
      <c r="CK243" s="81"/>
      <c r="CL243" s="81"/>
      <c r="CM243" s="81"/>
      <c r="CN243" s="81"/>
      <c r="CO243" s="81"/>
      <c r="CP243" s="81"/>
      <c r="CQ243" s="81"/>
      <c r="CR243" s="81"/>
      <c r="CS243" s="81"/>
      <c r="CT243" s="81"/>
      <c r="CU243" s="81"/>
      <c r="CV243" s="81"/>
      <c r="CW243" s="81"/>
      <c r="CX243" s="81"/>
      <c r="CY243" s="81"/>
      <c r="CZ243" s="81"/>
      <c r="DA243" s="81"/>
      <c r="DB243" s="81"/>
      <c r="DC243" s="81"/>
      <c r="DD243" s="81"/>
      <c r="DE243" s="81"/>
      <c r="DF243" s="81"/>
      <c r="DG243" s="81"/>
      <c r="DH243" s="81"/>
      <c r="DI243" s="81"/>
      <c r="DJ243" s="81"/>
      <c r="DK243" s="81"/>
      <c r="DL243" s="81"/>
      <c r="DM243" s="81"/>
      <c r="DN243" s="81"/>
      <c r="DO243" s="81"/>
      <c r="DP243" s="81"/>
      <c r="DQ243" s="81"/>
      <c r="DR243" s="81"/>
      <c r="DS243" s="81"/>
      <c r="DT243" s="81"/>
      <c r="DU243" s="81"/>
      <c r="DV243" s="81"/>
      <c r="DW243" s="121"/>
    </row>
    <row r="244" spans="1:127" x14ac:dyDescent="0.25">
      <c r="A244" s="2">
        <f>COUNTIF($D$2:D244,'Reporte de Nomina'!$E$2)</f>
        <v>0</v>
      </c>
      <c r="B244" s="125">
        <f>Lista!A243</f>
        <v>0</v>
      </c>
      <c r="C244" s="125">
        <f>Lista!B243</f>
        <v>0</v>
      </c>
      <c r="D244" s="125">
        <f>Lista!C243</f>
        <v>0</v>
      </c>
      <c r="E244" s="125">
        <f>Lista!D243</f>
        <v>0</v>
      </c>
      <c r="F244" s="125">
        <f>Lista!E243</f>
        <v>0</v>
      </c>
      <c r="G244" s="125">
        <f>Lista!F243</f>
        <v>0</v>
      </c>
      <c r="H244" s="125">
        <f>Lista!G243</f>
        <v>0</v>
      </c>
      <c r="I244" s="125">
        <f>Lista!H243</f>
        <v>0</v>
      </c>
      <c r="J244" s="125">
        <f>Lista!I243</f>
        <v>0</v>
      </c>
      <c r="K244" s="125">
        <f>Lista!J243</f>
        <v>0</v>
      </c>
      <c r="L244" s="125">
        <f>Lista!K243</f>
        <v>0</v>
      </c>
      <c r="M244" s="125">
        <f>Lista!L243</f>
        <v>0</v>
      </c>
      <c r="N244" s="125">
        <f>Lista!M243</f>
        <v>0</v>
      </c>
      <c r="O244" s="125">
        <f>Lista!N243</f>
        <v>0</v>
      </c>
      <c r="P244" s="125">
        <f>Lista!O243</f>
        <v>0</v>
      </c>
      <c r="Q244" s="125">
        <f>Lista!P243</f>
        <v>0</v>
      </c>
      <c r="R244" s="125">
        <f>Lista!Q243</f>
        <v>0</v>
      </c>
      <c r="S244" s="125">
        <f>Lista!R243</f>
        <v>0</v>
      </c>
      <c r="T244" s="81"/>
      <c r="U244" s="81"/>
      <c r="V244" s="81"/>
      <c r="W244" s="81"/>
      <c r="X244" s="81"/>
      <c r="Y244" s="81"/>
      <c r="Z244" s="81"/>
      <c r="AA244" s="81"/>
      <c r="AB244" s="81"/>
      <c r="AC244" s="81"/>
      <c r="AD244" s="81"/>
      <c r="AE244" s="81"/>
      <c r="AF244" s="81"/>
      <c r="AG244" s="81"/>
      <c r="AH244" s="81"/>
      <c r="AI244" s="81"/>
      <c r="AJ244" s="81"/>
      <c r="AK244" s="81"/>
      <c r="AL244" s="81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  <c r="BA244" s="81"/>
      <c r="BB244" s="81"/>
      <c r="BC244" s="81"/>
      <c r="BD244" s="81"/>
      <c r="BE244" s="81"/>
      <c r="BF244" s="81"/>
      <c r="BG244" s="81"/>
      <c r="BH244" s="81"/>
      <c r="BI244" s="81"/>
      <c r="BJ244" s="81"/>
      <c r="BK244" s="81"/>
      <c r="BL244" s="81"/>
      <c r="BM244" s="81"/>
      <c r="BN244" s="81"/>
      <c r="BO244" s="81"/>
      <c r="BP244" s="81"/>
      <c r="BQ244" s="81"/>
      <c r="BR244" s="81"/>
      <c r="BS244" s="81"/>
      <c r="BT244" s="81"/>
      <c r="BU244" s="81"/>
      <c r="BV244" s="81"/>
      <c r="BW244" s="81"/>
      <c r="BX244" s="81"/>
      <c r="BY244" s="81"/>
      <c r="BZ244" s="81"/>
      <c r="CA244" s="81"/>
      <c r="CB244" s="81"/>
      <c r="CC244" s="81"/>
      <c r="CD244" s="81"/>
      <c r="CE244" s="81"/>
      <c r="CF244" s="81"/>
      <c r="CG244" s="81"/>
      <c r="CH244" s="81"/>
      <c r="CI244" s="81"/>
      <c r="CJ244" s="81"/>
      <c r="CK244" s="81"/>
      <c r="CL244" s="81"/>
      <c r="CM244" s="81"/>
      <c r="CN244" s="81"/>
      <c r="CO244" s="81"/>
      <c r="CP244" s="81"/>
      <c r="CQ244" s="81"/>
      <c r="CR244" s="81"/>
      <c r="CS244" s="81"/>
      <c r="CT244" s="81"/>
      <c r="CU244" s="81"/>
      <c r="CV244" s="81"/>
      <c r="CW244" s="81"/>
      <c r="CX244" s="81"/>
      <c r="CY244" s="81"/>
      <c r="CZ244" s="81"/>
      <c r="DA244" s="81"/>
      <c r="DB244" s="81"/>
      <c r="DC244" s="81"/>
      <c r="DD244" s="81"/>
      <c r="DE244" s="81"/>
      <c r="DF244" s="81"/>
      <c r="DG244" s="81"/>
      <c r="DH244" s="81"/>
      <c r="DI244" s="81"/>
      <c r="DJ244" s="81"/>
      <c r="DK244" s="81"/>
      <c r="DL244" s="81"/>
      <c r="DM244" s="81"/>
      <c r="DN244" s="81"/>
      <c r="DO244" s="81"/>
      <c r="DP244" s="81"/>
      <c r="DQ244" s="81"/>
      <c r="DR244" s="81"/>
      <c r="DS244" s="81"/>
      <c r="DT244" s="81"/>
      <c r="DU244" s="81"/>
      <c r="DV244" s="81"/>
      <c r="DW244" s="121"/>
    </row>
    <row r="245" spans="1:127" x14ac:dyDescent="0.25">
      <c r="A245" s="2">
        <f>COUNTIF($D$2:D245,'Reporte de Nomina'!$E$2)</f>
        <v>0</v>
      </c>
      <c r="B245" s="125">
        <f>Lista!A244</f>
        <v>0</v>
      </c>
      <c r="C245" s="125">
        <f>Lista!B244</f>
        <v>0</v>
      </c>
      <c r="D245" s="125">
        <f>Lista!C244</f>
        <v>0</v>
      </c>
      <c r="E245" s="125">
        <f>Lista!D244</f>
        <v>0</v>
      </c>
      <c r="F245" s="125">
        <f>Lista!E244</f>
        <v>0</v>
      </c>
      <c r="G245" s="125">
        <f>Lista!F244</f>
        <v>0</v>
      </c>
      <c r="H245" s="125">
        <f>Lista!G244</f>
        <v>0</v>
      </c>
      <c r="I245" s="125">
        <f>Lista!H244</f>
        <v>0</v>
      </c>
      <c r="J245" s="125">
        <f>Lista!I244</f>
        <v>0</v>
      </c>
      <c r="K245" s="125">
        <f>Lista!J244</f>
        <v>0</v>
      </c>
      <c r="L245" s="125">
        <f>Lista!K244</f>
        <v>0</v>
      </c>
      <c r="M245" s="125">
        <f>Lista!L244</f>
        <v>0</v>
      </c>
      <c r="N245" s="125">
        <f>Lista!M244</f>
        <v>0</v>
      </c>
      <c r="O245" s="125">
        <f>Lista!N244</f>
        <v>0</v>
      </c>
      <c r="P245" s="125">
        <f>Lista!O244</f>
        <v>0</v>
      </c>
      <c r="Q245" s="125">
        <f>Lista!P244</f>
        <v>0</v>
      </c>
      <c r="R245" s="125">
        <f>Lista!Q244</f>
        <v>0</v>
      </c>
      <c r="S245" s="125">
        <f>Lista!R244</f>
        <v>0</v>
      </c>
      <c r="T245" s="81"/>
      <c r="U245" s="81"/>
      <c r="V245" s="81"/>
      <c r="W245" s="81"/>
      <c r="X245" s="81"/>
      <c r="Y245" s="81"/>
      <c r="Z245" s="81"/>
      <c r="AA245" s="81"/>
      <c r="AB245" s="81"/>
      <c r="AC245" s="81"/>
      <c r="AD245" s="81"/>
      <c r="AE245" s="81"/>
      <c r="AF245" s="81"/>
      <c r="AG245" s="81"/>
      <c r="AH245" s="81"/>
      <c r="AI245" s="81"/>
      <c r="AJ245" s="81"/>
      <c r="AK245" s="81"/>
      <c r="AL245" s="81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  <c r="BA245" s="81"/>
      <c r="BB245" s="81"/>
      <c r="BC245" s="81"/>
      <c r="BD245" s="81"/>
      <c r="BE245" s="81"/>
      <c r="BF245" s="81"/>
      <c r="BG245" s="81"/>
      <c r="BH245" s="81"/>
      <c r="BI245" s="81"/>
      <c r="BJ245" s="81"/>
      <c r="BK245" s="81"/>
      <c r="BL245" s="81"/>
      <c r="BM245" s="81"/>
      <c r="BN245" s="81"/>
      <c r="BO245" s="81"/>
      <c r="BP245" s="81"/>
      <c r="BQ245" s="81"/>
      <c r="BR245" s="81"/>
      <c r="BS245" s="81"/>
      <c r="BT245" s="81"/>
      <c r="BU245" s="81"/>
      <c r="BV245" s="81"/>
      <c r="BW245" s="81"/>
      <c r="BX245" s="81"/>
      <c r="BY245" s="81"/>
      <c r="BZ245" s="81"/>
      <c r="CA245" s="81"/>
      <c r="CB245" s="81"/>
      <c r="CC245" s="81"/>
      <c r="CD245" s="81"/>
      <c r="CE245" s="81"/>
      <c r="CF245" s="81"/>
      <c r="CG245" s="81"/>
      <c r="CH245" s="81"/>
      <c r="CI245" s="81"/>
      <c r="CJ245" s="81"/>
      <c r="CK245" s="81"/>
      <c r="CL245" s="81"/>
      <c r="CM245" s="81"/>
      <c r="CN245" s="81"/>
      <c r="CO245" s="81"/>
      <c r="CP245" s="81"/>
      <c r="CQ245" s="81"/>
      <c r="CR245" s="81"/>
      <c r="CS245" s="81"/>
      <c r="CT245" s="81"/>
      <c r="CU245" s="81"/>
      <c r="CV245" s="81"/>
      <c r="CW245" s="81"/>
      <c r="CX245" s="81"/>
      <c r="CY245" s="81"/>
      <c r="CZ245" s="81"/>
      <c r="DA245" s="81"/>
      <c r="DB245" s="81"/>
      <c r="DC245" s="81"/>
      <c r="DD245" s="81"/>
      <c r="DE245" s="81"/>
      <c r="DF245" s="81"/>
      <c r="DG245" s="81"/>
      <c r="DH245" s="81"/>
      <c r="DI245" s="81"/>
      <c r="DJ245" s="81"/>
      <c r="DK245" s="81"/>
      <c r="DL245" s="81"/>
      <c r="DM245" s="81"/>
      <c r="DN245" s="81"/>
      <c r="DO245" s="81"/>
      <c r="DP245" s="81"/>
      <c r="DQ245" s="81"/>
      <c r="DR245" s="81"/>
      <c r="DS245" s="81"/>
      <c r="DT245" s="81"/>
      <c r="DU245" s="81"/>
      <c r="DV245" s="81"/>
      <c r="DW245" s="121"/>
    </row>
    <row r="246" spans="1:127" x14ac:dyDescent="0.25">
      <c r="A246" s="2">
        <f>COUNTIF($D$2:D246,'Reporte de Nomina'!$E$2)</f>
        <v>0</v>
      </c>
      <c r="B246" s="125">
        <f>Lista!A245</f>
        <v>0</v>
      </c>
      <c r="C246" s="125">
        <f>Lista!B245</f>
        <v>0</v>
      </c>
      <c r="D246" s="125">
        <f>Lista!C245</f>
        <v>0</v>
      </c>
      <c r="E246" s="125">
        <f>Lista!D245</f>
        <v>0</v>
      </c>
      <c r="F246" s="125">
        <f>Lista!E245</f>
        <v>0</v>
      </c>
      <c r="G246" s="125">
        <f>Lista!F245</f>
        <v>0</v>
      </c>
      <c r="H246" s="125">
        <f>Lista!G245</f>
        <v>0</v>
      </c>
      <c r="I246" s="125">
        <f>Lista!H245</f>
        <v>0</v>
      </c>
      <c r="J246" s="125">
        <f>Lista!I245</f>
        <v>0</v>
      </c>
      <c r="K246" s="125">
        <f>Lista!J245</f>
        <v>0</v>
      </c>
      <c r="L246" s="125">
        <f>Lista!K245</f>
        <v>0</v>
      </c>
      <c r="M246" s="125">
        <f>Lista!L245</f>
        <v>0</v>
      </c>
      <c r="N246" s="125">
        <f>Lista!M245</f>
        <v>0</v>
      </c>
      <c r="O246" s="125">
        <f>Lista!N245</f>
        <v>0</v>
      </c>
      <c r="P246" s="125">
        <f>Lista!O245</f>
        <v>0</v>
      </c>
      <c r="Q246" s="125">
        <f>Lista!P245</f>
        <v>0</v>
      </c>
      <c r="R246" s="125">
        <f>Lista!Q245</f>
        <v>0</v>
      </c>
      <c r="S246" s="125">
        <f>Lista!R245</f>
        <v>0</v>
      </c>
      <c r="T246" s="81"/>
      <c r="U246" s="81"/>
      <c r="V246" s="81"/>
      <c r="W246" s="81"/>
      <c r="X246" s="81"/>
      <c r="Y246" s="81"/>
      <c r="Z246" s="81"/>
      <c r="AA246" s="81"/>
      <c r="AB246" s="81"/>
      <c r="AC246" s="81"/>
      <c r="AD246" s="81"/>
      <c r="AE246" s="81"/>
      <c r="AF246" s="81"/>
      <c r="AG246" s="81"/>
      <c r="AH246" s="81"/>
      <c r="AI246" s="81"/>
      <c r="AJ246" s="81"/>
      <c r="AK246" s="81"/>
      <c r="AL246" s="81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  <c r="BA246" s="81"/>
      <c r="BB246" s="81"/>
      <c r="BC246" s="81"/>
      <c r="BD246" s="81"/>
      <c r="BE246" s="81"/>
      <c r="BF246" s="81"/>
      <c r="BG246" s="81"/>
      <c r="BH246" s="81"/>
      <c r="BI246" s="81"/>
      <c r="BJ246" s="81"/>
      <c r="BK246" s="81"/>
      <c r="BL246" s="81"/>
      <c r="BM246" s="81"/>
      <c r="BN246" s="81"/>
      <c r="BO246" s="81"/>
      <c r="BP246" s="81"/>
      <c r="BQ246" s="81"/>
      <c r="BR246" s="81"/>
      <c r="BS246" s="81"/>
      <c r="BT246" s="81"/>
      <c r="BU246" s="81"/>
      <c r="BV246" s="81"/>
      <c r="BW246" s="81"/>
      <c r="BX246" s="81"/>
      <c r="BY246" s="81"/>
      <c r="BZ246" s="81"/>
      <c r="CA246" s="81"/>
      <c r="CB246" s="81"/>
      <c r="CC246" s="81"/>
      <c r="CD246" s="81"/>
      <c r="CE246" s="81"/>
      <c r="CF246" s="81"/>
      <c r="CG246" s="81"/>
      <c r="CH246" s="81"/>
      <c r="CI246" s="81"/>
      <c r="CJ246" s="81"/>
      <c r="CK246" s="81"/>
      <c r="CL246" s="81"/>
      <c r="CM246" s="81"/>
      <c r="CN246" s="81"/>
      <c r="CO246" s="81"/>
      <c r="CP246" s="81"/>
      <c r="CQ246" s="81"/>
      <c r="CR246" s="81"/>
      <c r="CS246" s="81"/>
      <c r="CT246" s="81"/>
      <c r="CU246" s="81"/>
      <c r="CV246" s="81"/>
      <c r="CW246" s="81"/>
      <c r="CX246" s="81"/>
      <c r="CY246" s="81"/>
      <c r="CZ246" s="81"/>
      <c r="DA246" s="81"/>
      <c r="DB246" s="81"/>
      <c r="DC246" s="81"/>
      <c r="DD246" s="81"/>
      <c r="DE246" s="81"/>
      <c r="DF246" s="81"/>
      <c r="DG246" s="81"/>
      <c r="DH246" s="81"/>
      <c r="DI246" s="81"/>
      <c r="DJ246" s="81"/>
      <c r="DK246" s="81"/>
      <c r="DL246" s="81"/>
      <c r="DM246" s="81"/>
      <c r="DN246" s="81"/>
      <c r="DO246" s="81"/>
      <c r="DP246" s="81"/>
      <c r="DQ246" s="81"/>
      <c r="DR246" s="81"/>
      <c r="DS246" s="81"/>
      <c r="DT246" s="81"/>
      <c r="DU246" s="81"/>
      <c r="DV246" s="81"/>
      <c r="DW246" s="121"/>
    </row>
    <row r="247" spans="1:127" x14ac:dyDescent="0.25">
      <c r="A247" s="2">
        <f>COUNTIF($D$2:D247,'Reporte de Nomina'!$E$2)</f>
        <v>0</v>
      </c>
      <c r="B247" s="125">
        <f>Lista!A246</f>
        <v>0</v>
      </c>
      <c r="C247" s="125">
        <f>Lista!B246</f>
        <v>0</v>
      </c>
      <c r="D247" s="125">
        <f>Lista!C246</f>
        <v>0</v>
      </c>
      <c r="E247" s="125">
        <f>Lista!D246</f>
        <v>0</v>
      </c>
      <c r="F247" s="125">
        <f>Lista!E246</f>
        <v>0</v>
      </c>
      <c r="G247" s="125">
        <f>Lista!F246</f>
        <v>0</v>
      </c>
      <c r="H247" s="125">
        <f>Lista!G246</f>
        <v>0</v>
      </c>
      <c r="I247" s="125">
        <f>Lista!H246</f>
        <v>0</v>
      </c>
      <c r="J247" s="125">
        <f>Lista!I246</f>
        <v>0</v>
      </c>
      <c r="K247" s="125">
        <f>Lista!J246</f>
        <v>0</v>
      </c>
      <c r="L247" s="125">
        <f>Lista!K246</f>
        <v>0</v>
      </c>
      <c r="M247" s="125">
        <f>Lista!L246</f>
        <v>0</v>
      </c>
      <c r="N247" s="125">
        <f>Lista!M246</f>
        <v>0</v>
      </c>
      <c r="O247" s="125">
        <f>Lista!N246</f>
        <v>0</v>
      </c>
      <c r="P247" s="125">
        <f>Lista!O246</f>
        <v>0</v>
      </c>
      <c r="Q247" s="125">
        <f>Lista!P246</f>
        <v>0</v>
      </c>
      <c r="R247" s="125">
        <f>Lista!Q246</f>
        <v>0</v>
      </c>
      <c r="S247" s="125">
        <f>Lista!R246</f>
        <v>0</v>
      </c>
      <c r="T247" s="81"/>
      <c r="U247" s="81"/>
      <c r="V247" s="81"/>
      <c r="W247" s="81"/>
      <c r="X247" s="81"/>
      <c r="Y247" s="81"/>
      <c r="Z247" s="81"/>
      <c r="AA247" s="81"/>
      <c r="AB247" s="81"/>
      <c r="AC247" s="81"/>
      <c r="AD247" s="81"/>
      <c r="AE247" s="81"/>
      <c r="AF247" s="81"/>
      <c r="AG247" s="81"/>
      <c r="AH247" s="81"/>
      <c r="AI247" s="81"/>
      <c r="AJ247" s="81"/>
      <c r="AK247" s="81"/>
      <c r="AL247" s="81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  <c r="BA247" s="81"/>
      <c r="BB247" s="81"/>
      <c r="BC247" s="81"/>
      <c r="BD247" s="81"/>
      <c r="BE247" s="81"/>
      <c r="BF247" s="81"/>
      <c r="BG247" s="81"/>
      <c r="BH247" s="81"/>
      <c r="BI247" s="81"/>
      <c r="BJ247" s="81"/>
      <c r="BK247" s="81"/>
      <c r="BL247" s="81"/>
      <c r="BM247" s="81"/>
      <c r="BN247" s="81"/>
      <c r="BO247" s="81"/>
      <c r="BP247" s="81"/>
      <c r="BQ247" s="81"/>
      <c r="BR247" s="81"/>
      <c r="BS247" s="81"/>
      <c r="BT247" s="81"/>
      <c r="BU247" s="81"/>
      <c r="BV247" s="81"/>
      <c r="BW247" s="81"/>
      <c r="BX247" s="81"/>
      <c r="BY247" s="81"/>
      <c r="BZ247" s="81"/>
      <c r="CA247" s="81"/>
      <c r="CB247" s="81"/>
      <c r="CC247" s="81"/>
      <c r="CD247" s="81"/>
      <c r="CE247" s="81"/>
      <c r="CF247" s="81"/>
      <c r="CG247" s="81"/>
      <c r="CH247" s="81"/>
      <c r="CI247" s="81"/>
      <c r="CJ247" s="81"/>
      <c r="CK247" s="81"/>
      <c r="CL247" s="81"/>
      <c r="CM247" s="81"/>
      <c r="CN247" s="81"/>
      <c r="CO247" s="81"/>
      <c r="CP247" s="81"/>
      <c r="CQ247" s="81"/>
      <c r="CR247" s="81"/>
      <c r="CS247" s="81"/>
      <c r="CT247" s="81"/>
      <c r="CU247" s="81"/>
      <c r="CV247" s="81"/>
      <c r="CW247" s="81"/>
      <c r="CX247" s="81"/>
      <c r="CY247" s="81"/>
      <c r="CZ247" s="81"/>
      <c r="DA247" s="81"/>
      <c r="DB247" s="81"/>
      <c r="DC247" s="81"/>
      <c r="DD247" s="81"/>
      <c r="DE247" s="81"/>
      <c r="DF247" s="81"/>
      <c r="DG247" s="81"/>
      <c r="DH247" s="81"/>
      <c r="DI247" s="81"/>
      <c r="DJ247" s="81"/>
      <c r="DK247" s="81"/>
      <c r="DL247" s="81"/>
      <c r="DM247" s="81"/>
      <c r="DN247" s="81"/>
      <c r="DO247" s="81"/>
      <c r="DP247" s="81"/>
      <c r="DQ247" s="81"/>
      <c r="DR247" s="81"/>
      <c r="DS247" s="81"/>
      <c r="DT247" s="81"/>
      <c r="DU247" s="81"/>
      <c r="DV247" s="81"/>
      <c r="DW247" s="121"/>
    </row>
    <row r="248" spans="1:127" x14ac:dyDescent="0.25">
      <c r="A248" s="2">
        <f>COUNTIF($D$2:D248,'Reporte de Nomina'!$E$2)</f>
        <v>0</v>
      </c>
      <c r="B248" s="125">
        <f>Lista!A247</f>
        <v>0</v>
      </c>
      <c r="C248" s="125">
        <f>Lista!B247</f>
        <v>0</v>
      </c>
      <c r="D248" s="125">
        <f>Lista!C247</f>
        <v>0</v>
      </c>
      <c r="E248" s="125">
        <f>Lista!D247</f>
        <v>0</v>
      </c>
      <c r="F248" s="125">
        <f>Lista!E247</f>
        <v>0</v>
      </c>
      <c r="G248" s="125">
        <f>Lista!F247</f>
        <v>0</v>
      </c>
      <c r="H248" s="125">
        <f>Lista!G247</f>
        <v>0</v>
      </c>
      <c r="I248" s="125">
        <f>Lista!H247</f>
        <v>0</v>
      </c>
      <c r="J248" s="125">
        <f>Lista!I247</f>
        <v>0</v>
      </c>
      <c r="K248" s="125">
        <f>Lista!J247</f>
        <v>0</v>
      </c>
      <c r="L248" s="125">
        <f>Lista!K247</f>
        <v>0</v>
      </c>
      <c r="M248" s="125">
        <f>Lista!L247</f>
        <v>0</v>
      </c>
      <c r="N248" s="125">
        <f>Lista!M247</f>
        <v>0</v>
      </c>
      <c r="O248" s="125">
        <f>Lista!N247</f>
        <v>0</v>
      </c>
      <c r="P248" s="125">
        <f>Lista!O247</f>
        <v>0</v>
      </c>
      <c r="Q248" s="125">
        <f>Lista!P247</f>
        <v>0</v>
      </c>
      <c r="R248" s="125">
        <f>Lista!Q247</f>
        <v>0</v>
      </c>
      <c r="S248" s="125">
        <f>Lista!R247</f>
        <v>0</v>
      </c>
      <c r="T248" s="81"/>
      <c r="U248" s="81"/>
      <c r="V248" s="81"/>
      <c r="W248" s="81"/>
      <c r="X248" s="81"/>
      <c r="Y248" s="81"/>
      <c r="Z248" s="81"/>
      <c r="AA248" s="81"/>
      <c r="AB248" s="81"/>
      <c r="AC248" s="81"/>
      <c r="AD248" s="81"/>
      <c r="AE248" s="81"/>
      <c r="AF248" s="81"/>
      <c r="AG248" s="81"/>
      <c r="AH248" s="81"/>
      <c r="AI248" s="81"/>
      <c r="AJ248" s="81"/>
      <c r="AK248" s="81"/>
      <c r="AL248" s="81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  <c r="BA248" s="81"/>
      <c r="BB248" s="81"/>
      <c r="BC248" s="81"/>
      <c r="BD248" s="81"/>
      <c r="BE248" s="81"/>
      <c r="BF248" s="81"/>
      <c r="BG248" s="81"/>
      <c r="BH248" s="81"/>
      <c r="BI248" s="81"/>
      <c r="BJ248" s="81"/>
      <c r="BK248" s="81"/>
      <c r="BL248" s="81"/>
      <c r="BM248" s="81"/>
      <c r="BN248" s="81"/>
      <c r="BO248" s="81"/>
      <c r="BP248" s="81"/>
      <c r="BQ248" s="81"/>
      <c r="BR248" s="81"/>
      <c r="BS248" s="81"/>
      <c r="BT248" s="81"/>
      <c r="BU248" s="81"/>
      <c r="BV248" s="81"/>
      <c r="BW248" s="81"/>
      <c r="BX248" s="81"/>
      <c r="BY248" s="81"/>
      <c r="BZ248" s="81"/>
      <c r="CA248" s="81"/>
      <c r="CB248" s="81"/>
      <c r="CC248" s="81"/>
      <c r="CD248" s="81"/>
      <c r="CE248" s="81"/>
      <c r="CF248" s="81"/>
      <c r="CG248" s="81"/>
      <c r="CH248" s="81"/>
      <c r="CI248" s="81"/>
      <c r="CJ248" s="81"/>
      <c r="CK248" s="81"/>
      <c r="CL248" s="81"/>
      <c r="CM248" s="81"/>
      <c r="CN248" s="81"/>
      <c r="CO248" s="81"/>
      <c r="CP248" s="81"/>
      <c r="CQ248" s="81"/>
      <c r="CR248" s="81"/>
      <c r="CS248" s="81"/>
      <c r="CT248" s="81"/>
      <c r="CU248" s="81"/>
      <c r="CV248" s="81"/>
      <c r="CW248" s="81"/>
      <c r="CX248" s="81"/>
      <c r="CY248" s="81"/>
      <c r="CZ248" s="81"/>
      <c r="DA248" s="81"/>
      <c r="DB248" s="81"/>
      <c r="DC248" s="81"/>
      <c r="DD248" s="81"/>
      <c r="DE248" s="81"/>
      <c r="DF248" s="81"/>
      <c r="DG248" s="81"/>
      <c r="DH248" s="81"/>
      <c r="DI248" s="81"/>
      <c r="DJ248" s="81"/>
      <c r="DK248" s="81"/>
      <c r="DL248" s="81"/>
      <c r="DM248" s="81"/>
      <c r="DN248" s="81"/>
      <c r="DO248" s="81"/>
      <c r="DP248" s="81"/>
      <c r="DQ248" s="81"/>
      <c r="DR248" s="81"/>
      <c r="DS248" s="81"/>
      <c r="DT248" s="81"/>
      <c r="DU248" s="81"/>
      <c r="DV248" s="81"/>
      <c r="DW248" s="121"/>
    </row>
    <row r="249" spans="1:127" x14ac:dyDescent="0.25">
      <c r="A249" s="2">
        <f>COUNTIF($D$2:D249,'Reporte de Nomina'!$E$2)</f>
        <v>0</v>
      </c>
      <c r="B249" s="125">
        <f>Lista!A248</f>
        <v>0</v>
      </c>
      <c r="C249" s="125">
        <f>Lista!B248</f>
        <v>0</v>
      </c>
      <c r="D249" s="125">
        <f>Lista!C248</f>
        <v>0</v>
      </c>
      <c r="E249" s="125">
        <f>Lista!D248</f>
        <v>0</v>
      </c>
      <c r="F249" s="125">
        <f>Lista!E248</f>
        <v>0</v>
      </c>
      <c r="G249" s="125">
        <f>Lista!F248</f>
        <v>0</v>
      </c>
      <c r="H249" s="125">
        <f>Lista!G248</f>
        <v>0</v>
      </c>
      <c r="I249" s="125">
        <f>Lista!H248</f>
        <v>0</v>
      </c>
      <c r="J249" s="125">
        <f>Lista!I248</f>
        <v>0</v>
      </c>
      <c r="K249" s="125">
        <f>Lista!J248</f>
        <v>0</v>
      </c>
      <c r="L249" s="125">
        <f>Lista!K248</f>
        <v>0</v>
      </c>
      <c r="M249" s="125">
        <f>Lista!L248</f>
        <v>0</v>
      </c>
      <c r="N249" s="125">
        <f>Lista!M248</f>
        <v>0</v>
      </c>
      <c r="O249" s="125">
        <f>Lista!N248</f>
        <v>0</v>
      </c>
      <c r="P249" s="125">
        <f>Lista!O248</f>
        <v>0</v>
      </c>
      <c r="Q249" s="125">
        <f>Lista!P248</f>
        <v>0</v>
      </c>
      <c r="R249" s="125">
        <f>Lista!Q248</f>
        <v>0</v>
      </c>
      <c r="S249" s="125">
        <f>Lista!R248</f>
        <v>0</v>
      </c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E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  <c r="BE249" s="81"/>
      <c r="BF249" s="81"/>
      <c r="BG249" s="81"/>
      <c r="BH249" s="81"/>
      <c r="BI249" s="81"/>
      <c r="BJ249" s="81"/>
      <c r="BK249" s="81"/>
      <c r="BL249" s="81"/>
      <c r="BM249" s="81"/>
      <c r="BN249" s="81"/>
      <c r="BO249" s="81"/>
      <c r="BP249" s="81"/>
      <c r="BQ249" s="81"/>
      <c r="BR249" s="81"/>
      <c r="BS249" s="81"/>
      <c r="BT249" s="81"/>
      <c r="BU249" s="81"/>
      <c r="BV249" s="81"/>
      <c r="BW249" s="81"/>
      <c r="BX249" s="81"/>
      <c r="BY249" s="81"/>
      <c r="BZ249" s="81"/>
      <c r="CA249" s="81"/>
      <c r="CB249" s="81"/>
      <c r="CC249" s="81"/>
      <c r="CD249" s="81"/>
      <c r="CE249" s="81"/>
      <c r="CF249" s="81"/>
      <c r="CG249" s="81"/>
      <c r="CH249" s="81"/>
      <c r="CI249" s="81"/>
      <c r="CJ249" s="81"/>
      <c r="CK249" s="81"/>
      <c r="CL249" s="81"/>
      <c r="CM249" s="81"/>
      <c r="CN249" s="81"/>
      <c r="CO249" s="81"/>
      <c r="CP249" s="81"/>
      <c r="CQ249" s="81"/>
      <c r="CR249" s="81"/>
      <c r="CS249" s="81"/>
      <c r="CT249" s="81"/>
      <c r="CU249" s="81"/>
      <c r="CV249" s="81"/>
      <c r="CW249" s="81"/>
      <c r="CX249" s="81"/>
      <c r="CY249" s="81"/>
      <c r="CZ249" s="81"/>
      <c r="DA249" s="81"/>
      <c r="DB249" s="81"/>
      <c r="DC249" s="81"/>
      <c r="DD249" s="81"/>
      <c r="DE249" s="81"/>
      <c r="DF249" s="81"/>
      <c r="DG249" s="81"/>
      <c r="DH249" s="81"/>
      <c r="DI249" s="81"/>
      <c r="DJ249" s="81"/>
      <c r="DK249" s="81"/>
      <c r="DL249" s="81"/>
      <c r="DM249" s="81"/>
      <c r="DN249" s="81"/>
      <c r="DO249" s="81"/>
      <c r="DP249" s="81"/>
      <c r="DQ249" s="81"/>
      <c r="DR249" s="81"/>
      <c r="DS249" s="81"/>
      <c r="DT249" s="81"/>
      <c r="DU249" s="81"/>
      <c r="DV249" s="81"/>
      <c r="DW249" s="121"/>
    </row>
    <row r="250" spans="1:127" x14ac:dyDescent="0.25">
      <c r="A250" s="2">
        <f>COUNTIF($D$2:D250,'Reporte de Nomina'!$E$2)</f>
        <v>0</v>
      </c>
      <c r="B250" s="125">
        <f>Lista!A249</f>
        <v>0</v>
      </c>
      <c r="C250" s="125">
        <f>Lista!B249</f>
        <v>0</v>
      </c>
      <c r="D250" s="125">
        <f>Lista!C249</f>
        <v>0</v>
      </c>
      <c r="E250" s="125">
        <f>Lista!D249</f>
        <v>0</v>
      </c>
      <c r="F250" s="125">
        <f>Lista!E249</f>
        <v>0</v>
      </c>
      <c r="G250" s="125">
        <f>Lista!F249</f>
        <v>0</v>
      </c>
      <c r="H250" s="125">
        <f>Lista!G249</f>
        <v>0</v>
      </c>
      <c r="I250" s="125">
        <f>Lista!H249</f>
        <v>0</v>
      </c>
      <c r="J250" s="125">
        <f>Lista!I249</f>
        <v>0</v>
      </c>
      <c r="K250" s="125">
        <f>Lista!J249</f>
        <v>0</v>
      </c>
      <c r="L250" s="125">
        <f>Lista!K249</f>
        <v>0</v>
      </c>
      <c r="M250" s="125">
        <f>Lista!L249</f>
        <v>0</v>
      </c>
      <c r="N250" s="125">
        <f>Lista!M249</f>
        <v>0</v>
      </c>
      <c r="O250" s="125">
        <f>Lista!N249</f>
        <v>0</v>
      </c>
      <c r="P250" s="125">
        <f>Lista!O249</f>
        <v>0</v>
      </c>
      <c r="Q250" s="125">
        <f>Lista!P249</f>
        <v>0</v>
      </c>
      <c r="R250" s="125">
        <f>Lista!Q249</f>
        <v>0</v>
      </c>
      <c r="S250" s="125">
        <f>Lista!R249</f>
        <v>0</v>
      </c>
      <c r="T250" s="81"/>
      <c r="U250" s="81"/>
      <c r="V250" s="81"/>
      <c r="W250" s="81"/>
      <c r="X250" s="81"/>
      <c r="Y250" s="81"/>
      <c r="Z250" s="81"/>
      <c r="AA250" s="81"/>
      <c r="AB250" s="81"/>
      <c r="AC250" s="81"/>
      <c r="AD250" s="81"/>
      <c r="AE250" s="81"/>
      <c r="AF250" s="81"/>
      <c r="AG250" s="81"/>
      <c r="AH250" s="81"/>
      <c r="AI250" s="81"/>
      <c r="AJ250" s="81"/>
      <c r="AK250" s="81"/>
      <c r="AL250" s="81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  <c r="BA250" s="81"/>
      <c r="BB250" s="81"/>
      <c r="BC250" s="81"/>
      <c r="BD250" s="81"/>
      <c r="BE250" s="81"/>
      <c r="BF250" s="81"/>
      <c r="BG250" s="81"/>
      <c r="BH250" s="81"/>
      <c r="BI250" s="81"/>
      <c r="BJ250" s="81"/>
      <c r="BK250" s="81"/>
      <c r="BL250" s="81"/>
      <c r="BM250" s="81"/>
      <c r="BN250" s="81"/>
      <c r="BO250" s="81"/>
      <c r="BP250" s="81"/>
      <c r="BQ250" s="81"/>
      <c r="BR250" s="81"/>
      <c r="BS250" s="81"/>
      <c r="BT250" s="81"/>
      <c r="BU250" s="81"/>
      <c r="BV250" s="81"/>
      <c r="BW250" s="81"/>
      <c r="BX250" s="81"/>
      <c r="BY250" s="81"/>
      <c r="BZ250" s="81"/>
      <c r="CA250" s="81"/>
      <c r="CB250" s="81"/>
      <c r="CC250" s="81"/>
      <c r="CD250" s="81"/>
      <c r="CE250" s="81"/>
      <c r="CF250" s="81"/>
      <c r="CG250" s="81"/>
      <c r="CH250" s="81"/>
      <c r="CI250" s="81"/>
      <c r="CJ250" s="81"/>
      <c r="CK250" s="81"/>
      <c r="CL250" s="81"/>
      <c r="CM250" s="81"/>
      <c r="CN250" s="81"/>
      <c r="CO250" s="81"/>
      <c r="CP250" s="81"/>
      <c r="CQ250" s="81"/>
      <c r="CR250" s="81"/>
      <c r="CS250" s="81"/>
      <c r="CT250" s="81"/>
      <c r="CU250" s="81"/>
      <c r="CV250" s="81"/>
      <c r="CW250" s="81"/>
      <c r="CX250" s="81"/>
      <c r="CY250" s="81"/>
      <c r="CZ250" s="81"/>
      <c r="DA250" s="81"/>
      <c r="DB250" s="81"/>
      <c r="DC250" s="81"/>
      <c r="DD250" s="81"/>
      <c r="DE250" s="81"/>
      <c r="DF250" s="81"/>
      <c r="DG250" s="81"/>
      <c r="DH250" s="81"/>
      <c r="DI250" s="81"/>
      <c r="DJ250" s="81"/>
      <c r="DK250" s="81"/>
      <c r="DL250" s="81"/>
      <c r="DM250" s="81"/>
      <c r="DN250" s="81"/>
      <c r="DO250" s="81"/>
      <c r="DP250" s="81"/>
      <c r="DQ250" s="81"/>
      <c r="DR250" s="81"/>
      <c r="DS250" s="81"/>
      <c r="DT250" s="81"/>
      <c r="DU250" s="81"/>
      <c r="DV250" s="81"/>
      <c r="DW250" s="121"/>
    </row>
    <row r="251" spans="1:127" x14ac:dyDescent="0.25">
      <c r="A251" s="2">
        <f>COUNTIF($D$2:D251,'Reporte de Nomina'!$E$2)</f>
        <v>0</v>
      </c>
      <c r="B251" s="125">
        <f>Lista!A250</f>
        <v>0</v>
      </c>
      <c r="C251" s="125">
        <f>Lista!B250</f>
        <v>0</v>
      </c>
      <c r="D251" s="125">
        <f>Lista!C250</f>
        <v>0</v>
      </c>
      <c r="E251" s="125">
        <f>Lista!D250</f>
        <v>0</v>
      </c>
      <c r="F251" s="125">
        <f>Lista!E250</f>
        <v>0</v>
      </c>
      <c r="G251" s="125">
        <f>Lista!F250</f>
        <v>0</v>
      </c>
      <c r="H251" s="125">
        <f>Lista!G250</f>
        <v>0</v>
      </c>
      <c r="I251" s="125">
        <f>Lista!H250</f>
        <v>0</v>
      </c>
      <c r="J251" s="125">
        <f>Lista!I250</f>
        <v>0</v>
      </c>
      <c r="K251" s="125">
        <f>Lista!J250</f>
        <v>0</v>
      </c>
      <c r="L251" s="125">
        <f>Lista!K250</f>
        <v>0</v>
      </c>
      <c r="M251" s="125">
        <f>Lista!L250</f>
        <v>0</v>
      </c>
      <c r="N251" s="125">
        <f>Lista!M250</f>
        <v>0</v>
      </c>
      <c r="O251" s="125">
        <f>Lista!N250</f>
        <v>0</v>
      </c>
      <c r="P251" s="125">
        <f>Lista!O250</f>
        <v>0</v>
      </c>
      <c r="Q251" s="125">
        <f>Lista!P250</f>
        <v>0</v>
      </c>
      <c r="R251" s="125">
        <f>Lista!Q250</f>
        <v>0</v>
      </c>
      <c r="S251" s="125">
        <f>Lista!R250</f>
        <v>0</v>
      </c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D251" s="81"/>
      <c r="AE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  <c r="BA251" s="81"/>
      <c r="BB251" s="81"/>
      <c r="BC251" s="81"/>
      <c r="BD251" s="81"/>
      <c r="BE251" s="81"/>
      <c r="BF251" s="81"/>
      <c r="BG251" s="81"/>
      <c r="BH251" s="81"/>
      <c r="BI251" s="81"/>
      <c r="BJ251" s="81"/>
      <c r="BK251" s="81"/>
      <c r="BL251" s="81"/>
      <c r="BM251" s="81"/>
      <c r="BN251" s="81"/>
      <c r="BO251" s="81"/>
      <c r="BP251" s="81"/>
      <c r="BQ251" s="81"/>
      <c r="BR251" s="81"/>
      <c r="BS251" s="81"/>
      <c r="BT251" s="81"/>
      <c r="BU251" s="81"/>
      <c r="BV251" s="81"/>
      <c r="BW251" s="81"/>
      <c r="BX251" s="81"/>
      <c r="BY251" s="81"/>
      <c r="BZ251" s="81"/>
      <c r="CA251" s="81"/>
      <c r="CB251" s="81"/>
      <c r="CC251" s="81"/>
      <c r="CD251" s="81"/>
      <c r="CE251" s="81"/>
      <c r="CF251" s="81"/>
      <c r="CG251" s="81"/>
      <c r="CH251" s="81"/>
      <c r="CI251" s="81"/>
      <c r="CJ251" s="81"/>
      <c r="CK251" s="81"/>
      <c r="CL251" s="81"/>
      <c r="CM251" s="81"/>
      <c r="CN251" s="81"/>
      <c r="CO251" s="81"/>
      <c r="CP251" s="81"/>
      <c r="CQ251" s="81"/>
      <c r="CR251" s="81"/>
      <c r="CS251" s="81"/>
      <c r="CT251" s="81"/>
      <c r="CU251" s="81"/>
      <c r="CV251" s="81"/>
      <c r="CW251" s="81"/>
      <c r="CX251" s="81"/>
      <c r="CY251" s="81"/>
      <c r="CZ251" s="81"/>
      <c r="DA251" s="81"/>
      <c r="DB251" s="81"/>
      <c r="DC251" s="81"/>
      <c r="DD251" s="81"/>
      <c r="DE251" s="81"/>
      <c r="DF251" s="81"/>
      <c r="DG251" s="81"/>
      <c r="DH251" s="81"/>
      <c r="DI251" s="81"/>
      <c r="DJ251" s="81"/>
      <c r="DK251" s="81"/>
      <c r="DL251" s="81"/>
      <c r="DM251" s="81"/>
      <c r="DN251" s="81"/>
      <c r="DO251" s="81"/>
      <c r="DP251" s="81"/>
      <c r="DQ251" s="81"/>
      <c r="DR251" s="81"/>
      <c r="DS251" s="81"/>
      <c r="DT251" s="81"/>
      <c r="DU251" s="81"/>
      <c r="DV251" s="81"/>
      <c r="DW251" s="121"/>
    </row>
    <row r="252" spans="1:127" x14ac:dyDescent="0.25">
      <c r="A252" s="2">
        <f>COUNTIF($D$2:D252,'Reporte de Nomina'!$E$2)</f>
        <v>0</v>
      </c>
      <c r="B252" s="125">
        <f>Lista!A251</f>
        <v>0</v>
      </c>
      <c r="C252" s="125">
        <f>Lista!B251</f>
        <v>0</v>
      </c>
      <c r="D252" s="125">
        <f>Lista!C251</f>
        <v>0</v>
      </c>
      <c r="E252" s="125">
        <f>Lista!D251</f>
        <v>0</v>
      </c>
      <c r="F252" s="125">
        <f>Lista!E251</f>
        <v>0</v>
      </c>
      <c r="G252" s="125">
        <f>Lista!F251</f>
        <v>0</v>
      </c>
      <c r="H252" s="125">
        <f>Lista!G251</f>
        <v>0</v>
      </c>
      <c r="I252" s="125">
        <f>Lista!H251</f>
        <v>0</v>
      </c>
      <c r="J252" s="125">
        <f>Lista!I251</f>
        <v>0</v>
      </c>
      <c r="K252" s="125">
        <f>Lista!J251</f>
        <v>0</v>
      </c>
      <c r="L252" s="125">
        <f>Lista!K251</f>
        <v>0</v>
      </c>
      <c r="M252" s="125">
        <f>Lista!L251</f>
        <v>0</v>
      </c>
      <c r="N252" s="125">
        <f>Lista!M251</f>
        <v>0</v>
      </c>
      <c r="O252" s="125">
        <f>Lista!N251</f>
        <v>0</v>
      </c>
      <c r="P252" s="125">
        <f>Lista!O251</f>
        <v>0</v>
      </c>
      <c r="Q252" s="125">
        <f>Lista!P251</f>
        <v>0</v>
      </c>
      <c r="R252" s="125">
        <f>Lista!Q251</f>
        <v>0</v>
      </c>
      <c r="S252" s="125">
        <f>Lista!R251</f>
        <v>0</v>
      </c>
      <c r="T252" s="81"/>
      <c r="U252" s="81"/>
      <c r="V252" s="81"/>
      <c r="W252" s="81"/>
      <c r="X252" s="81"/>
      <c r="Y252" s="81"/>
      <c r="Z252" s="81"/>
      <c r="AA252" s="81"/>
      <c r="AB252" s="81"/>
      <c r="AC252" s="81"/>
      <c r="AD252" s="81"/>
      <c r="AE252" s="81"/>
      <c r="AF252" s="81"/>
      <c r="AG252" s="81"/>
      <c r="AH252" s="81"/>
      <c r="AI252" s="81"/>
      <c r="AJ252" s="81"/>
      <c r="AK252" s="81"/>
      <c r="AL252" s="81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  <c r="BA252" s="81"/>
      <c r="BB252" s="81"/>
      <c r="BC252" s="81"/>
      <c r="BD252" s="81"/>
      <c r="BE252" s="81"/>
      <c r="BF252" s="81"/>
      <c r="BG252" s="81"/>
      <c r="BH252" s="81"/>
      <c r="BI252" s="81"/>
      <c r="BJ252" s="81"/>
      <c r="BK252" s="81"/>
      <c r="BL252" s="81"/>
      <c r="BM252" s="81"/>
      <c r="BN252" s="81"/>
      <c r="BO252" s="81"/>
      <c r="BP252" s="81"/>
      <c r="BQ252" s="81"/>
      <c r="BR252" s="81"/>
      <c r="BS252" s="81"/>
      <c r="BT252" s="81"/>
      <c r="BU252" s="81"/>
      <c r="BV252" s="81"/>
      <c r="BW252" s="81"/>
      <c r="BX252" s="81"/>
      <c r="BY252" s="81"/>
      <c r="BZ252" s="81"/>
      <c r="CA252" s="81"/>
      <c r="CB252" s="81"/>
      <c r="CC252" s="81"/>
      <c r="CD252" s="81"/>
      <c r="CE252" s="81"/>
      <c r="CF252" s="81"/>
      <c r="CG252" s="81"/>
      <c r="CH252" s="81"/>
      <c r="CI252" s="81"/>
      <c r="CJ252" s="81"/>
      <c r="CK252" s="81"/>
      <c r="CL252" s="81"/>
      <c r="CM252" s="81"/>
      <c r="CN252" s="81"/>
      <c r="CO252" s="81"/>
      <c r="CP252" s="81"/>
      <c r="CQ252" s="81"/>
      <c r="CR252" s="81"/>
      <c r="CS252" s="81"/>
      <c r="CT252" s="81"/>
      <c r="CU252" s="81"/>
      <c r="CV252" s="81"/>
      <c r="CW252" s="81"/>
      <c r="CX252" s="81"/>
      <c r="CY252" s="81"/>
      <c r="CZ252" s="81"/>
      <c r="DA252" s="81"/>
      <c r="DB252" s="81"/>
      <c r="DC252" s="81"/>
      <c r="DD252" s="81"/>
      <c r="DE252" s="81"/>
      <c r="DF252" s="81"/>
      <c r="DG252" s="81"/>
      <c r="DH252" s="81"/>
      <c r="DI252" s="81"/>
      <c r="DJ252" s="81"/>
      <c r="DK252" s="81"/>
      <c r="DL252" s="81"/>
      <c r="DM252" s="81"/>
      <c r="DN252" s="81"/>
      <c r="DO252" s="81"/>
      <c r="DP252" s="81"/>
      <c r="DQ252" s="81"/>
      <c r="DR252" s="81"/>
      <c r="DS252" s="81"/>
      <c r="DT252" s="81"/>
      <c r="DU252" s="81"/>
      <c r="DV252" s="81"/>
      <c r="DW252" s="121"/>
    </row>
    <row r="253" spans="1:127" x14ac:dyDescent="0.25">
      <c r="A253" s="2">
        <f>COUNTIF($D$2:D253,'Reporte de Nomina'!$E$2)</f>
        <v>0</v>
      </c>
      <c r="B253" s="125">
        <f>Lista!A252</f>
        <v>0</v>
      </c>
      <c r="C253" s="125">
        <f>Lista!B252</f>
        <v>0</v>
      </c>
      <c r="D253" s="125">
        <f>Lista!C252</f>
        <v>0</v>
      </c>
      <c r="E253" s="125">
        <f>Lista!D252</f>
        <v>0</v>
      </c>
      <c r="F253" s="125">
        <f>Lista!E252</f>
        <v>0</v>
      </c>
      <c r="G253" s="125">
        <f>Lista!F252</f>
        <v>0</v>
      </c>
      <c r="H253" s="125">
        <f>Lista!G252</f>
        <v>0</v>
      </c>
      <c r="I253" s="125">
        <f>Lista!H252</f>
        <v>0</v>
      </c>
      <c r="J253" s="125">
        <f>Lista!I252</f>
        <v>0</v>
      </c>
      <c r="K253" s="125">
        <f>Lista!J252</f>
        <v>0</v>
      </c>
      <c r="L253" s="125">
        <f>Lista!K252</f>
        <v>0</v>
      </c>
      <c r="M253" s="125">
        <f>Lista!L252</f>
        <v>0</v>
      </c>
      <c r="N253" s="125">
        <f>Lista!M252</f>
        <v>0</v>
      </c>
      <c r="O253" s="125">
        <f>Lista!N252</f>
        <v>0</v>
      </c>
      <c r="P253" s="125">
        <f>Lista!O252</f>
        <v>0</v>
      </c>
      <c r="Q253" s="125">
        <f>Lista!P252</f>
        <v>0</v>
      </c>
      <c r="R253" s="125">
        <f>Lista!Q252</f>
        <v>0</v>
      </c>
      <c r="S253" s="125">
        <f>Lista!R252</f>
        <v>0</v>
      </c>
      <c r="T253" s="81"/>
      <c r="U253" s="81"/>
      <c r="V253" s="81"/>
      <c r="W253" s="81"/>
      <c r="X253" s="81"/>
      <c r="Y253" s="81"/>
      <c r="Z253" s="81"/>
      <c r="AA253" s="81"/>
      <c r="AB253" s="81"/>
      <c r="AC253" s="81"/>
      <c r="AD253" s="81"/>
      <c r="AE253" s="81"/>
      <c r="AF253" s="81"/>
      <c r="AG253" s="81"/>
      <c r="AH253" s="81"/>
      <c r="AI253" s="81"/>
      <c r="AJ253" s="81"/>
      <c r="AK253" s="81"/>
      <c r="AL253" s="81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  <c r="BA253" s="81"/>
      <c r="BB253" s="81"/>
      <c r="BC253" s="81"/>
      <c r="BD253" s="81"/>
      <c r="BE253" s="81"/>
      <c r="BF253" s="81"/>
      <c r="BG253" s="81"/>
      <c r="BH253" s="81"/>
      <c r="BI253" s="81"/>
      <c r="BJ253" s="81"/>
      <c r="BK253" s="81"/>
      <c r="BL253" s="81"/>
      <c r="BM253" s="81"/>
      <c r="BN253" s="81"/>
      <c r="BO253" s="81"/>
      <c r="BP253" s="81"/>
      <c r="BQ253" s="81"/>
      <c r="BR253" s="81"/>
      <c r="BS253" s="81"/>
      <c r="BT253" s="81"/>
      <c r="BU253" s="81"/>
      <c r="BV253" s="81"/>
      <c r="BW253" s="81"/>
      <c r="BX253" s="81"/>
      <c r="BY253" s="81"/>
      <c r="BZ253" s="81"/>
      <c r="CA253" s="81"/>
      <c r="CB253" s="81"/>
      <c r="CC253" s="81"/>
      <c r="CD253" s="81"/>
      <c r="CE253" s="81"/>
      <c r="CF253" s="81"/>
      <c r="CG253" s="81"/>
      <c r="CH253" s="81"/>
      <c r="CI253" s="81"/>
      <c r="CJ253" s="81"/>
      <c r="CK253" s="81"/>
      <c r="CL253" s="81"/>
      <c r="CM253" s="81"/>
      <c r="CN253" s="81"/>
      <c r="CO253" s="81"/>
      <c r="CP253" s="81"/>
      <c r="CQ253" s="81"/>
      <c r="CR253" s="81"/>
      <c r="CS253" s="81"/>
      <c r="CT253" s="81"/>
      <c r="CU253" s="81"/>
      <c r="CV253" s="81"/>
      <c r="CW253" s="81"/>
      <c r="CX253" s="81"/>
      <c r="CY253" s="81"/>
      <c r="CZ253" s="81"/>
      <c r="DA253" s="81"/>
      <c r="DB253" s="81"/>
      <c r="DC253" s="81"/>
      <c r="DD253" s="81"/>
      <c r="DE253" s="81"/>
      <c r="DF253" s="81"/>
      <c r="DG253" s="81"/>
      <c r="DH253" s="81"/>
      <c r="DI253" s="81"/>
      <c r="DJ253" s="81"/>
      <c r="DK253" s="81"/>
      <c r="DL253" s="81"/>
      <c r="DM253" s="81"/>
      <c r="DN253" s="81"/>
      <c r="DO253" s="81"/>
      <c r="DP253" s="81"/>
      <c r="DQ253" s="81"/>
      <c r="DR253" s="81"/>
      <c r="DS253" s="81"/>
      <c r="DT253" s="81"/>
      <c r="DU253" s="81"/>
      <c r="DV253" s="81"/>
      <c r="DW253" s="121"/>
    </row>
    <row r="254" spans="1:127" x14ac:dyDescent="0.25">
      <c r="A254" s="2">
        <f>COUNTIF($D$2:D254,'Reporte de Nomina'!$E$2)</f>
        <v>0</v>
      </c>
      <c r="B254" s="125">
        <f>Lista!A253</f>
        <v>0</v>
      </c>
      <c r="C254" s="125">
        <f>Lista!B253</f>
        <v>0</v>
      </c>
      <c r="D254" s="125">
        <f>Lista!C253</f>
        <v>0</v>
      </c>
      <c r="E254" s="125">
        <f>Lista!D253</f>
        <v>0</v>
      </c>
      <c r="F254" s="125">
        <f>Lista!E253</f>
        <v>0</v>
      </c>
      <c r="G254" s="125">
        <f>Lista!F253</f>
        <v>0</v>
      </c>
      <c r="H254" s="125">
        <f>Lista!G253</f>
        <v>0</v>
      </c>
      <c r="I254" s="125">
        <f>Lista!H253</f>
        <v>0</v>
      </c>
      <c r="J254" s="125">
        <f>Lista!I253</f>
        <v>0</v>
      </c>
      <c r="K254" s="125">
        <f>Lista!J253</f>
        <v>0</v>
      </c>
      <c r="L254" s="125">
        <f>Lista!K253</f>
        <v>0</v>
      </c>
      <c r="M254" s="125">
        <f>Lista!L253</f>
        <v>0</v>
      </c>
      <c r="N254" s="125">
        <f>Lista!M253</f>
        <v>0</v>
      </c>
      <c r="O254" s="125">
        <f>Lista!N253</f>
        <v>0</v>
      </c>
      <c r="P254" s="125">
        <f>Lista!O253</f>
        <v>0</v>
      </c>
      <c r="Q254" s="125">
        <f>Lista!P253</f>
        <v>0</v>
      </c>
      <c r="R254" s="125">
        <f>Lista!Q253</f>
        <v>0</v>
      </c>
      <c r="S254" s="125">
        <f>Lista!R253</f>
        <v>0</v>
      </c>
      <c r="T254" s="81"/>
      <c r="U254" s="81"/>
      <c r="V254" s="81"/>
      <c r="W254" s="81"/>
      <c r="X254" s="81"/>
      <c r="Y254" s="81"/>
      <c r="Z254" s="81"/>
      <c r="AA254" s="81"/>
      <c r="AB254" s="81"/>
      <c r="AC254" s="81"/>
      <c r="AD254" s="81"/>
      <c r="AE254" s="81"/>
      <c r="AF254" s="81"/>
      <c r="AG254" s="81"/>
      <c r="AH254" s="81"/>
      <c r="AI254" s="81"/>
      <c r="AJ254" s="81"/>
      <c r="AK254" s="81"/>
      <c r="AL254" s="81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  <c r="BA254" s="81"/>
      <c r="BB254" s="81"/>
      <c r="BC254" s="81"/>
      <c r="BD254" s="81"/>
      <c r="BE254" s="81"/>
      <c r="BF254" s="81"/>
      <c r="BG254" s="81"/>
      <c r="BH254" s="81"/>
      <c r="BI254" s="81"/>
      <c r="BJ254" s="81"/>
      <c r="BK254" s="81"/>
      <c r="BL254" s="81"/>
      <c r="BM254" s="81"/>
      <c r="BN254" s="81"/>
      <c r="BO254" s="81"/>
      <c r="BP254" s="81"/>
      <c r="BQ254" s="81"/>
      <c r="BR254" s="81"/>
      <c r="BS254" s="81"/>
      <c r="BT254" s="81"/>
      <c r="BU254" s="81"/>
      <c r="BV254" s="81"/>
      <c r="BW254" s="81"/>
      <c r="BX254" s="81"/>
      <c r="BY254" s="81"/>
      <c r="BZ254" s="81"/>
      <c r="CA254" s="81"/>
      <c r="CB254" s="81"/>
      <c r="CC254" s="81"/>
      <c r="CD254" s="81"/>
      <c r="CE254" s="81"/>
      <c r="CF254" s="81"/>
      <c r="CG254" s="81"/>
      <c r="CH254" s="81"/>
      <c r="CI254" s="81"/>
      <c r="CJ254" s="81"/>
      <c r="CK254" s="81"/>
      <c r="CL254" s="81"/>
      <c r="CM254" s="81"/>
      <c r="CN254" s="81"/>
      <c r="CO254" s="81"/>
      <c r="CP254" s="81"/>
      <c r="CQ254" s="81"/>
      <c r="CR254" s="81"/>
      <c r="CS254" s="81"/>
      <c r="CT254" s="81"/>
      <c r="CU254" s="81"/>
      <c r="CV254" s="81"/>
      <c r="CW254" s="81"/>
      <c r="CX254" s="81"/>
      <c r="CY254" s="81"/>
      <c r="CZ254" s="81"/>
      <c r="DA254" s="81"/>
      <c r="DB254" s="81"/>
      <c r="DC254" s="81"/>
      <c r="DD254" s="81"/>
      <c r="DE254" s="81"/>
      <c r="DF254" s="81"/>
      <c r="DG254" s="81"/>
      <c r="DH254" s="81"/>
      <c r="DI254" s="81"/>
      <c r="DJ254" s="81"/>
      <c r="DK254" s="81"/>
      <c r="DL254" s="81"/>
      <c r="DM254" s="81"/>
      <c r="DN254" s="81"/>
      <c r="DO254" s="81"/>
      <c r="DP254" s="81"/>
      <c r="DQ254" s="81"/>
      <c r="DR254" s="81"/>
      <c r="DS254" s="81"/>
      <c r="DT254" s="81"/>
      <c r="DU254" s="81"/>
      <c r="DV254" s="81"/>
      <c r="DW254" s="121"/>
    </row>
    <row r="255" spans="1:127" x14ac:dyDescent="0.25">
      <c r="A255" s="2">
        <f>COUNTIF($D$2:D255,'Reporte de Nomina'!$E$2)</f>
        <v>0</v>
      </c>
      <c r="B255" s="125">
        <f>Lista!A254</f>
        <v>0</v>
      </c>
      <c r="C255" s="125">
        <f>Lista!B254</f>
        <v>0</v>
      </c>
      <c r="D255" s="125">
        <f>Lista!C254</f>
        <v>0</v>
      </c>
      <c r="E255" s="125">
        <f>Lista!D254</f>
        <v>0</v>
      </c>
      <c r="F255" s="125">
        <f>Lista!E254</f>
        <v>0</v>
      </c>
      <c r="G255" s="125">
        <f>Lista!F254</f>
        <v>0</v>
      </c>
      <c r="H255" s="125">
        <f>Lista!G254</f>
        <v>0</v>
      </c>
      <c r="I255" s="125">
        <f>Lista!H254</f>
        <v>0</v>
      </c>
      <c r="J255" s="125">
        <f>Lista!I254</f>
        <v>0</v>
      </c>
      <c r="K255" s="125">
        <f>Lista!J254</f>
        <v>0</v>
      </c>
      <c r="L255" s="125">
        <f>Lista!K254</f>
        <v>0</v>
      </c>
      <c r="M255" s="125">
        <f>Lista!L254</f>
        <v>0</v>
      </c>
      <c r="N255" s="125">
        <f>Lista!M254</f>
        <v>0</v>
      </c>
      <c r="O255" s="125">
        <f>Lista!N254</f>
        <v>0</v>
      </c>
      <c r="P255" s="125">
        <f>Lista!O254</f>
        <v>0</v>
      </c>
      <c r="Q255" s="125">
        <f>Lista!P254</f>
        <v>0</v>
      </c>
      <c r="R255" s="125">
        <f>Lista!Q254</f>
        <v>0</v>
      </c>
      <c r="S255" s="125">
        <f>Lista!R254</f>
        <v>0</v>
      </c>
      <c r="T255" s="81"/>
      <c r="U255" s="81"/>
      <c r="V255" s="81"/>
      <c r="W255" s="81"/>
      <c r="X255" s="81"/>
      <c r="Y255" s="81"/>
      <c r="Z255" s="81"/>
      <c r="AA255" s="81"/>
      <c r="AB255" s="81"/>
      <c r="AC255" s="81"/>
      <c r="AD255" s="81"/>
      <c r="AE255" s="81"/>
      <c r="AF255" s="81"/>
      <c r="AG255" s="81"/>
      <c r="AH255" s="81"/>
      <c r="AI255" s="81"/>
      <c r="AJ255" s="81"/>
      <c r="AK255" s="81"/>
      <c r="AL255" s="81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  <c r="BA255" s="81"/>
      <c r="BB255" s="81"/>
      <c r="BC255" s="81"/>
      <c r="BD255" s="81"/>
      <c r="BE255" s="81"/>
      <c r="BF255" s="81"/>
      <c r="BG255" s="81"/>
      <c r="BH255" s="81"/>
      <c r="BI255" s="81"/>
      <c r="BJ255" s="81"/>
      <c r="BK255" s="81"/>
      <c r="BL255" s="81"/>
      <c r="BM255" s="81"/>
      <c r="BN255" s="81"/>
      <c r="BO255" s="81"/>
      <c r="BP255" s="81"/>
      <c r="BQ255" s="81"/>
      <c r="BR255" s="81"/>
      <c r="BS255" s="81"/>
      <c r="BT255" s="81"/>
      <c r="BU255" s="81"/>
      <c r="BV255" s="81"/>
      <c r="BW255" s="81"/>
      <c r="BX255" s="81"/>
      <c r="BY255" s="81"/>
      <c r="BZ255" s="81"/>
      <c r="CA255" s="81"/>
      <c r="CB255" s="81"/>
      <c r="CC255" s="81"/>
      <c r="CD255" s="81"/>
      <c r="CE255" s="81"/>
      <c r="CF255" s="81"/>
      <c r="CG255" s="81"/>
      <c r="CH255" s="81"/>
      <c r="CI255" s="81"/>
      <c r="CJ255" s="81"/>
      <c r="CK255" s="81"/>
      <c r="CL255" s="81"/>
      <c r="CM255" s="81"/>
      <c r="CN255" s="81"/>
      <c r="CO255" s="81"/>
      <c r="CP255" s="81"/>
      <c r="CQ255" s="81"/>
      <c r="CR255" s="81"/>
      <c r="CS255" s="81"/>
      <c r="CT255" s="81"/>
      <c r="CU255" s="81"/>
      <c r="CV255" s="81"/>
      <c r="CW255" s="81"/>
      <c r="CX255" s="81"/>
      <c r="CY255" s="81"/>
      <c r="CZ255" s="81"/>
      <c r="DA255" s="81"/>
      <c r="DB255" s="81"/>
      <c r="DC255" s="81"/>
      <c r="DD255" s="81"/>
      <c r="DE255" s="81"/>
      <c r="DF255" s="81"/>
      <c r="DG255" s="81"/>
      <c r="DH255" s="81"/>
      <c r="DI255" s="81"/>
      <c r="DJ255" s="81"/>
      <c r="DK255" s="81"/>
      <c r="DL255" s="81"/>
      <c r="DM255" s="81"/>
      <c r="DN255" s="81"/>
      <c r="DO255" s="81"/>
      <c r="DP255" s="81"/>
      <c r="DQ255" s="81"/>
      <c r="DR255" s="81"/>
      <c r="DS255" s="81"/>
      <c r="DT255" s="81"/>
      <c r="DU255" s="81"/>
      <c r="DV255" s="81"/>
      <c r="DW255" s="121"/>
    </row>
    <row r="256" spans="1:127" x14ac:dyDescent="0.25">
      <c r="A256" s="2">
        <f>COUNTIF($D$2:D256,'Reporte de Nomina'!$E$2)</f>
        <v>0</v>
      </c>
      <c r="B256" s="125">
        <f>Lista!A255</f>
        <v>0</v>
      </c>
      <c r="C256" s="125">
        <f>Lista!B255</f>
        <v>0</v>
      </c>
      <c r="D256" s="125">
        <f>Lista!C255</f>
        <v>0</v>
      </c>
      <c r="E256" s="125">
        <f>Lista!D255</f>
        <v>0</v>
      </c>
      <c r="F256" s="125">
        <f>Lista!E255</f>
        <v>0</v>
      </c>
      <c r="G256" s="125">
        <f>Lista!F255</f>
        <v>0</v>
      </c>
      <c r="H256" s="125">
        <f>Lista!G255</f>
        <v>0</v>
      </c>
      <c r="I256" s="125">
        <f>Lista!H255</f>
        <v>0</v>
      </c>
      <c r="J256" s="125">
        <f>Lista!I255</f>
        <v>0</v>
      </c>
      <c r="K256" s="125">
        <f>Lista!J255</f>
        <v>0</v>
      </c>
      <c r="L256" s="125">
        <f>Lista!K255</f>
        <v>0</v>
      </c>
      <c r="M256" s="125">
        <f>Lista!L255</f>
        <v>0</v>
      </c>
      <c r="N256" s="125">
        <f>Lista!M255</f>
        <v>0</v>
      </c>
      <c r="O256" s="125">
        <f>Lista!N255</f>
        <v>0</v>
      </c>
      <c r="P256" s="125">
        <f>Lista!O255</f>
        <v>0</v>
      </c>
      <c r="Q256" s="125">
        <f>Lista!P255</f>
        <v>0</v>
      </c>
      <c r="R256" s="125">
        <f>Lista!Q255</f>
        <v>0</v>
      </c>
      <c r="S256" s="125">
        <f>Lista!R255</f>
        <v>0</v>
      </c>
      <c r="T256" s="81"/>
      <c r="U256" s="81"/>
      <c r="V256" s="81"/>
      <c r="W256" s="81"/>
      <c r="X256" s="81"/>
      <c r="Y256" s="81"/>
      <c r="Z256" s="81"/>
      <c r="AA256" s="81"/>
      <c r="AB256" s="81"/>
      <c r="AC256" s="81"/>
      <c r="AD256" s="81"/>
      <c r="AE256" s="81"/>
      <c r="AF256" s="81"/>
      <c r="AG256" s="81"/>
      <c r="AH256" s="81"/>
      <c r="AI256" s="81"/>
      <c r="AJ256" s="81"/>
      <c r="AK256" s="81"/>
      <c r="AL256" s="81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  <c r="BA256" s="81"/>
      <c r="BB256" s="81"/>
      <c r="BC256" s="81"/>
      <c r="BD256" s="81"/>
      <c r="BE256" s="81"/>
      <c r="BF256" s="81"/>
      <c r="BG256" s="81"/>
      <c r="BH256" s="81"/>
      <c r="BI256" s="81"/>
      <c r="BJ256" s="81"/>
      <c r="BK256" s="81"/>
      <c r="BL256" s="81"/>
      <c r="BM256" s="81"/>
      <c r="BN256" s="81"/>
      <c r="BO256" s="81"/>
      <c r="BP256" s="81"/>
      <c r="BQ256" s="81"/>
      <c r="BR256" s="81"/>
      <c r="BS256" s="81"/>
      <c r="BT256" s="81"/>
      <c r="BU256" s="81"/>
      <c r="BV256" s="81"/>
      <c r="BW256" s="81"/>
      <c r="BX256" s="81"/>
      <c r="BY256" s="81"/>
      <c r="BZ256" s="81"/>
      <c r="CA256" s="81"/>
      <c r="CB256" s="81"/>
      <c r="CC256" s="81"/>
      <c r="CD256" s="81"/>
      <c r="CE256" s="81"/>
      <c r="CF256" s="81"/>
      <c r="CG256" s="81"/>
      <c r="CH256" s="81"/>
      <c r="CI256" s="81"/>
      <c r="CJ256" s="81"/>
      <c r="CK256" s="81"/>
      <c r="CL256" s="81"/>
      <c r="CM256" s="81"/>
      <c r="CN256" s="81"/>
      <c r="CO256" s="81"/>
      <c r="CP256" s="81"/>
      <c r="CQ256" s="81"/>
      <c r="CR256" s="81"/>
      <c r="CS256" s="81"/>
      <c r="CT256" s="81"/>
      <c r="CU256" s="81"/>
      <c r="CV256" s="81"/>
      <c r="CW256" s="81"/>
      <c r="CX256" s="81"/>
      <c r="CY256" s="81"/>
      <c r="CZ256" s="81"/>
      <c r="DA256" s="81"/>
      <c r="DB256" s="81"/>
      <c r="DC256" s="81"/>
      <c r="DD256" s="81"/>
      <c r="DE256" s="81"/>
      <c r="DF256" s="81"/>
      <c r="DG256" s="81"/>
      <c r="DH256" s="81"/>
      <c r="DI256" s="81"/>
      <c r="DJ256" s="81"/>
      <c r="DK256" s="81"/>
      <c r="DL256" s="81"/>
      <c r="DM256" s="81"/>
      <c r="DN256" s="81"/>
      <c r="DO256" s="81"/>
      <c r="DP256" s="81"/>
      <c r="DQ256" s="81"/>
      <c r="DR256" s="81"/>
      <c r="DS256" s="81"/>
      <c r="DT256" s="81"/>
      <c r="DU256" s="81"/>
      <c r="DV256" s="81"/>
      <c r="DW256" s="121"/>
    </row>
    <row r="257" spans="1:127" x14ac:dyDescent="0.25">
      <c r="A257" s="2">
        <f>COUNTIF($D$2:D257,'Reporte de Nomina'!$E$2)</f>
        <v>0</v>
      </c>
      <c r="B257" s="125">
        <f>Lista!A256</f>
        <v>0</v>
      </c>
      <c r="C257" s="125">
        <f>Lista!B256</f>
        <v>0</v>
      </c>
      <c r="D257" s="125">
        <f>Lista!C256</f>
        <v>0</v>
      </c>
      <c r="E257" s="125">
        <f>Lista!D256</f>
        <v>0</v>
      </c>
      <c r="F257" s="125">
        <f>Lista!E256</f>
        <v>0</v>
      </c>
      <c r="G257" s="125">
        <f>Lista!F256</f>
        <v>0</v>
      </c>
      <c r="H257" s="125">
        <f>Lista!G256</f>
        <v>0</v>
      </c>
      <c r="I257" s="125">
        <f>Lista!H256</f>
        <v>0</v>
      </c>
      <c r="J257" s="125">
        <f>Lista!I256</f>
        <v>0</v>
      </c>
      <c r="K257" s="125">
        <f>Lista!J256</f>
        <v>0</v>
      </c>
      <c r="L257" s="125">
        <f>Lista!K256</f>
        <v>0</v>
      </c>
      <c r="M257" s="125">
        <f>Lista!L256</f>
        <v>0</v>
      </c>
      <c r="N257" s="125">
        <f>Lista!M256</f>
        <v>0</v>
      </c>
      <c r="O257" s="125">
        <f>Lista!N256</f>
        <v>0</v>
      </c>
      <c r="P257" s="125">
        <f>Lista!O256</f>
        <v>0</v>
      </c>
      <c r="Q257" s="125">
        <f>Lista!P256</f>
        <v>0</v>
      </c>
      <c r="R257" s="125">
        <f>Lista!Q256</f>
        <v>0</v>
      </c>
      <c r="S257" s="125">
        <f>Lista!R256</f>
        <v>0</v>
      </c>
      <c r="T257" s="81"/>
      <c r="U257" s="81"/>
      <c r="V257" s="81"/>
      <c r="W257" s="81"/>
      <c r="X257" s="81"/>
      <c r="Y257" s="81"/>
      <c r="Z257" s="81"/>
      <c r="AA257" s="81"/>
      <c r="AB257" s="81"/>
      <c r="AC257" s="81"/>
      <c r="AD257" s="81"/>
      <c r="AE257" s="81"/>
      <c r="AF257" s="81"/>
      <c r="AG257" s="81"/>
      <c r="AH257" s="81"/>
      <c r="AI257" s="81"/>
      <c r="AJ257" s="81"/>
      <c r="AK257" s="81"/>
      <c r="AL257" s="81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  <c r="BA257" s="81"/>
      <c r="BB257" s="81"/>
      <c r="BC257" s="81"/>
      <c r="BD257" s="81"/>
      <c r="BE257" s="81"/>
      <c r="BF257" s="81"/>
      <c r="BG257" s="81"/>
      <c r="BH257" s="81"/>
      <c r="BI257" s="81"/>
      <c r="BJ257" s="81"/>
      <c r="BK257" s="81"/>
      <c r="BL257" s="81"/>
      <c r="BM257" s="81"/>
      <c r="BN257" s="81"/>
      <c r="BO257" s="81"/>
      <c r="BP257" s="81"/>
      <c r="BQ257" s="81"/>
      <c r="BR257" s="81"/>
      <c r="BS257" s="81"/>
      <c r="BT257" s="81"/>
      <c r="BU257" s="81"/>
      <c r="BV257" s="81"/>
      <c r="BW257" s="81"/>
      <c r="BX257" s="81"/>
      <c r="BY257" s="81"/>
      <c r="BZ257" s="81"/>
      <c r="CA257" s="81"/>
      <c r="CB257" s="81"/>
      <c r="CC257" s="81"/>
      <c r="CD257" s="81"/>
      <c r="CE257" s="81"/>
      <c r="CF257" s="81"/>
      <c r="CG257" s="81"/>
      <c r="CH257" s="81"/>
      <c r="CI257" s="81"/>
      <c r="CJ257" s="81"/>
      <c r="CK257" s="81"/>
      <c r="CL257" s="81"/>
      <c r="CM257" s="81"/>
      <c r="CN257" s="81"/>
      <c r="CO257" s="81"/>
      <c r="CP257" s="81"/>
      <c r="CQ257" s="81"/>
      <c r="CR257" s="81"/>
      <c r="CS257" s="81"/>
      <c r="CT257" s="81"/>
      <c r="CU257" s="81"/>
      <c r="CV257" s="81"/>
      <c r="CW257" s="81"/>
      <c r="CX257" s="81"/>
      <c r="CY257" s="81"/>
      <c r="CZ257" s="81"/>
      <c r="DA257" s="81"/>
      <c r="DB257" s="81"/>
      <c r="DC257" s="81"/>
      <c r="DD257" s="81"/>
      <c r="DE257" s="81"/>
      <c r="DF257" s="81"/>
      <c r="DG257" s="81"/>
      <c r="DH257" s="81"/>
      <c r="DI257" s="81"/>
      <c r="DJ257" s="81"/>
      <c r="DK257" s="81"/>
      <c r="DL257" s="81"/>
      <c r="DM257" s="81"/>
      <c r="DN257" s="81"/>
      <c r="DO257" s="81"/>
      <c r="DP257" s="81"/>
      <c r="DQ257" s="81"/>
      <c r="DR257" s="81"/>
      <c r="DS257" s="81"/>
      <c r="DT257" s="81"/>
      <c r="DU257" s="81"/>
      <c r="DV257" s="81"/>
      <c r="DW257" s="121"/>
    </row>
    <row r="258" spans="1:127" x14ac:dyDescent="0.25">
      <c r="A258" s="2">
        <f>COUNTIF($D$2:D258,'Reporte de Nomina'!$E$2)</f>
        <v>0</v>
      </c>
      <c r="B258" s="125">
        <f>Lista!A257</f>
        <v>0</v>
      </c>
      <c r="C258" s="125">
        <f>Lista!B257</f>
        <v>0</v>
      </c>
      <c r="D258" s="125">
        <f>Lista!C257</f>
        <v>0</v>
      </c>
      <c r="E258" s="125">
        <f>Lista!D257</f>
        <v>0</v>
      </c>
      <c r="F258" s="125">
        <f>Lista!E257</f>
        <v>0</v>
      </c>
      <c r="G258" s="125">
        <f>Lista!F257</f>
        <v>0</v>
      </c>
      <c r="H258" s="125">
        <f>Lista!G257</f>
        <v>0</v>
      </c>
      <c r="I258" s="125">
        <f>Lista!H257</f>
        <v>0</v>
      </c>
      <c r="J258" s="125">
        <f>Lista!I257</f>
        <v>0</v>
      </c>
      <c r="K258" s="125">
        <f>Lista!J257</f>
        <v>0</v>
      </c>
      <c r="L258" s="125">
        <f>Lista!K257</f>
        <v>0</v>
      </c>
      <c r="M258" s="125">
        <f>Lista!L257</f>
        <v>0</v>
      </c>
      <c r="N258" s="125">
        <f>Lista!M257</f>
        <v>0</v>
      </c>
      <c r="O258" s="125">
        <f>Lista!N257</f>
        <v>0</v>
      </c>
      <c r="P258" s="125">
        <f>Lista!O257</f>
        <v>0</v>
      </c>
      <c r="Q258" s="125">
        <f>Lista!P257</f>
        <v>0</v>
      </c>
      <c r="R258" s="125">
        <f>Lista!Q257</f>
        <v>0</v>
      </c>
      <c r="S258" s="125">
        <f>Lista!R257</f>
        <v>0</v>
      </c>
      <c r="T258" s="81"/>
      <c r="U258" s="81"/>
      <c r="V258" s="81"/>
      <c r="W258" s="81"/>
      <c r="X258" s="81"/>
      <c r="Y258" s="81"/>
      <c r="Z258" s="81"/>
      <c r="AA258" s="81"/>
      <c r="AB258" s="81"/>
      <c r="AC258" s="81"/>
      <c r="AD258" s="81"/>
      <c r="AE258" s="81"/>
      <c r="AF258" s="81"/>
      <c r="AG258" s="81"/>
      <c r="AH258" s="81"/>
      <c r="AI258" s="81"/>
      <c r="AJ258" s="81"/>
      <c r="AK258" s="81"/>
      <c r="AL258" s="81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  <c r="BA258" s="81"/>
      <c r="BB258" s="81"/>
      <c r="BC258" s="81"/>
      <c r="BD258" s="81"/>
      <c r="BE258" s="81"/>
      <c r="BF258" s="81"/>
      <c r="BG258" s="81"/>
      <c r="BH258" s="81"/>
      <c r="BI258" s="81"/>
      <c r="BJ258" s="81"/>
      <c r="BK258" s="81"/>
      <c r="BL258" s="81"/>
      <c r="BM258" s="81"/>
      <c r="BN258" s="81"/>
      <c r="BO258" s="81"/>
      <c r="BP258" s="81"/>
      <c r="BQ258" s="81"/>
      <c r="BR258" s="81"/>
      <c r="BS258" s="81"/>
      <c r="BT258" s="81"/>
      <c r="BU258" s="81"/>
      <c r="BV258" s="81"/>
      <c r="BW258" s="81"/>
      <c r="BX258" s="81"/>
      <c r="BY258" s="81"/>
      <c r="BZ258" s="81"/>
      <c r="CA258" s="81"/>
      <c r="CB258" s="81"/>
      <c r="CC258" s="81"/>
      <c r="CD258" s="81"/>
      <c r="CE258" s="81"/>
      <c r="CF258" s="81"/>
      <c r="CG258" s="81"/>
      <c r="CH258" s="81"/>
      <c r="CI258" s="81"/>
      <c r="CJ258" s="81"/>
      <c r="CK258" s="81"/>
      <c r="CL258" s="81"/>
      <c r="CM258" s="81"/>
      <c r="CN258" s="81"/>
      <c r="CO258" s="81"/>
      <c r="CP258" s="81"/>
      <c r="CQ258" s="81"/>
      <c r="CR258" s="81"/>
      <c r="CS258" s="81"/>
      <c r="CT258" s="81"/>
      <c r="CU258" s="81"/>
      <c r="CV258" s="81"/>
      <c r="CW258" s="81"/>
      <c r="CX258" s="81"/>
      <c r="CY258" s="81"/>
      <c r="CZ258" s="81"/>
      <c r="DA258" s="81"/>
      <c r="DB258" s="81"/>
      <c r="DC258" s="81"/>
      <c r="DD258" s="81"/>
      <c r="DE258" s="81"/>
      <c r="DF258" s="81"/>
      <c r="DG258" s="81"/>
      <c r="DH258" s="81"/>
      <c r="DI258" s="81"/>
      <c r="DJ258" s="81"/>
      <c r="DK258" s="81"/>
      <c r="DL258" s="81"/>
      <c r="DM258" s="81"/>
      <c r="DN258" s="81"/>
      <c r="DO258" s="81"/>
      <c r="DP258" s="81"/>
      <c r="DQ258" s="81"/>
      <c r="DR258" s="81"/>
      <c r="DS258" s="81"/>
      <c r="DT258" s="81"/>
      <c r="DU258" s="81"/>
      <c r="DV258" s="81"/>
      <c r="DW258" s="121"/>
    </row>
    <row r="259" spans="1:127" x14ac:dyDescent="0.25">
      <c r="A259" s="2">
        <f>COUNTIF($D$2:D259,'Reporte de Nomina'!$E$2)</f>
        <v>0</v>
      </c>
      <c r="B259" s="125">
        <f>Lista!A258</f>
        <v>0</v>
      </c>
      <c r="C259" s="125">
        <f>Lista!B258</f>
        <v>0</v>
      </c>
      <c r="D259" s="125">
        <f>Lista!C258</f>
        <v>0</v>
      </c>
      <c r="E259" s="125">
        <f>Lista!D258</f>
        <v>0</v>
      </c>
      <c r="F259" s="125">
        <f>Lista!E258</f>
        <v>0</v>
      </c>
      <c r="G259" s="125">
        <f>Lista!F258</f>
        <v>0</v>
      </c>
      <c r="H259" s="125">
        <f>Lista!G258</f>
        <v>0</v>
      </c>
      <c r="I259" s="125">
        <f>Lista!H258</f>
        <v>0</v>
      </c>
      <c r="J259" s="125">
        <f>Lista!I258</f>
        <v>0</v>
      </c>
      <c r="K259" s="125">
        <f>Lista!J258</f>
        <v>0</v>
      </c>
      <c r="L259" s="125">
        <f>Lista!K258</f>
        <v>0</v>
      </c>
      <c r="M259" s="125">
        <f>Lista!L258</f>
        <v>0</v>
      </c>
      <c r="N259" s="125">
        <f>Lista!M258</f>
        <v>0</v>
      </c>
      <c r="O259" s="125">
        <f>Lista!N258</f>
        <v>0</v>
      </c>
      <c r="P259" s="125">
        <f>Lista!O258</f>
        <v>0</v>
      </c>
      <c r="Q259" s="125">
        <f>Lista!P258</f>
        <v>0</v>
      </c>
      <c r="R259" s="125">
        <f>Lista!Q258</f>
        <v>0</v>
      </c>
      <c r="S259" s="125">
        <f>Lista!R258</f>
        <v>0</v>
      </c>
      <c r="T259" s="81"/>
      <c r="U259" s="81"/>
      <c r="V259" s="81"/>
      <c r="W259" s="81"/>
      <c r="X259" s="81"/>
      <c r="Y259" s="81"/>
      <c r="Z259" s="81"/>
      <c r="AA259" s="81"/>
      <c r="AB259" s="81"/>
      <c r="AC259" s="81"/>
      <c r="AD259" s="81"/>
      <c r="AE259" s="81"/>
      <c r="AF259" s="81"/>
      <c r="AG259" s="81"/>
      <c r="AH259" s="81"/>
      <c r="AI259" s="81"/>
      <c r="AJ259" s="81"/>
      <c r="AK259" s="81"/>
      <c r="AL259" s="81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  <c r="BA259" s="81"/>
      <c r="BB259" s="81"/>
      <c r="BC259" s="81"/>
      <c r="BD259" s="81"/>
      <c r="BE259" s="81"/>
      <c r="BF259" s="81"/>
      <c r="BG259" s="81"/>
      <c r="BH259" s="81"/>
      <c r="BI259" s="81"/>
      <c r="BJ259" s="81"/>
      <c r="BK259" s="81"/>
      <c r="BL259" s="81"/>
      <c r="BM259" s="81"/>
      <c r="BN259" s="81"/>
      <c r="BO259" s="81"/>
      <c r="BP259" s="81"/>
      <c r="BQ259" s="81"/>
      <c r="BR259" s="81"/>
      <c r="BS259" s="81"/>
      <c r="BT259" s="81"/>
      <c r="BU259" s="81"/>
      <c r="BV259" s="81"/>
      <c r="BW259" s="81"/>
      <c r="BX259" s="81"/>
      <c r="BY259" s="81"/>
      <c r="BZ259" s="81"/>
      <c r="CA259" s="81"/>
      <c r="CB259" s="81"/>
      <c r="CC259" s="81"/>
      <c r="CD259" s="81"/>
      <c r="CE259" s="81"/>
      <c r="CF259" s="81"/>
      <c r="CG259" s="81"/>
      <c r="CH259" s="81"/>
      <c r="CI259" s="81"/>
      <c r="CJ259" s="81"/>
      <c r="CK259" s="81"/>
      <c r="CL259" s="81"/>
      <c r="CM259" s="81"/>
      <c r="CN259" s="81"/>
      <c r="CO259" s="81"/>
      <c r="CP259" s="81"/>
      <c r="CQ259" s="81"/>
      <c r="CR259" s="81"/>
      <c r="CS259" s="81"/>
      <c r="CT259" s="81"/>
      <c r="CU259" s="81"/>
      <c r="CV259" s="81"/>
      <c r="CW259" s="81"/>
      <c r="CX259" s="81"/>
      <c r="CY259" s="81"/>
      <c r="CZ259" s="81"/>
      <c r="DA259" s="81"/>
      <c r="DB259" s="81"/>
      <c r="DC259" s="81"/>
      <c r="DD259" s="81"/>
      <c r="DE259" s="81"/>
      <c r="DF259" s="81"/>
      <c r="DG259" s="81"/>
      <c r="DH259" s="81"/>
      <c r="DI259" s="81"/>
      <c r="DJ259" s="81"/>
      <c r="DK259" s="81"/>
      <c r="DL259" s="81"/>
      <c r="DM259" s="81"/>
      <c r="DN259" s="81"/>
      <c r="DO259" s="81"/>
      <c r="DP259" s="81"/>
      <c r="DQ259" s="81"/>
      <c r="DR259" s="81"/>
      <c r="DS259" s="81"/>
      <c r="DT259" s="81"/>
      <c r="DU259" s="81"/>
      <c r="DV259" s="81"/>
      <c r="DW259" s="121"/>
    </row>
    <row r="260" spans="1:127" x14ac:dyDescent="0.25">
      <c r="A260" s="2">
        <f>COUNTIF($D$2:D260,'Reporte de Nomina'!$E$2)</f>
        <v>0</v>
      </c>
      <c r="B260" s="125">
        <f>Lista!A259</f>
        <v>0</v>
      </c>
      <c r="C260" s="125">
        <f>Lista!B259</f>
        <v>0</v>
      </c>
      <c r="D260" s="125">
        <f>Lista!C259</f>
        <v>0</v>
      </c>
      <c r="E260" s="125">
        <f>Lista!D259</f>
        <v>0</v>
      </c>
      <c r="F260" s="125">
        <f>Lista!E259</f>
        <v>0</v>
      </c>
      <c r="G260" s="125">
        <f>Lista!F259</f>
        <v>0</v>
      </c>
      <c r="H260" s="125">
        <f>Lista!G259</f>
        <v>0</v>
      </c>
      <c r="I260" s="125">
        <f>Lista!H259</f>
        <v>0</v>
      </c>
      <c r="J260" s="125">
        <f>Lista!I259</f>
        <v>0</v>
      </c>
      <c r="K260" s="125">
        <f>Lista!J259</f>
        <v>0</v>
      </c>
      <c r="L260" s="125">
        <f>Lista!K259</f>
        <v>0</v>
      </c>
      <c r="M260" s="125">
        <f>Lista!L259</f>
        <v>0</v>
      </c>
      <c r="N260" s="125">
        <f>Lista!M259</f>
        <v>0</v>
      </c>
      <c r="O260" s="125">
        <f>Lista!N259</f>
        <v>0</v>
      </c>
      <c r="P260" s="125">
        <f>Lista!O259</f>
        <v>0</v>
      </c>
      <c r="Q260" s="125">
        <f>Lista!P259</f>
        <v>0</v>
      </c>
      <c r="R260" s="125">
        <f>Lista!Q259</f>
        <v>0</v>
      </c>
      <c r="S260" s="125">
        <f>Lista!R259</f>
        <v>0</v>
      </c>
      <c r="T260" s="81"/>
      <c r="U260" s="81"/>
      <c r="V260" s="81"/>
      <c r="W260" s="81"/>
      <c r="X260" s="81"/>
      <c r="Y260" s="81"/>
      <c r="Z260" s="81"/>
      <c r="AA260" s="81"/>
      <c r="AB260" s="81"/>
      <c r="AC260" s="81"/>
      <c r="AD260" s="81"/>
      <c r="AE260" s="81"/>
      <c r="AF260" s="81"/>
      <c r="AG260" s="81"/>
      <c r="AH260" s="81"/>
      <c r="AI260" s="81"/>
      <c r="AJ260" s="81"/>
      <c r="AK260" s="81"/>
      <c r="AL260" s="81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  <c r="BA260" s="81"/>
      <c r="BB260" s="81"/>
      <c r="BC260" s="81"/>
      <c r="BD260" s="81"/>
      <c r="BE260" s="81"/>
      <c r="BF260" s="81"/>
      <c r="BG260" s="81"/>
      <c r="BH260" s="81"/>
      <c r="BI260" s="81"/>
      <c r="BJ260" s="81"/>
      <c r="BK260" s="81"/>
      <c r="BL260" s="81"/>
      <c r="BM260" s="81"/>
      <c r="BN260" s="81"/>
      <c r="BO260" s="81"/>
      <c r="BP260" s="81"/>
      <c r="BQ260" s="81"/>
      <c r="BR260" s="81"/>
      <c r="BS260" s="81"/>
      <c r="BT260" s="81"/>
      <c r="BU260" s="81"/>
      <c r="BV260" s="81"/>
      <c r="BW260" s="81"/>
      <c r="BX260" s="81"/>
      <c r="BY260" s="81"/>
      <c r="BZ260" s="81"/>
      <c r="CA260" s="81"/>
      <c r="CB260" s="81"/>
      <c r="CC260" s="81"/>
      <c r="CD260" s="81"/>
      <c r="CE260" s="81"/>
      <c r="CF260" s="81"/>
      <c r="CG260" s="81"/>
      <c r="CH260" s="81"/>
      <c r="CI260" s="81"/>
      <c r="CJ260" s="81"/>
      <c r="CK260" s="81"/>
      <c r="CL260" s="81"/>
      <c r="CM260" s="81"/>
      <c r="CN260" s="81"/>
      <c r="CO260" s="81"/>
      <c r="CP260" s="81"/>
      <c r="CQ260" s="81"/>
      <c r="CR260" s="81"/>
      <c r="CS260" s="81"/>
      <c r="CT260" s="81"/>
      <c r="CU260" s="81"/>
      <c r="CV260" s="81"/>
      <c r="CW260" s="81"/>
      <c r="CX260" s="81"/>
      <c r="CY260" s="81"/>
      <c r="CZ260" s="81"/>
      <c r="DA260" s="81"/>
      <c r="DB260" s="81"/>
      <c r="DC260" s="81"/>
      <c r="DD260" s="81"/>
      <c r="DE260" s="81"/>
      <c r="DF260" s="81"/>
      <c r="DG260" s="81"/>
      <c r="DH260" s="81"/>
      <c r="DI260" s="81"/>
      <c r="DJ260" s="81"/>
      <c r="DK260" s="81"/>
      <c r="DL260" s="81"/>
      <c r="DM260" s="81"/>
      <c r="DN260" s="81"/>
      <c r="DO260" s="81"/>
      <c r="DP260" s="81"/>
      <c r="DQ260" s="81"/>
      <c r="DR260" s="81"/>
      <c r="DS260" s="81"/>
      <c r="DT260" s="81"/>
      <c r="DU260" s="81"/>
      <c r="DV260" s="81"/>
      <c r="DW260" s="121"/>
    </row>
    <row r="261" spans="1:127" x14ac:dyDescent="0.25">
      <c r="A261" s="2">
        <f>COUNTIF($D$2:D261,'Reporte de Nomina'!$E$2)</f>
        <v>0</v>
      </c>
      <c r="B261" s="125">
        <f>Lista!A260</f>
        <v>0</v>
      </c>
      <c r="C261" s="125">
        <f>Lista!B260</f>
        <v>0</v>
      </c>
      <c r="D261" s="125">
        <f>Lista!C260</f>
        <v>0</v>
      </c>
      <c r="E261" s="125">
        <f>Lista!D260</f>
        <v>0</v>
      </c>
      <c r="F261" s="125">
        <f>Lista!E260</f>
        <v>0</v>
      </c>
      <c r="G261" s="125">
        <f>Lista!F260</f>
        <v>0</v>
      </c>
      <c r="H261" s="125">
        <f>Lista!G260</f>
        <v>0</v>
      </c>
      <c r="I261" s="125">
        <f>Lista!H260</f>
        <v>0</v>
      </c>
      <c r="J261" s="125">
        <f>Lista!I260</f>
        <v>0</v>
      </c>
      <c r="K261" s="125">
        <f>Lista!J260</f>
        <v>0</v>
      </c>
      <c r="L261" s="125">
        <f>Lista!K260</f>
        <v>0</v>
      </c>
      <c r="M261" s="125">
        <f>Lista!L260</f>
        <v>0</v>
      </c>
      <c r="N261" s="125">
        <f>Lista!M260</f>
        <v>0</v>
      </c>
      <c r="O261" s="125">
        <f>Lista!N260</f>
        <v>0</v>
      </c>
      <c r="P261" s="125">
        <f>Lista!O260</f>
        <v>0</v>
      </c>
      <c r="Q261" s="125">
        <f>Lista!P260</f>
        <v>0</v>
      </c>
      <c r="R261" s="125">
        <f>Lista!Q260</f>
        <v>0</v>
      </c>
      <c r="S261" s="125">
        <f>Lista!R260</f>
        <v>0</v>
      </c>
      <c r="T261" s="81"/>
      <c r="U261" s="81"/>
      <c r="V261" s="81"/>
      <c r="W261" s="81"/>
      <c r="X261" s="81"/>
      <c r="Y261" s="81"/>
      <c r="Z261" s="81"/>
      <c r="AA261" s="81"/>
      <c r="AB261" s="81"/>
      <c r="AC261" s="81"/>
      <c r="AD261" s="81"/>
      <c r="AE261" s="81"/>
      <c r="AF261" s="81"/>
      <c r="AG261" s="81"/>
      <c r="AH261" s="81"/>
      <c r="AI261" s="81"/>
      <c r="AJ261" s="81"/>
      <c r="AK261" s="81"/>
      <c r="AL261" s="81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  <c r="BA261" s="81"/>
      <c r="BB261" s="81"/>
      <c r="BC261" s="81"/>
      <c r="BD261" s="81"/>
      <c r="BE261" s="81"/>
      <c r="BF261" s="81"/>
      <c r="BG261" s="81"/>
      <c r="BH261" s="81"/>
      <c r="BI261" s="81"/>
      <c r="BJ261" s="81"/>
      <c r="BK261" s="81"/>
      <c r="BL261" s="81"/>
      <c r="BM261" s="81"/>
      <c r="BN261" s="81"/>
      <c r="BO261" s="81"/>
      <c r="BP261" s="81"/>
      <c r="BQ261" s="81"/>
      <c r="BR261" s="81"/>
      <c r="BS261" s="81"/>
      <c r="BT261" s="81"/>
      <c r="BU261" s="81"/>
      <c r="BV261" s="81"/>
      <c r="BW261" s="81"/>
      <c r="BX261" s="81"/>
      <c r="BY261" s="81"/>
      <c r="BZ261" s="81"/>
      <c r="CA261" s="81"/>
      <c r="CB261" s="81"/>
      <c r="CC261" s="81"/>
      <c r="CD261" s="81"/>
      <c r="CE261" s="81"/>
      <c r="CF261" s="81"/>
      <c r="CG261" s="81"/>
      <c r="CH261" s="81"/>
      <c r="CI261" s="81"/>
      <c r="CJ261" s="81"/>
      <c r="CK261" s="81"/>
      <c r="CL261" s="81"/>
      <c r="CM261" s="81"/>
      <c r="CN261" s="81"/>
      <c r="CO261" s="81"/>
      <c r="CP261" s="81"/>
      <c r="CQ261" s="81"/>
      <c r="CR261" s="81"/>
      <c r="CS261" s="81"/>
      <c r="CT261" s="81"/>
      <c r="CU261" s="81"/>
      <c r="CV261" s="81"/>
      <c r="CW261" s="81"/>
      <c r="CX261" s="81"/>
      <c r="CY261" s="81"/>
      <c r="CZ261" s="81"/>
      <c r="DA261" s="81"/>
      <c r="DB261" s="81"/>
      <c r="DC261" s="81"/>
      <c r="DD261" s="81"/>
      <c r="DE261" s="81"/>
      <c r="DF261" s="81"/>
      <c r="DG261" s="81"/>
      <c r="DH261" s="81"/>
      <c r="DI261" s="81"/>
      <c r="DJ261" s="81"/>
      <c r="DK261" s="81"/>
      <c r="DL261" s="81"/>
      <c r="DM261" s="81"/>
      <c r="DN261" s="81"/>
      <c r="DO261" s="81"/>
      <c r="DP261" s="81"/>
      <c r="DQ261" s="81"/>
      <c r="DR261" s="81"/>
      <c r="DS261" s="81"/>
      <c r="DT261" s="81"/>
      <c r="DU261" s="81"/>
      <c r="DV261" s="81"/>
      <c r="DW261" s="121"/>
    </row>
    <row r="262" spans="1:127" x14ac:dyDescent="0.25">
      <c r="A262" s="2">
        <f>COUNTIF($D$2:D262,'Reporte de Nomina'!$E$2)</f>
        <v>0</v>
      </c>
      <c r="B262" s="125">
        <f>Lista!A261</f>
        <v>0</v>
      </c>
      <c r="C262" s="125">
        <f>Lista!B261</f>
        <v>0</v>
      </c>
      <c r="D262" s="125">
        <f>Lista!C261</f>
        <v>0</v>
      </c>
      <c r="E262" s="125">
        <f>Lista!D261</f>
        <v>0</v>
      </c>
      <c r="F262" s="125">
        <f>Lista!E261</f>
        <v>0</v>
      </c>
      <c r="G262" s="125">
        <f>Lista!F261</f>
        <v>0</v>
      </c>
      <c r="H262" s="125">
        <f>Lista!G261</f>
        <v>0</v>
      </c>
      <c r="I262" s="125">
        <f>Lista!H261</f>
        <v>0</v>
      </c>
      <c r="J262" s="125">
        <f>Lista!I261</f>
        <v>0</v>
      </c>
      <c r="K262" s="125">
        <f>Lista!J261</f>
        <v>0</v>
      </c>
      <c r="L262" s="125">
        <f>Lista!K261</f>
        <v>0</v>
      </c>
      <c r="M262" s="125">
        <f>Lista!L261</f>
        <v>0</v>
      </c>
      <c r="N262" s="125">
        <f>Lista!M261</f>
        <v>0</v>
      </c>
      <c r="O262" s="125">
        <f>Lista!N261</f>
        <v>0</v>
      </c>
      <c r="P262" s="125">
        <f>Lista!O261</f>
        <v>0</v>
      </c>
      <c r="Q262" s="125">
        <f>Lista!P261</f>
        <v>0</v>
      </c>
      <c r="R262" s="125">
        <f>Lista!Q261</f>
        <v>0</v>
      </c>
      <c r="S262" s="125">
        <f>Lista!R261</f>
        <v>0</v>
      </c>
      <c r="T262" s="81"/>
      <c r="U262" s="81"/>
      <c r="V262" s="81"/>
      <c r="W262" s="81"/>
      <c r="X262" s="81"/>
      <c r="Y262" s="81"/>
      <c r="Z262" s="81"/>
      <c r="AA262" s="81"/>
      <c r="AB262" s="81"/>
      <c r="AC262" s="81"/>
      <c r="AD262" s="81"/>
      <c r="AE262" s="81"/>
      <c r="AF262" s="81"/>
      <c r="AG262" s="81"/>
      <c r="AH262" s="81"/>
      <c r="AI262" s="81"/>
      <c r="AJ262" s="81"/>
      <c r="AK262" s="81"/>
      <c r="AL262" s="81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  <c r="BA262" s="81"/>
      <c r="BB262" s="81"/>
      <c r="BC262" s="81"/>
      <c r="BD262" s="81"/>
      <c r="BE262" s="81"/>
      <c r="BF262" s="81"/>
      <c r="BG262" s="81"/>
      <c r="BH262" s="81"/>
      <c r="BI262" s="81"/>
      <c r="BJ262" s="81"/>
      <c r="BK262" s="81"/>
      <c r="BL262" s="81"/>
      <c r="BM262" s="81"/>
      <c r="BN262" s="81"/>
      <c r="BO262" s="81"/>
      <c r="BP262" s="81"/>
      <c r="BQ262" s="81"/>
      <c r="BR262" s="81"/>
      <c r="BS262" s="81"/>
      <c r="BT262" s="81"/>
      <c r="BU262" s="81"/>
      <c r="BV262" s="81"/>
      <c r="BW262" s="81"/>
      <c r="BX262" s="81"/>
      <c r="BY262" s="81"/>
      <c r="BZ262" s="81"/>
      <c r="CA262" s="81"/>
      <c r="CB262" s="81"/>
      <c r="CC262" s="81"/>
      <c r="CD262" s="81"/>
      <c r="CE262" s="81"/>
      <c r="CF262" s="81"/>
      <c r="CG262" s="81"/>
      <c r="CH262" s="81"/>
      <c r="CI262" s="81"/>
      <c r="CJ262" s="81"/>
      <c r="CK262" s="81"/>
      <c r="CL262" s="81"/>
      <c r="CM262" s="81"/>
      <c r="CN262" s="81"/>
      <c r="CO262" s="81"/>
      <c r="CP262" s="81"/>
      <c r="CQ262" s="81"/>
      <c r="CR262" s="81"/>
      <c r="CS262" s="81"/>
      <c r="CT262" s="81"/>
      <c r="CU262" s="81"/>
      <c r="CV262" s="81"/>
      <c r="CW262" s="81"/>
      <c r="CX262" s="81"/>
      <c r="CY262" s="81"/>
      <c r="CZ262" s="81"/>
      <c r="DA262" s="81"/>
      <c r="DB262" s="81"/>
      <c r="DC262" s="81"/>
      <c r="DD262" s="81"/>
      <c r="DE262" s="81"/>
      <c r="DF262" s="81"/>
      <c r="DG262" s="81"/>
      <c r="DH262" s="81"/>
      <c r="DI262" s="81"/>
      <c r="DJ262" s="81"/>
      <c r="DK262" s="81"/>
      <c r="DL262" s="81"/>
      <c r="DM262" s="81"/>
      <c r="DN262" s="81"/>
      <c r="DO262" s="81"/>
      <c r="DP262" s="81"/>
      <c r="DQ262" s="81"/>
      <c r="DR262" s="81"/>
      <c r="DS262" s="81"/>
      <c r="DT262" s="81"/>
      <c r="DU262" s="81"/>
      <c r="DV262" s="81"/>
      <c r="DW262" s="121"/>
    </row>
    <row r="263" spans="1:127" x14ac:dyDescent="0.25">
      <c r="A263" s="2">
        <f>COUNTIF($D$2:D263,'Reporte de Nomina'!$E$2)</f>
        <v>0</v>
      </c>
      <c r="B263" s="125">
        <f>Lista!A262</f>
        <v>0</v>
      </c>
      <c r="C263" s="125">
        <f>Lista!B262</f>
        <v>0</v>
      </c>
      <c r="D263" s="125">
        <f>Lista!C262</f>
        <v>0</v>
      </c>
      <c r="E263" s="125">
        <f>Lista!D262</f>
        <v>0</v>
      </c>
      <c r="F263" s="125">
        <f>Lista!E262</f>
        <v>0</v>
      </c>
      <c r="G263" s="125">
        <f>Lista!F262</f>
        <v>0</v>
      </c>
      <c r="H263" s="125">
        <f>Lista!G262</f>
        <v>0</v>
      </c>
      <c r="I263" s="125">
        <f>Lista!H262</f>
        <v>0</v>
      </c>
      <c r="J263" s="125">
        <f>Lista!I262</f>
        <v>0</v>
      </c>
      <c r="K263" s="125">
        <f>Lista!J262</f>
        <v>0</v>
      </c>
      <c r="L263" s="125">
        <f>Lista!K262</f>
        <v>0</v>
      </c>
      <c r="M263" s="125">
        <f>Lista!L262</f>
        <v>0</v>
      </c>
      <c r="N263" s="125">
        <f>Lista!M262</f>
        <v>0</v>
      </c>
      <c r="O263" s="125">
        <f>Lista!N262</f>
        <v>0</v>
      </c>
      <c r="P263" s="125">
        <f>Lista!O262</f>
        <v>0</v>
      </c>
      <c r="Q263" s="125">
        <f>Lista!P262</f>
        <v>0</v>
      </c>
      <c r="R263" s="125">
        <f>Lista!Q262</f>
        <v>0</v>
      </c>
      <c r="S263" s="125">
        <f>Lista!R262</f>
        <v>0</v>
      </c>
      <c r="T263" s="81"/>
      <c r="U263" s="81"/>
      <c r="V263" s="81"/>
      <c r="W263" s="81"/>
      <c r="X263" s="81"/>
      <c r="Y263" s="81"/>
      <c r="Z263" s="81"/>
      <c r="AA263" s="81"/>
      <c r="AB263" s="81"/>
      <c r="AC263" s="81"/>
      <c r="AD263" s="81"/>
      <c r="AE263" s="81"/>
      <c r="AF263" s="81"/>
      <c r="AG263" s="81"/>
      <c r="AH263" s="81"/>
      <c r="AI263" s="81"/>
      <c r="AJ263" s="81"/>
      <c r="AK263" s="81"/>
      <c r="AL263" s="81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  <c r="BA263" s="81"/>
      <c r="BB263" s="81"/>
      <c r="BC263" s="81"/>
      <c r="BD263" s="81"/>
      <c r="BE263" s="81"/>
      <c r="BF263" s="81"/>
      <c r="BG263" s="81"/>
      <c r="BH263" s="81"/>
      <c r="BI263" s="81"/>
      <c r="BJ263" s="81"/>
      <c r="BK263" s="81"/>
      <c r="BL263" s="81"/>
      <c r="BM263" s="81"/>
      <c r="BN263" s="81"/>
      <c r="BO263" s="81"/>
      <c r="BP263" s="81"/>
      <c r="BQ263" s="81"/>
      <c r="BR263" s="81"/>
      <c r="BS263" s="81"/>
      <c r="BT263" s="81"/>
      <c r="BU263" s="81"/>
      <c r="BV263" s="81"/>
      <c r="BW263" s="81"/>
      <c r="BX263" s="81"/>
      <c r="BY263" s="81"/>
      <c r="BZ263" s="81"/>
      <c r="CA263" s="81"/>
      <c r="CB263" s="81"/>
      <c r="CC263" s="81"/>
      <c r="CD263" s="81"/>
      <c r="CE263" s="81"/>
      <c r="CF263" s="81"/>
      <c r="CG263" s="81"/>
      <c r="CH263" s="81"/>
      <c r="CI263" s="81"/>
      <c r="CJ263" s="81"/>
      <c r="CK263" s="81"/>
      <c r="CL263" s="81"/>
      <c r="CM263" s="81"/>
      <c r="CN263" s="81"/>
      <c r="CO263" s="81"/>
      <c r="CP263" s="81"/>
      <c r="CQ263" s="81"/>
      <c r="CR263" s="81"/>
      <c r="CS263" s="81"/>
      <c r="CT263" s="81"/>
      <c r="CU263" s="81"/>
      <c r="CV263" s="81"/>
      <c r="CW263" s="81"/>
      <c r="CX263" s="81"/>
      <c r="CY263" s="81"/>
      <c r="CZ263" s="81"/>
      <c r="DA263" s="81"/>
      <c r="DB263" s="81"/>
      <c r="DC263" s="81"/>
      <c r="DD263" s="81"/>
      <c r="DE263" s="81"/>
      <c r="DF263" s="81"/>
      <c r="DG263" s="81"/>
      <c r="DH263" s="81"/>
      <c r="DI263" s="81"/>
      <c r="DJ263" s="81"/>
      <c r="DK263" s="81"/>
      <c r="DL263" s="81"/>
      <c r="DM263" s="81"/>
      <c r="DN263" s="81"/>
      <c r="DO263" s="81"/>
      <c r="DP263" s="81"/>
      <c r="DQ263" s="81"/>
      <c r="DR263" s="81"/>
      <c r="DS263" s="81"/>
      <c r="DT263" s="81"/>
      <c r="DU263" s="81"/>
      <c r="DV263" s="81"/>
      <c r="DW263" s="121"/>
    </row>
    <row r="264" spans="1:127" x14ac:dyDescent="0.25">
      <c r="A264" s="2">
        <f>COUNTIF($D$2:D264,'Reporte de Nomina'!$E$2)</f>
        <v>0</v>
      </c>
      <c r="B264" s="125">
        <f>Lista!A263</f>
        <v>0</v>
      </c>
      <c r="C264" s="125">
        <f>Lista!B263</f>
        <v>0</v>
      </c>
      <c r="D264" s="125">
        <f>Lista!C263</f>
        <v>0</v>
      </c>
      <c r="E264" s="125">
        <f>Lista!D263</f>
        <v>0</v>
      </c>
      <c r="F264" s="125">
        <f>Lista!E263</f>
        <v>0</v>
      </c>
      <c r="G264" s="125">
        <f>Lista!F263</f>
        <v>0</v>
      </c>
      <c r="H264" s="125">
        <f>Lista!G263</f>
        <v>0</v>
      </c>
      <c r="I264" s="125">
        <f>Lista!H263</f>
        <v>0</v>
      </c>
      <c r="J264" s="125">
        <f>Lista!I263</f>
        <v>0</v>
      </c>
      <c r="K264" s="125">
        <f>Lista!J263</f>
        <v>0</v>
      </c>
      <c r="L264" s="125">
        <f>Lista!K263</f>
        <v>0</v>
      </c>
      <c r="M264" s="125">
        <f>Lista!L263</f>
        <v>0</v>
      </c>
      <c r="N264" s="125">
        <f>Lista!M263</f>
        <v>0</v>
      </c>
      <c r="O264" s="125">
        <f>Lista!N263</f>
        <v>0</v>
      </c>
      <c r="P264" s="125">
        <f>Lista!O263</f>
        <v>0</v>
      </c>
      <c r="Q264" s="125">
        <f>Lista!P263</f>
        <v>0</v>
      </c>
      <c r="R264" s="125">
        <f>Lista!Q263</f>
        <v>0</v>
      </c>
      <c r="S264" s="125">
        <f>Lista!R263</f>
        <v>0</v>
      </c>
      <c r="T264" s="81"/>
      <c r="U264" s="81"/>
      <c r="V264" s="81"/>
      <c r="W264" s="81"/>
      <c r="X264" s="81"/>
      <c r="Y264" s="81"/>
      <c r="Z264" s="81"/>
      <c r="AA264" s="81"/>
      <c r="AB264" s="81"/>
      <c r="AC264" s="81"/>
      <c r="AD264" s="81"/>
      <c r="AE264" s="81"/>
      <c r="AF264" s="81"/>
      <c r="AG264" s="81"/>
      <c r="AH264" s="81"/>
      <c r="AI264" s="81"/>
      <c r="AJ264" s="81"/>
      <c r="AK264" s="81"/>
      <c r="AL264" s="81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  <c r="BA264" s="81"/>
      <c r="BB264" s="81"/>
      <c r="BC264" s="81"/>
      <c r="BD264" s="81"/>
      <c r="BE264" s="81"/>
      <c r="BF264" s="81"/>
      <c r="BG264" s="81"/>
      <c r="BH264" s="81"/>
      <c r="BI264" s="81"/>
      <c r="BJ264" s="81"/>
      <c r="BK264" s="81"/>
      <c r="BL264" s="81"/>
      <c r="BM264" s="81"/>
      <c r="BN264" s="81"/>
      <c r="BO264" s="81"/>
      <c r="BP264" s="81"/>
      <c r="BQ264" s="81"/>
      <c r="BR264" s="81"/>
      <c r="BS264" s="81"/>
      <c r="BT264" s="81"/>
      <c r="BU264" s="81"/>
      <c r="BV264" s="81"/>
      <c r="BW264" s="81"/>
      <c r="BX264" s="81"/>
      <c r="BY264" s="81"/>
      <c r="BZ264" s="81"/>
      <c r="CA264" s="81"/>
      <c r="CB264" s="81"/>
      <c r="CC264" s="81"/>
      <c r="CD264" s="81"/>
      <c r="CE264" s="81"/>
      <c r="CF264" s="81"/>
      <c r="CG264" s="81"/>
      <c r="CH264" s="81"/>
      <c r="CI264" s="81"/>
      <c r="CJ264" s="81"/>
      <c r="CK264" s="81"/>
      <c r="CL264" s="81"/>
      <c r="CM264" s="81"/>
      <c r="CN264" s="81"/>
      <c r="CO264" s="81"/>
      <c r="CP264" s="81"/>
      <c r="CQ264" s="81"/>
      <c r="CR264" s="81"/>
      <c r="CS264" s="81"/>
      <c r="CT264" s="81"/>
      <c r="CU264" s="81"/>
      <c r="CV264" s="81"/>
      <c r="CW264" s="81"/>
      <c r="CX264" s="81"/>
      <c r="CY264" s="81"/>
      <c r="CZ264" s="81"/>
      <c r="DA264" s="81"/>
      <c r="DB264" s="81"/>
      <c r="DC264" s="81"/>
      <c r="DD264" s="81"/>
      <c r="DE264" s="81"/>
      <c r="DF264" s="81"/>
      <c r="DG264" s="81"/>
      <c r="DH264" s="81"/>
      <c r="DI264" s="81"/>
      <c r="DJ264" s="81"/>
      <c r="DK264" s="81"/>
      <c r="DL264" s="81"/>
      <c r="DM264" s="81"/>
      <c r="DN264" s="81"/>
      <c r="DO264" s="81"/>
      <c r="DP264" s="81"/>
      <c r="DQ264" s="81"/>
      <c r="DR264" s="81"/>
      <c r="DS264" s="81"/>
      <c r="DT264" s="81"/>
      <c r="DU264" s="81"/>
      <c r="DV264" s="81"/>
      <c r="DW264" s="121"/>
    </row>
    <row r="265" spans="1:127" x14ac:dyDescent="0.25">
      <c r="A265" s="2">
        <f>COUNTIF($D$2:D265,'Reporte de Nomina'!$E$2)</f>
        <v>0</v>
      </c>
      <c r="B265" s="125">
        <f>Lista!A264</f>
        <v>0</v>
      </c>
      <c r="C265" s="125">
        <f>Lista!B264</f>
        <v>0</v>
      </c>
      <c r="D265" s="125">
        <f>Lista!C264</f>
        <v>0</v>
      </c>
      <c r="E265" s="125">
        <f>Lista!D264</f>
        <v>0</v>
      </c>
      <c r="F265" s="125">
        <f>Lista!E264</f>
        <v>0</v>
      </c>
      <c r="G265" s="125">
        <f>Lista!F264</f>
        <v>0</v>
      </c>
      <c r="H265" s="125">
        <f>Lista!G264</f>
        <v>0</v>
      </c>
      <c r="I265" s="125">
        <f>Lista!H264</f>
        <v>0</v>
      </c>
      <c r="J265" s="125">
        <f>Lista!I264</f>
        <v>0</v>
      </c>
      <c r="K265" s="125">
        <f>Lista!J264</f>
        <v>0</v>
      </c>
      <c r="L265" s="125">
        <f>Lista!K264</f>
        <v>0</v>
      </c>
      <c r="M265" s="125">
        <f>Lista!L264</f>
        <v>0</v>
      </c>
      <c r="N265" s="125">
        <f>Lista!M264</f>
        <v>0</v>
      </c>
      <c r="O265" s="125">
        <f>Lista!N264</f>
        <v>0</v>
      </c>
      <c r="P265" s="125">
        <f>Lista!O264</f>
        <v>0</v>
      </c>
      <c r="Q265" s="125">
        <f>Lista!P264</f>
        <v>0</v>
      </c>
      <c r="R265" s="125">
        <f>Lista!Q264</f>
        <v>0</v>
      </c>
      <c r="S265" s="125">
        <f>Lista!R264</f>
        <v>0</v>
      </c>
      <c r="T265" s="81"/>
      <c r="U265" s="81"/>
      <c r="V265" s="81"/>
      <c r="W265" s="81"/>
      <c r="X265" s="81"/>
      <c r="Y265" s="81"/>
      <c r="Z265" s="81"/>
      <c r="AA265" s="81"/>
      <c r="AB265" s="81"/>
      <c r="AC265" s="81"/>
      <c r="AD265" s="81"/>
      <c r="AE265" s="81"/>
      <c r="AF265" s="81"/>
      <c r="AG265" s="81"/>
      <c r="AH265" s="81"/>
      <c r="AI265" s="81"/>
      <c r="AJ265" s="81"/>
      <c r="AK265" s="81"/>
      <c r="AL265" s="81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  <c r="BA265" s="81"/>
      <c r="BB265" s="81"/>
      <c r="BC265" s="81"/>
      <c r="BD265" s="81"/>
      <c r="BE265" s="81"/>
      <c r="BF265" s="81"/>
      <c r="BG265" s="81"/>
      <c r="BH265" s="81"/>
      <c r="BI265" s="81"/>
      <c r="BJ265" s="81"/>
      <c r="BK265" s="81"/>
      <c r="BL265" s="81"/>
      <c r="BM265" s="81"/>
      <c r="BN265" s="81"/>
      <c r="BO265" s="81"/>
      <c r="BP265" s="81"/>
      <c r="BQ265" s="81"/>
      <c r="BR265" s="81"/>
      <c r="BS265" s="81"/>
      <c r="BT265" s="81"/>
      <c r="BU265" s="81"/>
      <c r="BV265" s="81"/>
      <c r="BW265" s="81"/>
      <c r="BX265" s="81"/>
      <c r="BY265" s="81"/>
      <c r="BZ265" s="81"/>
      <c r="CA265" s="81"/>
      <c r="CB265" s="81"/>
      <c r="CC265" s="81"/>
      <c r="CD265" s="81"/>
      <c r="CE265" s="81"/>
      <c r="CF265" s="81"/>
      <c r="CG265" s="81"/>
      <c r="CH265" s="81"/>
      <c r="CI265" s="81"/>
      <c r="CJ265" s="81"/>
      <c r="CK265" s="81"/>
      <c r="CL265" s="81"/>
      <c r="CM265" s="81"/>
      <c r="CN265" s="81"/>
      <c r="CO265" s="81"/>
      <c r="CP265" s="81"/>
      <c r="CQ265" s="81"/>
      <c r="CR265" s="81"/>
      <c r="CS265" s="81"/>
      <c r="CT265" s="81"/>
      <c r="CU265" s="81"/>
      <c r="CV265" s="81"/>
      <c r="CW265" s="81"/>
      <c r="CX265" s="81"/>
      <c r="CY265" s="81"/>
      <c r="CZ265" s="81"/>
      <c r="DA265" s="81"/>
      <c r="DB265" s="81"/>
      <c r="DC265" s="81"/>
      <c r="DD265" s="81"/>
      <c r="DE265" s="81"/>
      <c r="DF265" s="81"/>
      <c r="DG265" s="81"/>
      <c r="DH265" s="81"/>
      <c r="DI265" s="81"/>
      <c r="DJ265" s="81"/>
      <c r="DK265" s="81"/>
      <c r="DL265" s="81"/>
      <c r="DM265" s="81"/>
      <c r="DN265" s="81"/>
      <c r="DO265" s="81"/>
      <c r="DP265" s="81"/>
      <c r="DQ265" s="81"/>
      <c r="DR265" s="81"/>
      <c r="DS265" s="81"/>
      <c r="DT265" s="81"/>
      <c r="DU265" s="81"/>
      <c r="DV265" s="81"/>
      <c r="DW265" s="121"/>
    </row>
    <row r="266" spans="1:127" x14ac:dyDescent="0.25">
      <c r="A266" s="2">
        <f>COUNTIF($D$2:D266,'Reporte de Nomina'!$E$2)</f>
        <v>0</v>
      </c>
      <c r="B266" s="125">
        <f>Lista!A265</f>
        <v>0</v>
      </c>
      <c r="C266" s="125">
        <f>Lista!B265</f>
        <v>0</v>
      </c>
      <c r="D266" s="125">
        <f>Lista!C265</f>
        <v>0</v>
      </c>
      <c r="E266" s="125">
        <f>Lista!D265</f>
        <v>0</v>
      </c>
      <c r="F266" s="125">
        <f>Lista!E265</f>
        <v>0</v>
      </c>
      <c r="G266" s="125">
        <f>Lista!F265</f>
        <v>0</v>
      </c>
      <c r="H266" s="125">
        <f>Lista!G265</f>
        <v>0</v>
      </c>
      <c r="I266" s="125">
        <f>Lista!H265</f>
        <v>0</v>
      </c>
      <c r="J266" s="125">
        <f>Lista!I265</f>
        <v>0</v>
      </c>
      <c r="K266" s="125">
        <f>Lista!J265</f>
        <v>0</v>
      </c>
      <c r="L266" s="125">
        <f>Lista!K265</f>
        <v>0</v>
      </c>
      <c r="M266" s="125">
        <f>Lista!L265</f>
        <v>0</v>
      </c>
      <c r="N266" s="125">
        <f>Lista!M265</f>
        <v>0</v>
      </c>
      <c r="O266" s="125">
        <f>Lista!N265</f>
        <v>0</v>
      </c>
      <c r="P266" s="125">
        <f>Lista!O265</f>
        <v>0</v>
      </c>
      <c r="Q266" s="125">
        <f>Lista!P265</f>
        <v>0</v>
      </c>
      <c r="R266" s="125">
        <f>Lista!Q265</f>
        <v>0</v>
      </c>
      <c r="S266" s="125">
        <f>Lista!R265</f>
        <v>0</v>
      </c>
      <c r="T266" s="81"/>
      <c r="U266" s="81"/>
      <c r="V266" s="81"/>
      <c r="W266" s="81"/>
      <c r="X266" s="81"/>
      <c r="Y266" s="81"/>
      <c r="Z266" s="81"/>
      <c r="AA266" s="81"/>
      <c r="AB266" s="81"/>
      <c r="AC266" s="81"/>
      <c r="AD266" s="81"/>
      <c r="AE266" s="81"/>
      <c r="AF266" s="81"/>
      <c r="AG266" s="81"/>
      <c r="AH266" s="81"/>
      <c r="AI266" s="81"/>
      <c r="AJ266" s="81"/>
      <c r="AK266" s="81"/>
      <c r="AL266" s="81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  <c r="BA266" s="81"/>
      <c r="BB266" s="81"/>
      <c r="BC266" s="81"/>
      <c r="BD266" s="81"/>
      <c r="BE266" s="81"/>
      <c r="BF266" s="81"/>
      <c r="BG266" s="81"/>
      <c r="BH266" s="81"/>
      <c r="BI266" s="81"/>
      <c r="BJ266" s="81"/>
      <c r="BK266" s="81"/>
      <c r="BL266" s="81"/>
      <c r="BM266" s="81"/>
      <c r="BN266" s="81"/>
      <c r="BO266" s="81"/>
      <c r="BP266" s="81"/>
      <c r="BQ266" s="81"/>
      <c r="BR266" s="81"/>
      <c r="BS266" s="81"/>
      <c r="BT266" s="81"/>
      <c r="BU266" s="81"/>
      <c r="BV266" s="81"/>
      <c r="BW266" s="81"/>
      <c r="BX266" s="81"/>
      <c r="BY266" s="81"/>
      <c r="BZ266" s="81"/>
      <c r="CA266" s="81"/>
      <c r="CB266" s="81"/>
      <c r="CC266" s="81"/>
      <c r="CD266" s="81"/>
      <c r="CE266" s="81"/>
      <c r="CF266" s="81"/>
      <c r="CG266" s="81"/>
      <c r="CH266" s="81"/>
      <c r="CI266" s="81"/>
      <c r="CJ266" s="81"/>
      <c r="CK266" s="81"/>
      <c r="CL266" s="81"/>
      <c r="CM266" s="81"/>
      <c r="CN266" s="81"/>
      <c r="CO266" s="81"/>
      <c r="CP266" s="81"/>
      <c r="CQ266" s="81"/>
      <c r="CR266" s="81"/>
      <c r="CS266" s="81"/>
      <c r="CT266" s="81"/>
      <c r="CU266" s="81"/>
      <c r="CV266" s="81"/>
      <c r="CW266" s="81"/>
      <c r="CX266" s="81"/>
      <c r="CY266" s="81"/>
      <c r="CZ266" s="81"/>
      <c r="DA266" s="81"/>
      <c r="DB266" s="81"/>
      <c r="DC266" s="81"/>
      <c r="DD266" s="81"/>
      <c r="DE266" s="81"/>
      <c r="DF266" s="81"/>
      <c r="DG266" s="81"/>
      <c r="DH266" s="81"/>
      <c r="DI266" s="81"/>
      <c r="DJ266" s="81"/>
      <c r="DK266" s="81"/>
      <c r="DL266" s="81"/>
      <c r="DM266" s="81"/>
      <c r="DN266" s="81"/>
      <c r="DO266" s="81"/>
      <c r="DP266" s="81"/>
      <c r="DQ266" s="81"/>
      <c r="DR266" s="81"/>
      <c r="DS266" s="81"/>
      <c r="DT266" s="81"/>
      <c r="DU266" s="81"/>
      <c r="DV266" s="81"/>
      <c r="DW266" s="121"/>
    </row>
    <row r="267" spans="1:127" x14ac:dyDescent="0.25">
      <c r="A267" s="2">
        <f>COUNTIF($D$2:D267,'Reporte de Nomina'!$E$2)</f>
        <v>0</v>
      </c>
      <c r="B267" s="125">
        <f>Lista!A266</f>
        <v>0</v>
      </c>
      <c r="C267" s="125">
        <f>Lista!B266</f>
        <v>0</v>
      </c>
      <c r="D267" s="125">
        <f>Lista!C266</f>
        <v>0</v>
      </c>
      <c r="E267" s="125">
        <f>Lista!D266</f>
        <v>0</v>
      </c>
      <c r="F267" s="125">
        <f>Lista!E266</f>
        <v>0</v>
      </c>
      <c r="G267" s="125">
        <f>Lista!F266</f>
        <v>0</v>
      </c>
      <c r="H267" s="125">
        <f>Lista!G266</f>
        <v>0</v>
      </c>
      <c r="I267" s="125">
        <f>Lista!H266</f>
        <v>0</v>
      </c>
      <c r="J267" s="125">
        <f>Lista!I266</f>
        <v>0</v>
      </c>
      <c r="K267" s="125">
        <f>Lista!J266</f>
        <v>0</v>
      </c>
      <c r="L267" s="125">
        <f>Lista!K266</f>
        <v>0</v>
      </c>
      <c r="M267" s="125">
        <f>Lista!L266</f>
        <v>0</v>
      </c>
      <c r="N267" s="125">
        <f>Lista!M266</f>
        <v>0</v>
      </c>
      <c r="O267" s="125">
        <f>Lista!N266</f>
        <v>0</v>
      </c>
      <c r="P267" s="125">
        <f>Lista!O266</f>
        <v>0</v>
      </c>
      <c r="Q267" s="125">
        <f>Lista!P266</f>
        <v>0</v>
      </c>
      <c r="R267" s="125">
        <f>Lista!Q266</f>
        <v>0</v>
      </c>
      <c r="S267" s="125">
        <f>Lista!R266</f>
        <v>0</v>
      </c>
      <c r="T267" s="81"/>
      <c r="U267" s="81"/>
      <c r="V267" s="81"/>
      <c r="W267" s="81"/>
      <c r="X267" s="81"/>
      <c r="Y267" s="81"/>
      <c r="Z267" s="81"/>
      <c r="AA267" s="81"/>
      <c r="AB267" s="81"/>
      <c r="AC267" s="81"/>
      <c r="AD267" s="81"/>
      <c r="AE267" s="81"/>
      <c r="AF267" s="81"/>
      <c r="AG267" s="81"/>
      <c r="AH267" s="81"/>
      <c r="AI267" s="81"/>
      <c r="AJ267" s="81"/>
      <c r="AK267" s="81"/>
      <c r="AL267" s="81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  <c r="BA267" s="81"/>
      <c r="BB267" s="81"/>
      <c r="BC267" s="81"/>
      <c r="BD267" s="81"/>
      <c r="BE267" s="81"/>
      <c r="BF267" s="81"/>
      <c r="BG267" s="81"/>
      <c r="BH267" s="81"/>
      <c r="BI267" s="81"/>
      <c r="BJ267" s="81"/>
      <c r="BK267" s="81"/>
      <c r="BL267" s="81"/>
      <c r="BM267" s="81"/>
      <c r="BN267" s="81"/>
      <c r="BO267" s="81"/>
      <c r="BP267" s="81"/>
      <c r="BQ267" s="81"/>
      <c r="BR267" s="81"/>
      <c r="BS267" s="81"/>
      <c r="BT267" s="81"/>
      <c r="BU267" s="81"/>
      <c r="BV267" s="81"/>
      <c r="BW267" s="81"/>
      <c r="BX267" s="81"/>
      <c r="BY267" s="81"/>
      <c r="BZ267" s="81"/>
      <c r="CA267" s="81"/>
      <c r="CB267" s="81"/>
      <c r="CC267" s="81"/>
      <c r="CD267" s="81"/>
      <c r="CE267" s="81"/>
      <c r="CF267" s="81"/>
      <c r="CG267" s="81"/>
      <c r="CH267" s="81"/>
      <c r="CI267" s="81"/>
      <c r="CJ267" s="81"/>
      <c r="CK267" s="81"/>
      <c r="CL267" s="81"/>
      <c r="CM267" s="81"/>
      <c r="CN267" s="81"/>
      <c r="CO267" s="81"/>
      <c r="CP267" s="81"/>
      <c r="CQ267" s="81"/>
      <c r="CR267" s="81"/>
      <c r="CS267" s="81"/>
      <c r="CT267" s="81"/>
      <c r="CU267" s="81"/>
      <c r="CV267" s="81"/>
      <c r="CW267" s="81"/>
      <c r="CX267" s="81"/>
      <c r="CY267" s="81"/>
      <c r="CZ267" s="81"/>
      <c r="DA267" s="81"/>
      <c r="DB267" s="81"/>
      <c r="DC267" s="81"/>
      <c r="DD267" s="81"/>
      <c r="DE267" s="81"/>
      <c r="DF267" s="81"/>
      <c r="DG267" s="81"/>
      <c r="DH267" s="81"/>
      <c r="DI267" s="81"/>
      <c r="DJ267" s="81"/>
      <c r="DK267" s="81"/>
      <c r="DL267" s="81"/>
      <c r="DM267" s="81"/>
      <c r="DN267" s="81"/>
      <c r="DO267" s="81"/>
      <c r="DP267" s="81"/>
      <c r="DQ267" s="81"/>
      <c r="DR267" s="81"/>
      <c r="DS267" s="81"/>
      <c r="DT267" s="81"/>
      <c r="DU267" s="81"/>
      <c r="DV267" s="81"/>
      <c r="DW267" s="121"/>
    </row>
    <row r="268" spans="1:127" x14ac:dyDescent="0.25">
      <c r="A268" s="2">
        <f>COUNTIF($D$2:D268,'Reporte de Nomina'!$E$2)</f>
        <v>0</v>
      </c>
      <c r="B268" s="125">
        <f>Lista!A267</f>
        <v>0</v>
      </c>
      <c r="C268" s="125">
        <f>Lista!B267</f>
        <v>0</v>
      </c>
      <c r="D268" s="125">
        <f>Lista!C267</f>
        <v>0</v>
      </c>
      <c r="E268" s="125">
        <f>Lista!D267</f>
        <v>0</v>
      </c>
      <c r="F268" s="125">
        <f>Lista!E267</f>
        <v>0</v>
      </c>
      <c r="G268" s="125">
        <f>Lista!F267</f>
        <v>0</v>
      </c>
      <c r="H268" s="125">
        <f>Lista!G267</f>
        <v>0</v>
      </c>
      <c r="I268" s="125">
        <f>Lista!H267</f>
        <v>0</v>
      </c>
      <c r="J268" s="125">
        <f>Lista!I267</f>
        <v>0</v>
      </c>
      <c r="K268" s="125">
        <f>Lista!J267</f>
        <v>0</v>
      </c>
      <c r="L268" s="125">
        <f>Lista!K267</f>
        <v>0</v>
      </c>
      <c r="M268" s="125">
        <f>Lista!L267</f>
        <v>0</v>
      </c>
      <c r="N268" s="125">
        <f>Lista!M267</f>
        <v>0</v>
      </c>
      <c r="O268" s="125">
        <f>Lista!N267</f>
        <v>0</v>
      </c>
      <c r="P268" s="125">
        <f>Lista!O267</f>
        <v>0</v>
      </c>
      <c r="Q268" s="125">
        <f>Lista!P267</f>
        <v>0</v>
      </c>
      <c r="R268" s="125">
        <f>Lista!Q267</f>
        <v>0</v>
      </c>
      <c r="S268" s="125">
        <f>Lista!R267</f>
        <v>0</v>
      </c>
      <c r="T268" s="81"/>
      <c r="U268" s="81"/>
      <c r="V268" s="81"/>
      <c r="W268" s="81"/>
      <c r="X268" s="81"/>
      <c r="Y268" s="81"/>
      <c r="Z268" s="81"/>
      <c r="AA268" s="81"/>
      <c r="AB268" s="81"/>
      <c r="AC268" s="81"/>
      <c r="AD268" s="81"/>
      <c r="AE268" s="81"/>
      <c r="AF268" s="81"/>
      <c r="AG268" s="81"/>
      <c r="AH268" s="81"/>
      <c r="AI268" s="81"/>
      <c r="AJ268" s="81"/>
      <c r="AK268" s="81"/>
      <c r="AL268" s="81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  <c r="BA268" s="81"/>
      <c r="BB268" s="81"/>
      <c r="BC268" s="81"/>
      <c r="BD268" s="81"/>
      <c r="BE268" s="81"/>
      <c r="BF268" s="81"/>
      <c r="BG268" s="81"/>
      <c r="BH268" s="81"/>
      <c r="BI268" s="81"/>
      <c r="BJ268" s="81"/>
      <c r="BK268" s="81"/>
      <c r="BL268" s="81"/>
      <c r="BM268" s="81"/>
      <c r="BN268" s="81"/>
      <c r="BO268" s="81"/>
      <c r="BP268" s="81"/>
      <c r="BQ268" s="81"/>
      <c r="BR268" s="81"/>
      <c r="BS268" s="81"/>
      <c r="BT268" s="81"/>
      <c r="BU268" s="81"/>
      <c r="BV268" s="81"/>
      <c r="BW268" s="81"/>
      <c r="BX268" s="81"/>
      <c r="BY268" s="81"/>
      <c r="BZ268" s="81"/>
      <c r="CA268" s="81"/>
      <c r="CB268" s="81"/>
      <c r="CC268" s="81"/>
      <c r="CD268" s="81"/>
      <c r="CE268" s="81"/>
      <c r="CF268" s="81"/>
      <c r="CG268" s="81"/>
      <c r="CH268" s="81"/>
      <c r="CI268" s="81"/>
      <c r="CJ268" s="81"/>
      <c r="CK268" s="81"/>
      <c r="CL268" s="81"/>
      <c r="CM268" s="81"/>
      <c r="CN268" s="81"/>
      <c r="CO268" s="81"/>
      <c r="CP268" s="81"/>
      <c r="CQ268" s="81"/>
      <c r="CR268" s="81"/>
      <c r="CS268" s="81"/>
      <c r="CT268" s="81"/>
      <c r="CU268" s="81"/>
      <c r="CV268" s="81"/>
      <c r="CW268" s="81"/>
      <c r="CX268" s="81"/>
      <c r="CY268" s="81"/>
      <c r="CZ268" s="81"/>
      <c r="DA268" s="81"/>
      <c r="DB268" s="81"/>
      <c r="DC268" s="81"/>
      <c r="DD268" s="81"/>
      <c r="DE268" s="81"/>
      <c r="DF268" s="81"/>
      <c r="DG268" s="81"/>
      <c r="DH268" s="81"/>
      <c r="DI268" s="81"/>
      <c r="DJ268" s="81"/>
      <c r="DK268" s="81"/>
      <c r="DL268" s="81"/>
      <c r="DM268" s="81"/>
      <c r="DN268" s="81"/>
      <c r="DO268" s="81"/>
      <c r="DP268" s="81"/>
      <c r="DQ268" s="81"/>
      <c r="DR268" s="81"/>
      <c r="DS268" s="81"/>
      <c r="DT268" s="81"/>
      <c r="DU268" s="81"/>
      <c r="DV268" s="81"/>
      <c r="DW268" s="121"/>
    </row>
    <row r="269" spans="1:127" x14ac:dyDescent="0.25">
      <c r="A269" s="2">
        <f>COUNTIF($D$2:D269,'Reporte de Nomina'!$E$2)</f>
        <v>0</v>
      </c>
      <c r="B269" s="125">
        <f>Lista!A268</f>
        <v>0</v>
      </c>
      <c r="C269" s="125">
        <f>Lista!B268</f>
        <v>0</v>
      </c>
      <c r="D269" s="125">
        <f>Lista!C268</f>
        <v>0</v>
      </c>
      <c r="E269" s="125">
        <f>Lista!D268</f>
        <v>0</v>
      </c>
      <c r="F269" s="125">
        <f>Lista!E268</f>
        <v>0</v>
      </c>
      <c r="G269" s="125">
        <f>Lista!F268</f>
        <v>0</v>
      </c>
      <c r="H269" s="125">
        <f>Lista!G268</f>
        <v>0</v>
      </c>
      <c r="I269" s="125">
        <f>Lista!H268</f>
        <v>0</v>
      </c>
      <c r="J269" s="125">
        <f>Lista!I268</f>
        <v>0</v>
      </c>
      <c r="K269" s="125">
        <f>Lista!J268</f>
        <v>0</v>
      </c>
      <c r="L269" s="125">
        <f>Lista!K268</f>
        <v>0</v>
      </c>
      <c r="M269" s="125">
        <f>Lista!L268</f>
        <v>0</v>
      </c>
      <c r="N269" s="125">
        <f>Lista!M268</f>
        <v>0</v>
      </c>
      <c r="O269" s="125">
        <f>Lista!N268</f>
        <v>0</v>
      </c>
      <c r="P269" s="125">
        <f>Lista!O268</f>
        <v>0</v>
      </c>
      <c r="Q269" s="125">
        <f>Lista!P268</f>
        <v>0</v>
      </c>
      <c r="R269" s="125">
        <f>Lista!Q268</f>
        <v>0</v>
      </c>
      <c r="S269" s="125">
        <f>Lista!R268</f>
        <v>0</v>
      </c>
      <c r="T269" s="81"/>
      <c r="U269" s="81"/>
      <c r="V269" s="81"/>
      <c r="W269" s="81"/>
      <c r="X269" s="81"/>
      <c r="Y269" s="81"/>
      <c r="Z269" s="81"/>
      <c r="AA269" s="81"/>
      <c r="AB269" s="81"/>
      <c r="AC269" s="81"/>
      <c r="AD269" s="81"/>
      <c r="AE269" s="81"/>
      <c r="AF269" s="81"/>
      <c r="AG269" s="81"/>
      <c r="AH269" s="81"/>
      <c r="AI269" s="81"/>
      <c r="AJ269" s="81"/>
      <c r="AK269" s="81"/>
      <c r="AL269" s="81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  <c r="BA269" s="81"/>
      <c r="BB269" s="81"/>
      <c r="BC269" s="81"/>
      <c r="BD269" s="81"/>
      <c r="BE269" s="81"/>
      <c r="BF269" s="81"/>
      <c r="BG269" s="81"/>
      <c r="BH269" s="81"/>
      <c r="BI269" s="81"/>
      <c r="BJ269" s="81"/>
      <c r="BK269" s="81"/>
      <c r="BL269" s="81"/>
      <c r="BM269" s="81"/>
      <c r="BN269" s="81"/>
      <c r="BO269" s="81"/>
      <c r="BP269" s="81"/>
      <c r="BQ269" s="81"/>
      <c r="BR269" s="81"/>
      <c r="BS269" s="81"/>
      <c r="BT269" s="81"/>
      <c r="BU269" s="81"/>
      <c r="BV269" s="81"/>
      <c r="BW269" s="81"/>
      <c r="BX269" s="81"/>
      <c r="BY269" s="81"/>
      <c r="BZ269" s="81"/>
      <c r="CA269" s="81"/>
      <c r="CB269" s="81"/>
      <c r="CC269" s="81"/>
      <c r="CD269" s="81"/>
      <c r="CE269" s="81"/>
      <c r="CF269" s="81"/>
      <c r="CG269" s="81"/>
      <c r="CH269" s="81"/>
      <c r="CI269" s="81"/>
      <c r="CJ269" s="81"/>
      <c r="CK269" s="81"/>
      <c r="CL269" s="81"/>
      <c r="CM269" s="81"/>
      <c r="CN269" s="81"/>
      <c r="CO269" s="81"/>
      <c r="CP269" s="81"/>
      <c r="CQ269" s="81"/>
      <c r="CR269" s="81"/>
      <c r="CS269" s="81"/>
      <c r="CT269" s="81"/>
      <c r="CU269" s="81"/>
      <c r="CV269" s="81"/>
      <c r="CW269" s="81"/>
      <c r="CX269" s="81"/>
      <c r="CY269" s="81"/>
      <c r="CZ269" s="81"/>
      <c r="DA269" s="81"/>
      <c r="DB269" s="81"/>
      <c r="DC269" s="81"/>
      <c r="DD269" s="81"/>
      <c r="DE269" s="81"/>
      <c r="DF269" s="81"/>
      <c r="DG269" s="81"/>
      <c r="DH269" s="81"/>
      <c r="DI269" s="81"/>
      <c r="DJ269" s="81"/>
      <c r="DK269" s="81"/>
      <c r="DL269" s="81"/>
      <c r="DM269" s="81"/>
      <c r="DN269" s="81"/>
      <c r="DO269" s="81"/>
      <c r="DP269" s="81"/>
      <c r="DQ269" s="81"/>
      <c r="DR269" s="81"/>
      <c r="DS269" s="81"/>
      <c r="DT269" s="81"/>
      <c r="DU269" s="81"/>
      <c r="DV269" s="81"/>
      <c r="DW269" s="121"/>
    </row>
    <row r="270" spans="1:127" x14ac:dyDescent="0.25">
      <c r="A270" s="2">
        <f>COUNTIF($D$2:D270,'Reporte de Nomina'!$E$2)</f>
        <v>0</v>
      </c>
      <c r="B270" s="125">
        <f>Lista!A269</f>
        <v>0</v>
      </c>
      <c r="C270" s="125">
        <f>Lista!B269</f>
        <v>0</v>
      </c>
      <c r="D270" s="125">
        <f>Lista!C269</f>
        <v>0</v>
      </c>
      <c r="E270" s="125">
        <f>Lista!D269</f>
        <v>0</v>
      </c>
      <c r="F270" s="125">
        <f>Lista!E269</f>
        <v>0</v>
      </c>
      <c r="G270" s="125">
        <f>Lista!F269</f>
        <v>0</v>
      </c>
      <c r="H270" s="125">
        <f>Lista!G269</f>
        <v>0</v>
      </c>
      <c r="I270" s="125">
        <f>Lista!H269</f>
        <v>0</v>
      </c>
      <c r="J270" s="125">
        <f>Lista!I269</f>
        <v>0</v>
      </c>
      <c r="K270" s="125">
        <f>Lista!J269</f>
        <v>0</v>
      </c>
      <c r="L270" s="125">
        <f>Lista!K269</f>
        <v>0</v>
      </c>
      <c r="M270" s="125">
        <f>Lista!L269</f>
        <v>0</v>
      </c>
      <c r="N270" s="125">
        <f>Lista!M269</f>
        <v>0</v>
      </c>
      <c r="O270" s="125">
        <f>Lista!N269</f>
        <v>0</v>
      </c>
      <c r="P270" s="125">
        <f>Lista!O269</f>
        <v>0</v>
      </c>
      <c r="Q270" s="125">
        <f>Lista!P269</f>
        <v>0</v>
      </c>
      <c r="R270" s="125">
        <f>Lista!Q269</f>
        <v>0</v>
      </c>
      <c r="S270" s="125">
        <f>Lista!R269</f>
        <v>0</v>
      </c>
      <c r="T270" s="81"/>
      <c r="U270" s="81"/>
      <c r="V270" s="81"/>
      <c r="W270" s="81"/>
      <c r="X270" s="81"/>
      <c r="Y270" s="81"/>
      <c r="Z270" s="81"/>
      <c r="AA270" s="81"/>
      <c r="AB270" s="81"/>
      <c r="AC270" s="81"/>
      <c r="AD270" s="81"/>
      <c r="AE270" s="81"/>
      <c r="AF270" s="81"/>
      <c r="AG270" s="81"/>
      <c r="AH270" s="81"/>
      <c r="AI270" s="81"/>
      <c r="AJ270" s="81"/>
      <c r="AK270" s="81"/>
      <c r="AL270" s="81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  <c r="BA270" s="81"/>
      <c r="BB270" s="81"/>
      <c r="BC270" s="81"/>
      <c r="BD270" s="81"/>
      <c r="BE270" s="81"/>
      <c r="BF270" s="81"/>
      <c r="BG270" s="81"/>
      <c r="BH270" s="81"/>
      <c r="BI270" s="81"/>
      <c r="BJ270" s="81"/>
      <c r="BK270" s="81"/>
      <c r="BL270" s="81"/>
      <c r="BM270" s="81"/>
      <c r="BN270" s="81"/>
      <c r="BO270" s="81"/>
      <c r="BP270" s="81"/>
      <c r="BQ270" s="81"/>
      <c r="BR270" s="81"/>
      <c r="BS270" s="81"/>
      <c r="BT270" s="81"/>
      <c r="BU270" s="81"/>
      <c r="BV270" s="81"/>
      <c r="BW270" s="81"/>
      <c r="BX270" s="81"/>
      <c r="BY270" s="81"/>
      <c r="BZ270" s="81"/>
      <c r="CA270" s="81"/>
      <c r="CB270" s="81"/>
      <c r="CC270" s="81"/>
      <c r="CD270" s="81"/>
      <c r="CE270" s="81"/>
      <c r="CF270" s="81"/>
      <c r="CG270" s="81"/>
      <c r="CH270" s="81"/>
      <c r="CI270" s="81"/>
      <c r="CJ270" s="81"/>
      <c r="CK270" s="81"/>
      <c r="CL270" s="81"/>
      <c r="CM270" s="81"/>
      <c r="CN270" s="81"/>
      <c r="CO270" s="81"/>
      <c r="CP270" s="81"/>
      <c r="CQ270" s="81"/>
      <c r="CR270" s="81"/>
      <c r="CS270" s="81"/>
      <c r="CT270" s="81"/>
      <c r="CU270" s="81"/>
      <c r="CV270" s="81"/>
      <c r="CW270" s="81"/>
      <c r="CX270" s="81"/>
      <c r="CY270" s="81"/>
      <c r="CZ270" s="81"/>
      <c r="DA270" s="81"/>
      <c r="DB270" s="81"/>
      <c r="DC270" s="81"/>
      <c r="DD270" s="81"/>
      <c r="DE270" s="81"/>
      <c r="DF270" s="81"/>
      <c r="DG270" s="81"/>
      <c r="DH270" s="81"/>
      <c r="DI270" s="81"/>
      <c r="DJ270" s="81"/>
      <c r="DK270" s="81"/>
      <c r="DL270" s="81"/>
      <c r="DM270" s="81"/>
      <c r="DN270" s="81"/>
      <c r="DO270" s="81"/>
      <c r="DP270" s="81"/>
      <c r="DQ270" s="81"/>
      <c r="DR270" s="81"/>
      <c r="DS270" s="81"/>
      <c r="DT270" s="81"/>
      <c r="DU270" s="81"/>
      <c r="DV270" s="81"/>
      <c r="DW270" s="121"/>
    </row>
    <row r="271" spans="1:127" x14ac:dyDescent="0.25">
      <c r="A271" s="2">
        <f>COUNTIF($D$2:D271,'Reporte de Nomina'!$E$2)</f>
        <v>0</v>
      </c>
      <c r="B271" s="125">
        <f>Lista!A270</f>
        <v>0</v>
      </c>
      <c r="C271" s="125">
        <f>Lista!B270</f>
        <v>0</v>
      </c>
      <c r="D271" s="125">
        <f>Lista!C270</f>
        <v>0</v>
      </c>
      <c r="E271" s="125">
        <f>Lista!D270</f>
        <v>0</v>
      </c>
      <c r="F271" s="125">
        <f>Lista!E270</f>
        <v>0</v>
      </c>
      <c r="G271" s="125">
        <f>Lista!F270</f>
        <v>0</v>
      </c>
      <c r="H271" s="125">
        <f>Lista!G270</f>
        <v>0</v>
      </c>
      <c r="I271" s="125">
        <f>Lista!H270</f>
        <v>0</v>
      </c>
      <c r="J271" s="125">
        <f>Lista!I270</f>
        <v>0</v>
      </c>
      <c r="K271" s="125">
        <f>Lista!J270</f>
        <v>0</v>
      </c>
      <c r="L271" s="125">
        <f>Lista!K270</f>
        <v>0</v>
      </c>
      <c r="M271" s="125">
        <f>Lista!L270</f>
        <v>0</v>
      </c>
      <c r="N271" s="125">
        <f>Lista!M270</f>
        <v>0</v>
      </c>
      <c r="O271" s="125">
        <f>Lista!N270</f>
        <v>0</v>
      </c>
      <c r="P271" s="125">
        <f>Lista!O270</f>
        <v>0</v>
      </c>
      <c r="Q271" s="125">
        <f>Lista!P270</f>
        <v>0</v>
      </c>
      <c r="R271" s="125">
        <f>Lista!Q270</f>
        <v>0</v>
      </c>
      <c r="S271" s="125">
        <f>Lista!R270</f>
        <v>0</v>
      </c>
      <c r="T271" s="81"/>
      <c r="U271" s="81"/>
      <c r="V271" s="81"/>
      <c r="W271" s="81"/>
      <c r="X271" s="81"/>
      <c r="Y271" s="81"/>
      <c r="Z271" s="81"/>
      <c r="AA271" s="81"/>
      <c r="AB271" s="81"/>
      <c r="AC271" s="81"/>
      <c r="AD271" s="81"/>
      <c r="AE271" s="81"/>
      <c r="AF271" s="81"/>
      <c r="AG271" s="81"/>
      <c r="AH271" s="81"/>
      <c r="AI271" s="81"/>
      <c r="AJ271" s="81"/>
      <c r="AK271" s="81"/>
      <c r="AL271" s="81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  <c r="BA271" s="81"/>
      <c r="BB271" s="81"/>
      <c r="BC271" s="81"/>
      <c r="BD271" s="81"/>
      <c r="BE271" s="81"/>
      <c r="BF271" s="81"/>
      <c r="BG271" s="81"/>
      <c r="BH271" s="81"/>
      <c r="BI271" s="81"/>
      <c r="BJ271" s="81"/>
      <c r="BK271" s="81"/>
      <c r="BL271" s="81"/>
      <c r="BM271" s="81"/>
      <c r="BN271" s="81"/>
      <c r="BO271" s="81"/>
      <c r="BP271" s="81"/>
      <c r="BQ271" s="81"/>
      <c r="BR271" s="81"/>
      <c r="BS271" s="81"/>
      <c r="BT271" s="81"/>
      <c r="BU271" s="81"/>
      <c r="BV271" s="81"/>
      <c r="BW271" s="81"/>
      <c r="BX271" s="81"/>
      <c r="BY271" s="81"/>
      <c r="BZ271" s="81"/>
      <c r="CA271" s="81"/>
      <c r="CB271" s="81"/>
      <c r="CC271" s="81"/>
      <c r="CD271" s="81"/>
      <c r="CE271" s="81"/>
      <c r="CF271" s="81"/>
      <c r="CG271" s="81"/>
      <c r="CH271" s="81"/>
      <c r="CI271" s="81"/>
      <c r="CJ271" s="81"/>
      <c r="CK271" s="81"/>
      <c r="CL271" s="81"/>
      <c r="CM271" s="81"/>
      <c r="CN271" s="81"/>
      <c r="CO271" s="81"/>
      <c r="CP271" s="81"/>
      <c r="CQ271" s="81"/>
      <c r="CR271" s="81"/>
      <c r="CS271" s="81"/>
      <c r="CT271" s="81"/>
      <c r="CU271" s="81"/>
      <c r="CV271" s="81"/>
      <c r="CW271" s="81"/>
      <c r="CX271" s="81"/>
      <c r="CY271" s="81"/>
      <c r="CZ271" s="81"/>
      <c r="DA271" s="81"/>
      <c r="DB271" s="81"/>
      <c r="DC271" s="81"/>
      <c r="DD271" s="81"/>
      <c r="DE271" s="81"/>
      <c r="DF271" s="81"/>
      <c r="DG271" s="81"/>
      <c r="DH271" s="81"/>
      <c r="DI271" s="81"/>
      <c r="DJ271" s="81"/>
      <c r="DK271" s="81"/>
      <c r="DL271" s="81"/>
      <c r="DM271" s="81"/>
      <c r="DN271" s="81"/>
      <c r="DO271" s="81"/>
      <c r="DP271" s="81"/>
      <c r="DQ271" s="81"/>
      <c r="DR271" s="81"/>
      <c r="DS271" s="81"/>
      <c r="DT271" s="81"/>
      <c r="DU271" s="81"/>
      <c r="DV271" s="81"/>
      <c r="DW271" s="121"/>
    </row>
    <row r="272" spans="1:127" x14ac:dyDescent="0.25">
      <c r="A272" s="2">
        <f>COUNTIF($D$2:D272,'Reporte de Nomina'!$E$2)</f>
        <v>0</v>
      </c>
      <c r="B272" s="125">
        <f>Lista!A271</f>
        <v>0</v>
      </c>
      <c r="C272" s="125">
        <f>Lista!B271</f>
        <v>0</v>
      </c>
      <c r="D272" s="125">
        <f>Lista!C271</f>
        <v>0</v>
      </c>
      <c r="E272" s="125">
        <f>Lista!D271</f>
        <v>0</v>
      </c>
      <c r="F272" s="125">
        <f>Lista!E271</f>
        <v>0</v>
      </c>
      <c r="G272" s="125">
        <f>Lista!F271</f>
        <v>0</v>
      </c>
      <c r="H272" s="125">
        <f>Lista!G271</f>
        <v>0</v>
      </c>
      <c r="I272" s="125">
        <f>Lista!H271</f>
        <v>0</v>
      </c>
      <c r="J272" s="125">
        <f>Lista!I271</f>
        <v>0</v>
      </c>
      <c r="K272" s="125">
        <f>Lista!J271</f>
        <v>0</v>
      </c>
      <c r="L272" s="125">
        <f>Lista!K271</f>
        <v>0</v>
      </c>
      <c r="M272" s="125">
        <f>Lista!L271</f>
        <v>0</v>
      </c>
      <c r="N272" s="125">
        <f>Lista!M271</f>
        <v>0</v>
      </c>
      <c r="O272" s="125">
        <f>Lista!N271</f>
        <v>0</v>
      </c>
      <c r="P272" s="125">
        <f>Lista!O271</f>
        <v>0</v>
      </c>
      <c r="Q272" s="125">
        <f>Lista!P271</f>
        <v>0</v>
      </c>
      <c r="R272" s="125">
        <f>Lista!Q271</f>
        <v>0</v>
      </c>
      <c r="S272" s="125">
        <f>Lista!R271</f>
        <v>0</v>
      </c>
      <c r="T272" s="81"/>
      <c r="U272" s="81"/>
      <c r="V272" s="81"/>
      <c r="W272" s="81"/>
      <c r="X272" s="81"/>
      <c r="Y272" s="81"/>
      <c r="Z272" s="81"/>
      <c r="AA272" s="81"/>
      <c r="AB272" s="81"/>
      <c r="AC272" s="81"/>
      <c r="AD272" s="81"/>
      <c r="AE272" s="81"/>
      <c r="AF272" s="81"/>
      <c r="AG272" s="81"/>
      <c r="AH272" s="81"/>
      <c r="AI272" s="81"/>
      <c r="AJ272" s="81"/>
      <c r="AK272" s="81"/>
      <c r="AL272" s="81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  <c r="BA272" s="81"/>
      <c r="BB272" s="81"/>
      <c r="BC272" s="81"/>
      <c r="BD272" s="81"/>
      <c r="BE272" s="81"/>
      <c r="BF272" s="81"/>
      <c r="BG272" s="81"/>
      <c r="BH272" s="81"/>
      <c r="BI272" s="81"/>
      <c r="BJ272" s="81"/>
      <c r="BK272" s="81"/>
      <c r="BL272" s="81"/>
      <c r="BM272" s="81"/>
      <c r="BN272" s="81"/>
      <c r="BO272" s="81"/>
      <c r="BP272" s="81"/>
      <c r="BQ272" s="81"/>
      <c r="BR272" s="81"/>
      <c r="BS272" s="81"/>
      <c r="BT272" s="81"/>
      <c r="BU272" s="81"/>
      <c r="BV272" s="81"/>
      <c r="BW272" s="81"/>
      <c r="BX272" s="81"/>
      <c r="BY272" s="81"/>
      <c r="BZ272" s="81"/>
      <c r="CA272" s="81"/>
      <c r="CB272" s="81"/>
      <c r="CC272" s="81"/>
      <c r="CD272" s="81"/>
      <c r="CE272" s="81"/>
      <c r="CF272" s="81"/>
      <c r="CG272" s="81"/>
      <c r="CH272" s="81"/>
      <c r="CI272" s="81"/>
      <c r="CJ272" s="81"/>
      <c r="CK272" s="81"/>
      <c r="CL272" s="81"/>
      <c r="CM272" s="81"/>
      <c r="CN272" s="81"/>
      <c r="CO272" s="81"/>
      <c r="CP272" s="81"/>
      <c r="CQ272" s="81"/>
      <c r="CR272" s="81"/>
      <c r="CS272" s="81"/>
      <c r="CT272" s="81"/>
      <c r="CU272" s="81"/>
      <c r="CV272" s="81"/>
      <c r="CW272" s="81"/>
      <c r="CX272" s="81"/>
      <c r="CY272" s="81"/>
      <c r="CZ272" s="81"/>
      <c r="DA272" s="81"/>
      <c r="DB272" s="81"/>
      <c r="DC272" s="81"/>
      <c r="DD272" s="81"/>
      <c r="DE272" s="81"/>
      <c r="DF272" s="81"/>
      <c r="DG272" s="81"/>
      <c r="DH272" s="81"/>
      <c r="DI272" s="81"/>
      <c r="DJ272" s="81"/>
      <c r="DK272" s="81"/>
      <c r="DL272" s="81"/>
      <c r="DM272" s="81"/>
      <c r="DN272" s="81"/>
      <c r="DO272" s="81"/>
      <c r="DP272" s="81"/>
      <c r="DQ272" s="81"/>
      <c r="DR272" s="81"/>
      <c r="DS272" s="81"/>
      <c r="DT272" s="81"/>
      <c r="DU272" s="81"/>
      <c r="DV272" s="81"/>
      <c r="DW272" s="121"/>
    </row>
    <row r="273" spans="1:127" x14ac:dyDescent="0.25">
      <c r="A273" s="2">
        <f>COUNTIF($D$2:D273,'Reporte de Nomina'!$E$2)</f>
        <v>0</v>
      </c>
      <c r="B273" s="125">
        <f>Lista!A272</f>
        <v>0</v>
      </c>
      <c r="C273" s="125">
        <f>Lista!B272</f>
        <v>0</v>
      </c>
      <c r="D273" s="125">
        <f>Lista!C272</f>
        <v>0</v>
      </c>
      <c r="E273" s="125">
        <f>Lista!D272</f>
        <v>0</v>
      </c>
      <c r="F273" s="125">
        <f>Lista!E272</f>
        <v>0</v>
      </c>
      <c r="G273" s="125">
        <f>Lista!F272</f>
        <v>0</v>
      </c>
      <c r="H273" s="125">
        <f>Lista!G272</f>
        <v>0</v>
      </c>
      <c r="I273" s="125">
        <f>Lista!H272</f>
        <v>0</v>
      </c>
      <c r="J273" s="125">
        <f>Lista!I272</f>
        <v>0</v>
      </c>
      <c r="K273" s="125">
        <f>Lista!J272</f>
        <v>0</v>
      </c>
      <c r="L273" s="125">
        <f>Lista!K272</f>
        <v>0</v>
      </c>
      <c r="M273" s="125">
        <f>Lista!L272</f>
        <v>0</v>
      </c>
      <c r="N273" s="125">
        <f>Lista!M272</f>
        <v>0</v>
      </c>
      <c r="O273" s="125">
        <f>Lista!N272</f>
        <v>0</v>
      </c>
      <c r="P273" s="125">
        <f>Lista!O272</f>
        <v>0</v>
      </c>
      <c r="Q273" s="125">
        <f>Lista!P272</f>
        <v>0</v>
      </c>
      <c r="R273" s="125">
        <f>Lista!Q272</f>
        <v>0</v>
      </c>
      <c r="S273" s="125">
        <f>Lista!R272</f>
        <v>0</v>
      </c>
      <c r="T273" s="81"/>
      <c r="U273" s="81"/>
      <c r="V273" s="81"/>
      <c r="W273" s="81"/>
      <c r="X273" s="81"/>
      <c r="Y273" s="81"/>
      <c r="Z273" s="81"/>
      <c r="AA273" s="81"/>
      <c r="AB273" s="81"/>
      <c r="AC273" s="81"/>
      <c r="AD273" s="81"/>
      <c r="AE273" s="81"/>
      <c r="AF273" s="81"/>
      <c r="AG273" s="81"/>
      <c r="AH273" s="81"/>
      <c r="AI273" s="81"/>
      <c r="AJ273" s="81"/>
      <c r="AK273" s="81"/>
      <c r="AL273" s="81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  <c r="BA273" s="81"/>
      <c r="BB273" s="81"/>
      <c r="BC273" s="81"/>
      <c r="BD273" s="81"/>
      <c r="BE273" s="81"/>
      <c r="BF273" s="81"/>
      <c r="BG273" s="81"/>
      <c r="BH273" s="81"/>
      <c r="BI273" s="81"/>
      <c r="BJ273" s="81"/>
      <c r="BK273" s="81"/>
      <c r="BL273" s="81"/>
      <c r="BM273" s="81"/>
      <c r="BN273" s="81"/>
      <c r="BO273" s="81"/>
      <c r="BP273" s="81"/>
      <c r="BQ273" s="81"/>
      <c r="BR273" s="81"/>
      <c r="BS273" s="81"/>
      <c r="BT273" s="81"/>
      <c r="BU273" s="81"/>
      <c r="BV273" s="81"/>
      <c r="BW273" s="81"/>
      <c r="BX273" s="81"/>
      <c r="BY273" s="81"/>
      <c r="BZ273" s="81"/>
      <c r="CA273" s="81"/>
      <c r="CB273" s="81"/>
      <c r="CC273" s="81"/>
      <c r="CD273" s="81"/>
      <c r="CE273" s="81"/>
      <c r="CF273" s="81"/>
      <c r="CG273" s="81"/>
      <c r="CH273" s="81"/>
      <c r="CI273" s="81"/>
      <c r="CJ273" s="81"/>
      <c r="CK273" s="81"/>
      <c r="CL273" s="81"/>
      <c r="CM273" s="81"/>
      <c r="CN273" s="81"/>
      <c r="CO273" s="81"/>
      <c r="CP273" s="81"/>
      <c r="CQ273" s="81"/>
      <c r="CR273" s="81"/>
      <c r="CS273" s="81"/>
      <c r="CT273" s="81"/>
      <c r="CU273" s="81"/>
      <c r="CV273" s="81"/>
      <c r="CW273" s="81"/>
      <c r="CX273" s="81"/>
      <c r="CY273" s="81"/>
      <c r="CZ273" s="81"/>
      <c r="DA273" s="81"/>
      <c r="DB273" s="81"/>
      <c r="DC273" s="81"/>
      <c r="DD273" s="81"/>
      <c r="DE273" s="81"/>
      <c r="DF273" s="81"/>
      <c r="DG273" s="81"/>
      <c r="DH273" s="81"/>
      <c r="DI273" s="81"/>
      <c r="DJ273" s="81"/>
      <c r="DK273" s="81"/>
      <c r="DL273" s="81"/>
      <c r="DM273" s="81"/>
      <c r="DN273" s="81"/>
      <c r="DO273" s="81"/>
      <c r="DP273" s="81"/>
      <c r="DQ273" s="81"/>
      <c r="DR273" s="81"/>
      <c r="DS273" s="81"/>
      <c r="DT273" s="81"/>
      <c r="DU273" s="81"/>
      <c r="DV273" s="81"/>
      <c r="DW273" s="121"/>
    </row>
    <row r="274" spans="1:127" x14ac:dyDescent="0.25">
      <c r="A274" s="2">
        <f>COUNTIF($D$2:D274,'Reporte de Nomina'!$E$2)</f>
        <v>0</v>
      </c>
      <c r="B274" s="125">
        <f>Lista!A273</f>
        <v>0</v>
      </c>
      <c r="C274" s="125">
        <f>Lista!B273</f>
        <v>0</v>
      </c>
      <c r="D274" s="125">
        <f>Lista!C273</f>
        <v>0</v>
      </c>
      <c r="E274" s="125">
        <f>Lista!D273</f>
        <v>0</v>
      </c>
      <c r="F274" s="125">
        <f>Lista!E273</f>
        <v>0</v>
      </c>
      <c r="G274" s="125">
        <f>Lista!F273</f>
        <v>0</v>
      </c>
      <c r="H274" s="125">
        <f>Lista!G273</f>
        <v>0</v>
      </c>
      <c r="I274" s="125">
        <f>Lista!H273</f>
        <v>0</v>
      </c>
      <c r="J274" s="125">
        <f>Lista!I273</f>
        <v>0</v>
      </c>
      <c r="K274" s="125">
        <f>Lista!J273</f>
        <v>0</v>
      </c>
      <c r="L274" s="125">
        <f>Lista!K273</f>
        <v>0</v>
      </c>
      <c r="M274" s="125">
        <f>Lista!L273</f>
        <v>0</v>
      </c>
      <c r="N274" s="125">
        <f>Lista!M273</f>
        <v>0</v>
      </c>
      <c r="O274" s="125">
        <f>Lista!N273</f>
        <v>0</v>
      </c>
      <c r="P274" s="125">
        <f>Lista!O273</f>
        <v>0</v>
      </c>
      <c r="Q274" s="125">
        <f>Lista!P273</f>
        <v>0</v>
      </c>
      <c r="R274" s="125">
        <f>Lista!Q273</f>
        <v>0</v>
      </c>
      <c r="S274" s="125">
        <f>Lista!R273</f>
        <v>0</v>
      </c>
      <c r="T274" s="81"/>
      <c r="U274" s="81"/>
      <c r="V274" s="81"/>
      <c r="W274" s="81"/>
      <c r="X274" s="81"/>
      <c r="Y274" s="81"/>
      <c r="Z274" s="81"/>
      <c r="AA274" s="81"/>
      <c r="AB274" s="81"/>
      <c r="AC274" s="81"/>
      <c r="AD274" s="81"/>
      <c r="AE274" s="81"/>
      <c r="AF274" s="81"/>
      <c r="AG274" s="81"/>
      <c r="AH274" s="81"/>
      <c r="AI274" s="81"/>
      <c r="AJ274" s="81"/>
      <c r="AK274" s="81"/>
      <c r="AL274" s="81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  <c r="BA274" s="81"/>
      <c r="BB274" s="81"/>
      <c r="BC274" s="81"/>
      <c r="BD274" s="81"/>
      <c r="BE274" s="81"/>
      <c r="BF274" s="81"/>
      <c r="BG274" s="81"/>
      <c r="BH274" s="81"/>
      <c r="BI274" s="81"/>
      <c r="BJ274" s="81"/>
      <c r="BK274" s="81"/>
      <c r="BL274" s="81"/>
      <c r="BM274" s="81"/>
      <c r="BN274" s="81"/>
      <c r="BO274" s="81"/>
      <c r="BP274" s="81"/>
      <c r="BQ274" s="81"/>
      <c r="BR274" s="81"/>
      <c r="BS274" s="81"/>
      <c r="BT274" s="81"/>
      <c r="BU274" s="81"/>
      <c r="BV274" s="81"/>
      <c r="BW274" s="81"/>
      <c r="BX274" s="81"/>
      <c r="BY274" s="81"/>
      <c r="BZ274" s="81"/>
      <c r="CA274" s="81"/>
      <c r="CB274" s="81"/>
      <c r="CC274" s="81"/>
      <c r="CD274" s="81"/>
      <c r="CE274" s="81"/>
      <c r="CF274" s="81"/>
      <c r="CG274" s="81"/>
      <c r="CH274" s="81"/>
      <c r="CI274" s="81"/>
      <c r="CJ274" s="81"/>
      <c r="CK274" s="81"/>
      <c r="CL274" s="81"/>
      <c r="CM274" s="81"/>
      <c r="CN274" s="81"/>
      <c r="CO274" s="81"/>
      <c r="CP274" s="81"/>
      <c r="CQ274" s="81"/>
      <c r="CR274" s="81"/>
      <c r="CS274" s="81"/>
      <c r="CT274" s="81"/>
      <c r="CU274" s="81"/>
      <c r="CV274" s="81"/>
      <c r="CW274" s="81"/>
      <c r="CX274" s="81"/>
      <c r="CY274" s="81"/>
      <c r="CZ274" s="81"/>
      <c r="DA274" s="81"/>
      <c r="DB274" s="81"/>
      <c r="DC274" s="81"/>
      <c r="DD274" s="81"/>
      <c r="DE274" s="81"/>
      <c r="DF274" s="81"/>
      <c r="DG274" s="81"/>
      <c r="DH274" s="81"/>
      <c r="DI274" s="81"/>
      <c r="DJ274" s="81"/>
      <c r="DK274" s="81"/>
      <c r="DL274" s="81"/>
      <c r="DM274" s="81"/>
      <c r="DN274" s="81"/>
      <c r="DO274" s="81"/>
      <c r="DP274" s="81"/>
      <c r="DQ274" s="81"/>
      <c r="DR274" s="81"/>
      <c r="DS274" s="81"/>
      <c r="DT274" s="81"/>
      <c r="DU274" s="81"/>
      <c r="DV274" s="81"/>
      <c r="DW274" s="121"/>
    </row>
    <row r="275" spans="1:127" x14ac:dyDescent="0.25">
      <c r="A275" s="2">
        <f>COUNTIF($D$2:D275,'Reporte de Nomina'!$E$2)</f>
        <v>0</v>
      </c>
      <c r="B275" s="125">
        <f>Lista!A274</f>
        <v>0</v>
      </c>
      <c r="C275" s="125">
        <f>Lista!B274</f>
        <v>0</v>
      </c>
      <c r="D275" s="125">
        <f>Lista!C274</f>
        <v>0</v>
      </c>
      <c r="E275" s="125">
        <f>Lista!D274</f>
        <v>0</v>
      </c>
      <c r="F275" s="125">
        <f>Lista!E274</f>
        <v>0</v>
      </c>
      <c r="G275" s="125">
        <f>Lista!F274</f>
        <v>0</v>
      </c>
      <c r="H275" s="125">
        <f>Lista!G274</f>
        <v>0</v>
      </c>
      <c r="I275" s="125">
        <f>Lista!H274</f>
        <v>0</v>
      </c>
      <c r="J275" s="125">
        <f>Lista!I274</f>
        <v>0</v>
      </c>
      <c r="K275" s="125">
        <f>Lista!J274</f>
        <v>0</v>
      </c>
      <c r="L275" s="125">
        <f>Lista!K274</f>
        <v>0</v>
      </c>
      <c r="M275" s="125">
        <f>Lista!L274</f>
        <v>0</v>
      </c>
      <c r="N275" s="125">
        <f>Lista!M274</f>
        <v>0</v>
      </c>
      <c r="O275" s="125">
        <f>Lista!N274</f>
        <v>0</v>
      </c>
      <c r="P275" s="125">
        <f>Lista!O274</f>
        <v>0</v>
      </c>
      <c r="Q275" s="125">
        <f>Lista!P274</f>
        <v>0</v>
      </c>
      <c r="R275" s="125">
        <f>Lista!Q274</f>
        <v>0</v>
      </c>
      <c r="S275" s="125">
        <f>Lista!R274</f>
        <v>0</v>
      </c>
      <c r="T275" s="81"/>
      <c r="U275" s="81"/>
      <c r="V275" s="81"/>
      <c r="W275" s="81"/>
      <c r="X275" s="81"/>
      <c r="Y275" s="81"/>
      <c r="Z275" s="81"/>
      <c r="AA275" s="81"/>
      <c r="AB275" s="81"/>
      <c r="AC275" s="81"/>
      <c r="AD275" s="81"/>
      <c r="AE275" s="81"/>
      <c r="AF275" s="81"/>
      <c r="AG275" s="81"/>
      <c r="AH275" s="81"/>
      <c r="AI275" s="81"/>
      <c r="AJ275" s="81"/>
      <c r="AK275" s="81"/>
      <c r="AL275" s="81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  <c r="BA275" s="81"/>
      <c r="BB275" s="81"/>
      <c r="BC275" s="81"/>
      <c r="BD275" s="81"/>
      <c r="BE275" s="81"/>
      <c r="BF275" s="81"/>
      <c r="BG275" s="81"/>
      <c r="BH275" s="81"/>
      <c r="BI275" s="81"/>
      <c r="BJ275" s="81"/>
      <c r="BK275" s="81"/>
      <c r="BL275" s="81"/>
      <c r="BM275" s="81"/>
      <c r="BN275" s="81"/>
      <c r="BO275" s="81"/>
      <c r="BP275" s="81"/>
      <c r="BQ275" s="81"/>
      <c r="BR275" s="81"/>
      <c r="BS275" s="81"/>
      <c r="BT275" s="81"/>
      <c r="BU275" s="81"/>
      <c r="BV275" s="81"/>
      <c r="BW275" s="81"/>
      <c r="BX275" s="81"/>
      <c r="BY275" s="81"/>
      <c r="BZ275" s="81"/>
      <c r="CA275" s="81"/>
      <c r="CB275" s="81"/>
      <c r="CC275" s="81"/>
      <c r="CD275" s="81"/>
      <c r="CE275" s="81"/>
      <c r="CF275" s="81"/>
      <c r="CG275" s="81"/>
      <c r="CH275" s="81"/>
      <c r="CI275" s="81"/>
      <c r="CJ275" s="81"/>
      <c r="CK275" s="81"/>
      <c r="CL275" s="81"/>
      <c r="CM275" s="81"/>
      <c r="CN275" s="81"/>
      <c r="CO275" s="81"/>
      <c r="CP275" s="81"/>
      <c r="CQ275" s="81"/>
      <c r="CR275" s="81"/>
      <c r="CS275" s="81"/>
      <c r="CT275" s="81"/>
      <c r="CU275" s="81"/>
      <c r="CV275" s="81"/>
      <c r="CW275" s="81"/>
      <c r="CX275" s="81"/>
      <c r="CY275" s="81"/>
      <c r="CZ275" s="81"/>
      <c r="DA275" s="81"/>
      <c r="DB275" s="81"/>
      <c r="DC275" s="81"/>
      <c r="DD275" s="81"/>
      <c r="DE275" s="81"/>
      <c r="DF275" s="81"/>
      <c r="DG275" s="81"/>
      <c r="DH275" s="81"/>
      <c r="DI275" s="81"/>
      <c r="DJ275" s="81"/>
      <c r="DK275" s="81"/>
      <c r="DL275" s="81"/>
      <c r="DM275" s="81"/>
      <c r="DN275" s="81"/>
      <c r="DO275" s="81"/>
      <c r="DP275" s="81"/>
      <c r="DQ275" s="81"/>
      <c r="DR275" s="81"/>
      <c r="DS275" s="81"/>
      <c r="DT275" s="81"/>
      <c r="DU275" s="81"/>
      <c r="DV275" s="81"/>
      <c r="DW275" s="121"/>
    </row>
    <row r="276" spans="1:127" x14ac:dyDescent="0.25">
      <c r="A276" s="2">
        <f>COUNTIF($D$2:D276,'Reporte de Nomina'!$E$2)</f>
        <v>0</v>
      </c>
      <c r="B276" s="125">
        <f>Lista!A275</f>
        <v>0</v>
      </c>
      <c r="C276" s="125">
        <f>Lista!B275</f>
        <v>0</v>
      </c>
      <c r="D276" s="125">
        <f>Lista!C275</f>
        <v>0</v>
      </c>
      <c r="E276" s="125">
        <f>Lista!D275</f>
        <v>0</v>
      </c>
      <c r="F276" s="125">
        <f>Lista!E275</f>
        <v>0</v>
      </c>
      <c r="G276" s="125">
        <f>Lista!F275</f>
        <v>0</v>
      </c>
      <c r="H276" s="125">
        <f>Lista!G275</f>
        <v>0</v>
      </c>
      <c r="I276" s="125">
        <f>Lista!H275</f>
        <v>0</v>
      </c>
      <c r="J276" s="125">
        <f>Lista!I275</f>
        <v>0</v>
      </c>
      <c r="K276" s="125">
        <f>Lista!J275</f>
        <v>0</v>
      </c>
      <c r="L276" s="125">
        <f>Lista!K275</f>
        <v>0</v>
      </c>
      <c r="M276" s="125">
        <f>Lista!L275</f>
        <v>0</v>
      </c>
      <c r="N276" s="125">
        <f>Lista!M275</f>
        <v>0</v>
      </c>
      <c r="O276" s="125">
        <f>Lista!N275</f>
        <v>0</v>
      </c>
      <c r="P276" s="125">
        <f>Lista!O275</f>
        <v>0</v>
      </c>
      <c r="Q276" s="125">
        <f>Lista!P275</f>
        <v>0</v>
      </c>
      <c r="R276" s="125">
        <f>Lista!Q275</f>
        <v>0</v>
      </c>
      <c r="S276" s="125">
        <f>Lista!R275</f>
        <v>0</v>
      </c>
      <c r="T276" s="81"/>
      <c r="U276" s="81"/>
      <c r="V276" s="81"/>
      <c r="W276" s="81"/>
      <c r="X276" s="81"/>
      <c r="Y276" s="81"/>
      <c r="Z276" s="81"/>
      <c r="AA276" s="81"/>
      <c r="AB276" s="81"/>
      <c r="AC276" s="81"/>
      <c r="AD276" s="81"/>
      <c r="AE276" s="81"/>
      <c r="AF276" s="81"/>
      <c r="AG276" s="81"/>
      <c r="AH276" s="81"/>
      <c r="AI276" s="81"/>
      <c r="AJ276" s="81"/>
      <c r="AK276" s="81"/>
      <c r="AL276" s="81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  <c r="BA276" s="81"/>
      <c r="BB276" s="81"/>
      <c r="BC276" s="81"/>
      <c r="BD276" s="81"/>
      <c r="BE276" s="81"/>
      <c r="BF276" s="81"/>
      <c r="BG276" s="81"/>
      <c r="BH276" s="81"/>
      <c r="BI276" s="81"/>
      <c r="BJ276" s="81"/>
      <c r="BK276" s="81"/>
      <c r="BL276" s="81"/>
      <c r="BM276" s="81"/>
      <c r="BN276" s="81"/>
      <c r="BO276" s="81"/>
      <c r="BP276" s="81"/>
      <c r="BQ276" s="81"/>
      <c r="BR276" s="81"/>
      <c r="BS276" s="81"/>
      <c r="BT276" s="81"/>
      <c r="BU276" s="81"/>
      <c r="BV276" s="81"/>
      <c r="BW276" s="81"/>
      <c r="BX276" s="81"/>
      <c r="BY276" s="81"/>
      <c r="BZ276" s="81"/>
      <c r="CA276" s="81"/>
      <c r="CB276" s="81"/>
      <c r="CC276" s="81"/>
      <c r="CD276" s="81"/>
      <c r="CE276" s="81"/>
      <c r="CF276" s="81"/>
      <c r="CG276" s="81"/>
      <c r="CH276" s="81"/>
      <c r="CI276" s="81"/>
      <c r="CJ276" s="81"/>
      <c r="CK276" s="81"/>
      <c r="CL276" s="81"/>
      <c r="CM276" s="81"/>
      <c r="CN276" s="81"/>
      <c r="CO276" s="81"/>
      <c r="CP276" s="81"/>
      <c r="CQ276" s="81"/>
      <c r="CR276" s="81"/>
      <c r="CS276" s="81"/>
      <c r="CT276" s="81"/>
      <c r="CU276" s="81"/>
      <c r="CV276" s="81"/>
      <c r="CW276" s="81"/>
      <c r="CX276" s="81"/>
      <c r="CY276" s="81"/>
      <c r="CZ276" s="81"/>
      <c r="DA276" s="81"/>
      <c r="DB276" s="81"/>
      <c r="DC276" s="81"/>
      <c r="DD276" s="81"/>
      <c r="DE276" s="81"/>
      <c r="DF276" s="81"/>
      <c r="DG276" s="81"/>
      <c r="DH276" s="81"/>
      <c r="DI276" s="81"/>
      <c r="DJ276" s="81"/>
      <c r="DK276" s="81"/>
      <c r="DL276" s="81"/>
      <c r="DM276" s="81"/>
      <c r="DN276" s="81"/>
      <c r="DO276" s="81"/>
      <c r="DP276" s="81"/>
      <c r="DQ276" s="81"/>
      <c r="DR276" s="81"/>
      <c r="DS276" s="81"/>
      <c r="DT276" s="81"/>
      <c r="DU276" s="81"/>
      <c r="DV276" s="81"/>
      <c r="DW276" s="121"/>
    </row>
    <row r="277" spans="1:127" x14ac:dyDescent="0.25">
      <c r="A277" s="2">
        <f>COUNTIF($D$2:D277,'Reporte de Nomina'!$E$2)</f>
        <v>0</v>
      </c>
      <c r="B277" s="125">
        <f>Lista!A276</f>
        <v>0</v>
      </c>
      <c r="C277" s="125">
        <f>Lista!B276</f>
        <v>0</v>
      </c>
      <c r="D277" s="125">
        <f>Lista!C276</f>
        <v>0</v>
      </c>
      <c r="E277" s="125">
        <f>Lista!D276</f>
        <v>0</v>
      </c>
      <c r="F277" s="125">
        <f>Lista!E276</f>
        <v>0</v>
      </c>
      <c r="G277" s="125">
        <f>Lista!F276</f>
        <v>0</v>
      </c>
      <c r="H277" s="125">
        <f>Lista!G276</f>
        <v>0</v>
      </c>
      <c r="I277" s="125">
        <f>Lista!H276</f>
        <v>0</v>
      </c>
      <c r="J277" s="125">
        <f>Lista!I276</f>
        <v>0</v>
      </c>
      <c r="K277" s="125">
        <f>Lista!J276</f>
        <v>0</v>
      </c>
      <c r="L277" s="125">
        <f>Lista!K276</f>
        <v>0</v>
      </c>
      <c r="M277" s="125">
        <f>Lista!L276</f>
        <v>0</v>
      </c>
      <c r="N277" s="125">
        <f>Lista!M276</f>
        <v>0</v>
      </c>
      <c r="O277" s="125">
        <f>Lista!N276</f>
        <v>0</v>
      </c>
      <c r="P277" s="125">
        <f>Lista!O276</f>
        <v>0</v>
      </c>
      <c r="Q277" s="125">
        <f>Lista!P276</f>
        <v>0</v>
      </c>
      <c r="R277" s="125">
        <f>Lista!Q276</f>
        <v>0</v>
      </c>
      <c r="S277" s="125">
        <f>Lista!R276</f>
        <v>0</v>
      </c>
      <c r="T277" s="81"/>
      <c r="U277" s="81"/>
      <c r="V277" s="81"/>
      <c r="W277" s="81"/>
      <c r="X277" s="81"/>
      <c r="Y277" s="81"/>
      <c r="Z277" s="81"/>
      <c r="AA277" s="81"/>
      <c r="AB277" s="81"/>
      <c r="AC277" s="81"/>
      <c r="AD277" s="81"/>
      <c r="AE277" s="81"/>
      <c r="AF277" s="81"/>
      <c r="AG277" s="81"/>
      <c r="AH277" s="81"/>
      <c r="AI277" s="81"/>
      <c r="AJ277" s="81"/>
      <c r="AK277" s="81"/>
      <c r="AL277" s="81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  <c r="BA277" s="81"/>
      <c r="BB277" s="81"/>
      <c r="BC277" s="81"/>
      <c r="BD277" s="81"/>
      <c r="BE277" s="81"/>
      <c r="BF277" s="81"/>
      <c r="BG277" s="81"/>
      <c r="BH277" s="81"/>
      <c r="BI277" s="81"/>
      <c r="BJ277" s="81"/>
      <c r="BK277" s="81"/>
      <c r="BL277" s="81"/>
      <c r="BM277" s="81"/>
      <c r="BN277" s="81"/>
      <c r="BO277" s="81"/>
      <c r="BP277" s="81"/>
      <c r="BQ277" s="81"/>
      <c r="BR277" s="81"/>
      <c r="BS277" s="81"/>
      <c r="BT277" s="81"/>
      <c r="BU277" s="81"/>
      <c r="BV277" s="81"/>
      <c r="BW277" s="81"/>
      <c r="BX277" s="81"/>
      <c r="BY277" s="81"/>
      <c r="BZ277" s="81"/>
      <c r="CA277" s="81"/>
      <c r="CB277" s="81"/>
      <c r="CC277" s="81"/>
      <c r="CD277" s="81"/>
      <c r="CE277" s="81"/>
      <c r="CF277" s="81"/>
      <c r="CG277" s="81"/>
      <c r="CH277" s="81"/>
      <c r="CI277" s="81"/>
      <c r="CJ277" s="81"/>
      <c r="CK277" s="81"/>
      <c r="CL277" s="81"/>
      <c r="CM277" s="81"/>
      <c r="CN277" s="81"/>
      <c r="CO277" s="81"/>
      <c r="CP277" s="81"/>
      <c r="CQ277" s="81"/>
      <c r="CR277" s="81"/>
      <c r="CS277" s="81"/>
      <c r="CT277" s="81"/>
      <c r="CU277" s="81"/>
      <c r="CV277" s="81"/>
      <c r="CW277" s="81"/>
      <c r="CX277" s="81"/>
      <c r="CY277" s="81"/>
      <c r="CZ277" s="81"/>
      <c r="DA277" s="81"/>
      <c r="DB277" s="81"/>
      <c r="DC277" s="81"/>
      <c r="DD277" s="81"/>
      <c r="DE277" s="81"/>
      <c r="DF277" s="81"/>
      <c r="DG277" s="81"/>
      <c r="DH277" s="81"/>
      <c r="DI277" s="81"/>
      <c r="DJ277" s="81"/>
      <c r="DK277" s="81"/>
      <c r="DL277" s="81"/>
      <c r="DM277" s="81"/>
      <c r="DN277" s="81"/>
      <c r="DO277" s="81"/>
      <c r="DP277" s="81"/>
      <c r="DQ277" s="81"/>
      <c r="DR277" s="81"/>
      <c r="DS277" s="81"/>
      <c r="DT277" s="81"/>
      <c r="DU277" s="81"/>
      <c r="DV277" s="81"/>
      <c r="DW277" s="121"/>
    </row>
    <row r="278" spans="1:127" x14ac:dyDescent="0.25">
      <c r="A278" s="2">
        <f>COUNTIF($D$2:D278,'Reporte de Nomina'!$E$2)</f>
        <v>0</v>
      </c>
      <c r="B278" s="125">
        <f>Lista!A277</f>
        <v>0</v>
      </c>
      <c r="C278" s="125">
        <f>Lista!B277</f>
        <v>0</v>
      </c>
      <c r="D278" s="125">
        <f>Lista!C277</f>
        <v>0</v>
      </c>
      <c r="E278" s="125">
        <f>Lista!D277</f>
        <v>0</v>
      </c>
      <c r="F278" s="125">
        <f>Lista!E277</f>
        <v>0</v>
      </c>
      <c r="G278" s="125">
        <f>Lista!F277</f>
        <v>0</v>
      </c>
      <c r="H278" s="125">
        <f>Lista!G277</f>
        <v>0</v>
      </c>
      <c r="I278" s="125">
        <f>Lista!H277</f>
        <v>0</v>
      </c>
      <c r="J278" s="125">
        <f>Lista!I277</f>
        <v>0</v>
      </c>
      <c r="K278" s="125">
        <f>Lista!J277</f>
        <v>0</v>
      </c>
      <c r="L278" s="125">
        <f>Lista!K277</f>
        <v>0</v>
      </c>
      <c r="M278" s="125">
        <f>Lista!L277</f>
        <v>0</v>
      </c>
      <c r="N278" s="125">
        <f>Lista!M277</f>
        <v>0</v>
      </c>
      <c r="O278" s="125">
        <f>Lista!N277</f>
        <v>0</v>
      </c>
      <c r="P278" s="125">
        <f>Lista!O277</f>
        <v>0</v>
      </c>
      <c r="Q278" s="125">
        <f>Lista!P277</f>
        <v>0</v>
      </c>
      <c r="R278" s="125">
        <f>Lista!Q277</f>
        <v>0</v>
      </c>
      <c r="S278" s="125">
        <f>Lista!R277</f>
        <v>0</v>
      </c>
      <c r="T278" s="81"/>
      <c r="U278" s="81"/>
      <c r="V278" s="81"/>
      <c r="W278" s="81"/>
      <c r="X278" s="81"/>
      <c r="Y278" s="81"/>
      <c r="Z278" s="81"/>
      <c r="AA278" s="81"/>
      <c r="AB278" s="81"/>
      <c r="AC278" s="81"/>
      <c r="AD278" s="81"/>
      <c r="AE278" s="81"/>
      <c r="AF278" s="81"/>
      <c r="AG278" s="81"/>
      <c r="AH278" s="81"/>
      <c r="AI278" s="81"/>
      <c r="AJ278" s="81"/>
      <c r="AK278" s="81"/>
      <c r="AL278" s="81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  <c r="BA278" s="81"/>
      <c r="BB278" s="81"/>
      <c r="BC278" s="81"/>
      <c r="BD278" s="81"/>
      <c r="BE278" s="81"/>
      <c r="BF278" s="81"/>
      <c r="BG278" s="81"/>
      <c r="BH278" s="81"/>
      <c r="BI278" s="81"/>
      <c r="BJ278" s="81"/>
      <c r="BK278" s="81"/>
      <c r="BL278" s="81"/>
      <c r="BM278" s="81"/>
      <c r="BN278" s="81"/>
      <c r="BO278" s="81"/>
      <c r="BP278" s="81"/>
      <c r="BQ278" s="81"/>
      <c r="BR278" s="81"/>
      <c r="BS278" s="81"/>
      <c r="BT278" s="81"/>
      <c r="BU278" s="81"/>
      <c r="BV278" s="81"/>
      <c r="BW278" s="81"/>
      <c r="BX278" s="81"/>
      <c r="BY278" s="81"/>
      <c r="BZ278" s="81"/>
      <c r="CA278" s="81"/>
      <c r="CB278" s="81"/>
      <c r="CC278" s="81"/>
      <c r="CD278" s="81"/>
      <c r="CE278" s="81"/>
      <c r="CF278" s="81"/>
      <c r="CG278" s="81"/>
      <c r="CH278" s="81"/>
      <c r="CI278" s="81"/>
      <c r="CJ278" s="81"/>
      <c r="CK278" s="81"/>
      <c r="CL278" s="81"/>
      <c r="CM278" s="81"/>
      <c r="CN278" s="81"/>
      <c r="CO278" s="81"/>
      <c r="CP278" s="81"/>
      <c r="CQ278" s="81"/>
      <c r="CR278" s="81"/>
      <c r="CS278" s="81"/>
      <c r="CT278" s="81"/>
      <c r="CU278" s="81"/>
      <c r="CV278" s="81"/>
      <c r="CW278" s="81"/>
      <c r="CX278" s="81"/>
      <c r="CY278" s="81"/>
      <c r="CZ278" s="81"/>
      <c r="DA278" s="81"/>
      <c r="DB278" s="81"/>
      <c r="DC278" s="81"/>
      <c r="DD278" s="81"/>
      <c r="DE278" s="81"/>
      <c r="DF278" s="81"/>
      <c r="DG278" s="81"/>
      <c r="DH278" s="81"/>
      <c r="DI278" s="81"/>
      <c r="DJ278" s="81"/>
      <c r="DK278" s="81"/>
      <c r="DL278" s="81"/>
      <c r="DM278" s="81"/>
      <c r="DN278" s="81"/>
      <c r="DO278" s="81"/>
      <c r="DP278" s="81"/>
      <c r="DQ278" s="81"/>
      <c r="DR278" s="81"/>
      <c r="DS278" s="81"/>
      <c r="DT278" s="81"/>
      <c r="DU278" s="81"/>
      <c r="DV278" s="81"/>
      <c r="DW278" s="121"/>
    </row>
    <row r="279" spans="1:127" x14ac:dyDescent="0.25">
      <c r="A279" s="2">
        <f>COUNTIF($D$2:D279,'Reporte de Nomina'!$E$2)</f>
        <v>0</v>
      </c>
      <c r="B279" s="125">
        <f>Lista!A278</f>
        <v>0</v>
      </c>
      <c r="C279" s="125">
        <f>Lista!B278</f>
        <v>0</v>
      </c>
      <c r="D279" s="125">
        <f>Lista!C278</f>
        <v>0</v>
      </c>
      <c r="E279" s="125">
        <f>Lista!D278</f>
        <v>0</v>
      </c>
      <c r="F279" s="125">
        <f>Lista!E278</f>
        <v>0</v>
      </c>
      <c r="G279" s="125">
        <f>Lista!F278</f>
        <v>0</v>
      </c>
      <c r="H279" s="125">
        <f>Lista!G278</f>
        <v>0</v>
      </c>
      <c r="I279" s="125">
        <f>Lista!H278</f>
        <v>0</v>
      </c>
      <c r="J279" s="125">
        <f>Lista!I278</f>
        <v>0</v>
      </c>
      <c r="K279" s="125">
        <f>Lista!J278</f>
        <v>0</v>
      </c>
      <c r="L279" s="125">
        <f>Lista!K278</f>
        <v>0</v>
      </c>
      <c r="M279" s="125">
        <f>Lista!L278</f>
        <v>0</v>
      </c>
      <c r="N279" s="125">
        <f>Lista!M278</f>
        <v>0</v>
      </c>
      <c r="O279" s="125">
        <f>Lista!N278</f>
        <v>0</v>
      </c>
      <c r="P279" s="125">
        <f>Lista!O278</f>
        <v>0</v>
      </c>
      <c r="Q279" s="125">
        <f>Lista!P278</f>
        <v>0</v>
      </c>
      <c r="R279" s="125">
        <f>Lista!Q278</f>
        <v>0</v>
      </c>
      <c r="S279" s="125">
        <f>Lista!R278</f>
        <v>0</v>
      </c>
      <c r="T279" s="81"/>
      <c r="U279" s="81"/>
      <c r="V279" s="81"/>
      <c r="W279" s="81"/>
      <c r="X279" s="81"/>
      <c r="Y279" s="81"/>
      <c r="Z279" s="81"/>
      <c r="AA279" s="81"/>
      <c r="AB279" s="81"/>
      <c r="AC279" s="81"/>
      <c r="AD279" s="81"/>
      <c r="AE279" s="81"/>
      <c r="AF279" s="81"/>
      <c r="AG279" s="81"/>
      <c r="AH279" s="81"/>
      <c r="AI279" s="81"/>
      <c r="AJ279" s="81"/>
      <c r="AK279" s="81"/>
      <c r="AL279" s="81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  <c r="BA279" s="81"/>
      <c r="BB279" s="81"/>
      <c r="BC279" s="81"/>
      <c r="BD279" s="81"/>
      <c r="BE279" s="81"/>
      <c r="BF279" s="81"/>
      <c r="BG279" s="81"/>
      <c r="BH279" s="81"/>
      <c r="BI279" s="81"/>
      <c r="BJ279" s="81"/>
      <c r="BK279" s="81"/>
      <c r="BL279" s="81"/>
      <c r="BM279" s="81"/>
      <c r="BN279" s="81"/>
      <c r="BO279" s="81"/>
      <c r="BP279" s="81"/>
      <c r="BQ279" s="81"/>
      <c r="BR279" s="81"/>
      <c r="BS279" s="81"/>
      <c r="BT279" s="81"/>
      <c r="BU279" s="81"/>
      <c r="BV279" s="81"/>
      <c r="BW279" s="81"/>
      <c r="BX279" s="81"/>
      <c r="BY279" s="81"/>
      <c r="BZ279" s="81"/>
      <c r="CA279" s="81"/>
      <c r="CB279" s="81"/>
      <c r="CC279" s="81"/>
      <c r="CD279" s="81"/>
      <c r="CE279" s="81"/>
      <c r="CF279" s="81"/>
      <c r="CG279" s="81"/>
      <c r="CH279" s="81"/>
      <c r="CI279" s="81"/>
      <c r="CJ279" s="81"/>
      <c r="CK279" s="81"/>
      <c r="CL279" s="81"/>
      <c r="CM279" s="81"/>
      <c r="CN279" s="81"/>
      <c r="CO279" s="81"/>
      <c r="CP279" s="81"/>
      <c r="CQ279" s="81"/>
      <c r="CR279" s="81"/>
      <c r="CS279" s="81"/>
      <c r="CT279" s="81"/>
      <c r="CU279" s="81"/>
      <c r="CV279" s="81"/>
      <c r="CW279" s="81"/>
      <c r="CX279" s="81"/>
      <c r="CY279" s="81"/>
      <c r="CZ279" s="81"/>
      <c r="DA279" s="81"/>
      <c r="DB279" s="81"/>
      <c r="DC279" s="81"/>
      <c r="DD279" s="81"/>
      <c r="DE279" s="81"/>
      <c r="DF279" s="81"/>
      <c r="DG279" s="81"/>
      <c r="DH279" s="81"/>
      <c r="DI279" s="81"/>
      <c r="DJ279" s="81"/>
      <c r="DK279" s="81"/>
      <c r="DL279" s="81"/>
      <c r="DM279" s="81"/>
      <c r="DN279" s="81"/>
      <c r="DO279" s="81"/>
      <c r="DP279" s="81"/>
      <c r="DQ279" s="81"/>
      <c r="DR279" s="81"/>
      <c r="DS279" s="81"/>
      <c r="DT279" s="81"/>
      <c r="DU279" s="81"/>
      <c r="DV279" s="81"/>
      <c r="DW279" s="121"/>
    </row>
    <row r="280" spans="1:127" x14ac:dyDescent="0.25">
      <c r="A280" s="2">
        <f>COUNTIF($D$2:D280,'Reporte de Nomina'!$E$2)</f>
        <v>0</v>
      </c>
      <c r="B280" s="125">
        <f>Lista!A279</f>
        <v>0</v>
      </c>
      <c r="C280" s="125">
        <f>Lista!B279</f>
        <v>0</v>
      </c>
      <c r="D280" s="125">
        <f>Lista!C279</f>
        <v>0</v>
      </c>
      <c r="E280" s="125">
        <f>Lista!D279</f>
        <v>0</v>
      </c>
      <c r="F280" s="125">
        <f>Lista!E279</f>
        <v>0</v>
      </c>
      <c r="G280" s="125">
        <f>Lista!F279</f>
        <v>0</v>
      </c>
      <c r="H280" s="125">
        <f>Lista!G279</f>
        <v>0</v>
      </c>
      <c r="I280" s="125">
        <f>Lista!H279</f>
        <v>0</v>
      </c>
      <c r="J280" s="125">
        <f>Lista!I279</f>
        <v>0</v>
      </c>
      <c r="K280" s="125">
        <f>Lista!J279</f>
        <v>0</v>
      </c>
      <c r="L280" s="125">
        <f>Lista!K279</f>
        <v>0</v>
      </c>
      <c r="M280" s="125">
        <f>Lista!L279</f>
        <v>0</v>
      </c>
      <c r="N280" s="125">
        <f>Lista!M279</f>
        <v>0</v>
      </c>
      <c r="O280" s="125">
        <f>Lista!N279</f>
        <v>0</v>
      </c>
      <c r="P280" s="125">
        <f>Lista!O279</f>
        <v>0</v>
      </c>
      <c r="Q280" s="125">
        <f>Lista!P279</f>
        <v>0</v>
      </c>
      <c r="R280" s="125">
        <f>Lista!Q279</f>
        <v>0</v>
      </c>
      <c r="S280" s="125">
        <f>Lista!R279</f>
        <v>0</v>
      </c>
      <c r="T280" s="81"/>
      <c r="U280" s="81"/>
      <c r="V280" s="81"/>
      <c r="W280" s="81"/>
      <c r="X280" s="81"/>
      <c r="Y280" s="81"/>
      <c r="Z280" s="81"/>
      <c r="AA280" s="81"/>
      <c r="AB280" s="81"/>
      <c r="AC280" s="81"/>
      <c r="AD280" s="81"/>
      <c r="AE280" s="81"/>
      <c r="AF280" s="81"/>
      <c r="AG280" s="81"/>
      <c r="AH280" s="81"/>
      <c r="AI280" s="81"/>
      <c r="AJ280" s="81"/>
      <c r="AK280" s="81"/>
      <c r="AL280" s="81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  <c r="BA280" s="81"/>
      <c r="BB280" s="81"/>
      <c r="BC280" s="81"/>
      <c r="BD280" s="81"/>
      <c r="BE280" s="81"/>
      <c r="BF280" s="81"/>
      <c r="BG280" s="81"/>
      <c r="BH280" s="81"/>
      <c r="BI280" s="81"/>
      <c r="BJ280" s="81"/>
      <c r="BK280" s="81"/>
      <c r="BL280" s="81"/>
      <c r="BM280" s="81"/>
      <c r="BN280" s="81"/>
      <c r="BO280" s="81"/>
      <c r="BP280" s="81"/>
      <c r="BQ280" s="81"/>
      <c r="BR280" s="81"/>
      <c r="BS280" s="81"/>
      <c r="BT280" s="81"/>
      <c r="BU280" s="81"/>
      <c r="BV280" s="81"/>
      <c r="BW280" s="81"/>
      <c r="BX280" s="81"/>
      <c r="BY280" s="81"/>
      <c r="BZ280" s="81"/>
      <c r="CA280" s="81"/>
      <c r="CB280" s="81"/>
      <c r="CC280" s="81"/>
      <c r="CD280" s="81"/>
      <c r="CE280" s="81"/>
      <c r="CF280" s="81"/>
      <c r="CG280" s="81"/>
      <c r="CH280" s="81"/>
      <c r="CI280" s="81"/>
      <c r="CJ280" s="81"/>
      <c r="CK280" s="81"/>
      <c r="CL280" s="81"/>
      <c r="CM280" s="81"/>
      <c r="CN280" s="81"/>
      <c r="CO280" s="81"/>
      <c r="CP280" s="81"/>
      <c r="CQ280" s="81"/>
      <c r="CR280" s="81"/>
      <c r="CS280" s="81"/>
      <c r="CT280" s="81"/>
      <c r="CU280" s="81"/>
      <c r="CV280" s="81"/>
      <c r="CW280" s="81"/>
      <c r="CX280" s="81"/>
      <c r="CY280" s="81"/>
      <c r="CZ280" s="81"/>
      <c r="DA280" s="81"/>
      <c r="DB280" s="81"/>
      <c r="DC280" s="81"/>
      <c r="DD280" s="81"/>
      <c r="DE280" s="81"/>
      <c r="DF280" s="81"/>
      <c r="DG280" s="81"/>
      <c r="DH280" s="81"/>
      <c r="DI280" s="81"/>
      <c r="DJ280" s="81"/>
      <c r="DK280" s="81"/>
      <c r="DL280" s="81"/>
      <c r="DM280" s="81"/>
      <c r="DN280" s="81"/>
      <c r="DO280" s="81"/>
      <c r="DP280" s="81"/>
      <c r="DQ280" s="81"/>
      <c r="DR280" s="81"/>
      <c r="DS280" s="81"/>
      <c r="DT280" s="81"/>
      <c r="DU280" s="81"/>
      <c r="DV280" s="81"/>
      <c r="DW280" s="121"/>
    </row>
    <row r="281" spans="1:127" x14ac:dyDescent="0.25">
      <c r="A281" s="2">
        <f>COUNTIF($D$2:D281,'Reporte de Nomina'!$E$2)</f>
        <v>0</v>
      </c>
      <c r="B281" s="125">
        <f>Lista!A280</f>
        <v>0</v>
      </c>
      <c r="C281" s="125">
        <f>Lista!B280</f>
        <v>0</v>
      </c>
      <c r="D281" s="125">
        <f>Lista!C280</f>
        <v>0</v>
      </c>
      <c r="E281" s="125">
        <f>Lista!D280</f>
        <v>0</v>
      </c>
      <c r="F281" s="125">
        <f>Lista!E280</f>
        <v>0</v>
      </c>
      <c r="G281" s="125">
        <f>Lista!F280</f>
        <v>0</v>
      </c>
      <c r="H281" s="125">
        <f>Lista!G280</f>
        <v>0</v>
      </c>
      <c r="I281" s="125">
        <f>Lista!H280</f>
        <v>0</v>
      </c>
      <c r="J281" s="125">
        <f>Lista!I280</f>
        <v>0</v>
      </c>
      <c r="K281" s="125">
        <f>Lista!J280</f>
        <v>0</v>
      </c>
      <c r="L281" s="125">
        <f>Lista!K280</f>
        <v>0</v>
      </c>
      <c r="M281" s="125">
        <f>Lista!L280</f>
        <v>0</v>
      </c>
      <c r="N281" s="125">
        <f>Lista!M280</f>
        <v>0</v>
      </c>
      <c r="O281" s="125">
        <f>Lista!N280</f>
        <v>0</v>
      </c>
      <c r="P281" s="125">
        <f>Lista!O280</f>
        <v>0</v>
      </c>
      <c r="Q281" s="125">
        <f>Lista!P280</f>
        <v>0</v>
      </c>
      <c r="R281" s="125">
        <f>Lista!Q280</f>
        <v>0</v>
      </c>
      <c r="S281" s="125">
        <f>Lista!R280</f>
        <v>0</v>
      </c>
      <c r="T281" s="81"/>
      <c r="U281" s="81"/>
      <c r="V281" s="81"/>
      <c r="W281" s="81"/>
      <c r="X281" s="81"/>
      <c r="Y281" s="81"/>
      <c r="Z281" s="81"/>
      <c r="AA281" s="81"/>
      <c r="AB281" s="81"/>
      <c r="AC281" s="81"/>
      <c r="AD281" s="81"/>
      <c r="AE281" s="81"/>
      <c r="AF281" s="81"/>
      <c r="AG281" s="81"/>
      <c r="AH281" s="81"/>
      <c r="AI281" s="81"/>
      <c r="AJ281" s="81"/>
      <c r="AK281" s="81"/>
      <c r="AL281" s="81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  <c r="BA281" s="81"/>
      <c r="BB281" s="81"/>
      <c r="BC281" s="81"/>
      <c r="BD281" s="81"/>
      <c r="BE281" s="81"/>
      <c r="BF281" s="81"/>
      <c r="BG281" s="81"/>
      <c r="BH281" s="81"/>
      <c r="BI281" s="81"/>
      <c r="BJ281" s="81"/>
      <c r="BK281" s="81"/>
      <c r="BL281" s="81"/>
      <c r="BM281" s="81"/>
      <c r="BN281" s="81"/>
      <c r="BO281" s="81"/>
      <c r="BP281" s="81"/>
      <c r="BQ281" s="81"/>
      <c r="BR281" s="81"/>
      <c r="BS281" s="81"/>
      <c r="BT281" s="81"/>
      <c r="BU281" s="81"/>
      <c r="BV281" s="81"/>
      <c r="BW281" s="81"/>
      <c r="BX281" s="81"/>
      <c r="BY281" s="81"/>
      <c r="BZ281" s="81"/>
      <c r="CA281" s="81"/>
      <c r="CB281" s="81"/>
      <c r="CC281" s="81"/>
      <c r="CD281" s="81"/>
      <c r="CE281" s="81"/>
      <c r="CF281" s="81"/>
      <c r="CG281" s="81"/>
      <c r="CH281" s="81"/>
      <c r="CI281" s="81"/>
      <c r="CJ281" s="81"/>
      <c r="CK281" s="81"/>
      <c r="CL281" s="81"/>
      <c r="CM281" s="81"/>
      <c r="CN281" s="81"/>
      <c r="CO281" s="81"/>
      <c r="CP281" s="81"/>
      <c r="CQ281" s="81"/>
      <c r="CR281" s="81"/>
      <c r="CS281" s="81"/>
      <c r="CT281" s="81"/>
      <c r="CU281" s="81"/>
      <c r="CV281" s="81"/>
      <c r="CW281" s="81"/>
      <c r="CX281" s="81"/>
      <c r="CY281" s="81"/>
      <c r="CZ281" s="81"/>
      <c r="DA281" s="81"/>
      <c r="DB281" s="81"/>
      <c r="DC281" s="81"/>
      <c r="DD281" s="81"/>
      <c r="DE281" s="81"/>
      <c r="DF281" s="81"/>
      <c r="DG281" s="81"/>
      <c r="DH281" s="81"/>
      <c r="DI281" s="81"/>
      <c r="DJ281" s="81"/>
      <c r="DK281" s="81"/>
      <c r="DL281" s="81"/>
      <c r="DM281" s="81"/>
      <c r="DN281" s="81"/>
      <c r="DO281" s="81"/>
      <c r="DP281" s="81"/>
      <c r="DQ281" s="81"/>
      <c r="DR281" s="81"/>
      <c r="DS281" s="81"/>
      <c r="DT281" s="81"/>
      <c r="DU281" s="81"/>
      <c r="DV281" s="81"/>
      <c r="DW281" s="121"/>
    </row>
    <row r="282" spans="1:127" x14ac:dyDescent="0.25">
      <c r="A282" s="2">
        <f>COUNTIF($D$2:D282,'Reporte de Nomina'!$E$2)</f>
        <v>0</v>
      </c>
      <c r="B282" s="125">
        <f>Lista!A281</f>
        <v>0</v>
      </c>
      <c r="C282" s="125">
        <f>Lista!B281</f>
        <v>0</v>
      </c>
      <c r="D282" s="125">
        <f>Lista!C281</f>
        <v>0</v>
      </c>
      <c r="E282" s="125">
        <f>Lista!D281</f>
        <v>0</v>
      </c>
      <c r="F282" s="125">
        <f>Lista!E281</f>
        <v>0</v>
      </c>
      <c r="G282" s="125">
        <f>Lista!F281</f>
        <v>0</v>
      </c>
      <c r="H282" s="125">
        <f>Lista!G281</f>
        <v>0</v>
      </c>
      <c r="I282" s="125">
        <f>Lista!H281</f>
        <v>0</v>
      </c>
      <c r="J282" s="125">
        <f>Lista!I281</f>
        <v>0</v>
      </c>
      <c r="K282" s="125">
        <f>Lista!J281</f>
        <v>0</v>
      </c>
      <c r="L282" s="125">
        <f>Lista!K281</f>
        <v>0</v>
      </c>
      <c r="M282" s="125">
        <f>Lista!L281</f>
        <v>0</v>
      </c>
      <c r="N282" s="125">
        <f>Lista!M281</f>
        <v>0</v>
      </c>
      <c r="O282" s="125">
        <f>Lista!N281</f>
        <v>0</v>
      </c>
      <c r="P282" s="125">
        <f>Lista!O281</f>
        <v>0</v>
      </c>
      <c r="Q282" s="125">
        <f>Lista!P281</f>
        <v>0</v>
      </c>
      <c r="R282" s="125">
        <f>Lista!Q281</f>
        <v>0</v>
      </c>
      <c r="S282" s="125">
        <f>Lista!R281</f>
        <v>0</v>
      </c>
      <c r="T282" s="81"/>
      <c r="U282" s="81"/>
      <c r="V282" s="81"/>
      <c r="W282" s="81"/>
      <c r="X282" s="81"/>
      <c r="Y282" s="81"/>
      <c r="Z282" s="81"/>
      <c r="AA282" s="81"/>
      <c r="AB282" s="81"/>
      <c r="AC282" s="81"/>
      <c r="AD282" s="81"/>
      <c r="AE282" s="81"/>
      <c r="AF282" s="81"/>
      <c r="AG282" s="81"/>
      <c r="AH282" s="81"/>
      <c r="AI282" s="81"/>
      <c r="AJ282" s="81"/>
      <c r="AK282" s="81"/>
      <c r="AL282" s="81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  <c r="BA282" s="81"/>
      <c r="BB282" s="81"/>
      <c r="BC282" s="81"/>
      <c r="BD282" s="81"/>
      <c r="BE282" s="81"/>
      <c r="BF282" s="81"/>
      <c r="BG282" s="81"/>
      <c r="BH282" s="81"/>
      <c r="BI282" s="81"/>
      <c r="BJ282" s="81"/>
      <c r="BK282" s="81"/>
      <c r="BL282" s="81"/>
      <c r="BM282" s="81"/>
      <c r="BN282" s="81"/>
      <c r="BO282" s="81"/>
      <c r="BP282" s="81"/>
      <c r="BQ282" s="81"/>
      <c r="BR282" s="81"/>
      <c r="BS282" s="81"/>
      <c r="BT282" s="81"/>
      <c r="BU282" s="81"/>
      <c r="BV282" s="81"/>
      <c r="BW282" s="81"/>
      <c r="BX282" s="81"/>
      <c r="BY282" s="81"/>
      <c r="BZ282" s="81"/>
      <c r="CA282" s="81"/>
      <c r="CB282" s="81"/>
      <c r="CC282" s="81"/>
      <c r="CD282" s="81"/>
      <c r="CE282" s="81"/>
      <c r="CF282" s="81"/>
      <c r="CG282" s="81"/>
      <c r="CH282" s="81"/>
      <c r="CI282" s="81"/>
      <c r="CJ282" s="81"/>
      <c r="CK282" s="81"/>
      <c r="CL282" s="81"/>
      <c r="CM282" s="81"/>
      <c r="CN282" s="81"/>
      <c r="CO282" s="81"/>
      <c r="CP282" s="81"/>
      <c r="CQ282" s="81"/>
      <c r="CR282" s="81"/>
      <c r="CS282" s="81"/>
      <c r="CT282" s="81"/>
      <c r="CU282" s="81"/>
      <c r="CV282" s="81"/>
      <c r="CW282" s="81"/>
      <c r="CX282" s="81"/>
      <c r="CY282" s="81"/>
      <c r="CZ282" s="81"/>
      <c r="DA282" s="81"/>
      <c r="DB282" s="81"/>
      <c r="DC282" s="81"/>
      <c r="DD282" s="81"/>
      <c r="DE282" s="81"/>
      <c r="DF282" s="81"/>
      <c r="DG282" s="81"/>
      <c r="DH282" s="81"/>
      <c r="DI282" s="81"/>
      <c r="DJ282" s="81"/>
      <c r="DK282" s="81"/>
      <c r="DL282" s="81"/>
      <c r="DM282" s="81"/>
      <c r="DN282" s="81"/>
      <c r="DO282" s="81"/>
      <c r="DP282" s="81"/>
      <c r="DQ282" s="81"/>
      <c r="DR282" s="81"/>
      <c r="DS282" s="81"/>
      <c r="DT282" s="81"/>
      <c r="DU282" s="81"/>
      <c r="DV282" s="81"/>
      <c r="DW282" s="121"/>
    </row>
    <row r="283" spans="1:127" x14ac:dyDescent="0.25">
      <c r="A283" s="2">
        <f>COUNTIF($D$2:D283,'Reporte de Nomina'!$E$2)</f>
        <v>0</v>
      </c>
      <c r="B283" s="125">
        <f>Lista!A282</f>
        <v>0</v>
      </c>
      <c r="C283" s="125">
        <f>Lista!B282</f>
        <v>0</v>
      </c>
      <c r="D283" s="125">
        <f>Lista!C282</f>
        <v>0</v>
      </c>
      <c r="E283" s="125">
        <f>Lista!D282</f>
        <v>0</v>
      </c>
      <c r="F283" s="125">
        <f>Lista!E282</f>
        <v>0</v>
      </c>
      <c r="G283" s="125">
        <f>Lista!F282</f>
        <v>0</v>
      </c>
      <c r="H283" s="125">
        <f>Lista!G282</f>
        <v>0</v>
      </c>
      <c r="I283" s="125">
        <f>Lista!H282</f>
        <v>0</v>
      </c>
      <c r="J283" s="125">
        <f>Lista!I282</f>
        <v>0</v>
      </c>
      <c r="K283" s="125">
        <f>Lista!J282</f>
        <v>0</v>
      </c>
      <c r="L283" s="125">
        <f>Lista!K282</f>
        <v>0</v>
      </c>
      <c r="M283" s="125">
        <f>Lista!L282</f>
        <v>0</v>
      </c>
      <c r="N283" s="125">
        <f>Lista!M282</f>
        <v>0</v>
      </c>
      <c r="O283" s="125">
        <f>Lista!N282</f>
        <v>0</v>
      </c>
      <c r="P283" s="125">
        <f>Lista!O282</f>
        <v>0</v>
      </c>
      <c r="Q283" s="125">
        <f>Lista!P282</f>
        <v>0</v>
      </c>
      <c r="R283" s="125">
        <f>Lista!Q282</f>
        <v>0</v>
      </c>
      <c r="S283" s="125">
        <f>Lista!R282</f>
        <v>0</v>
      </c>
      <c r="T283" s="81"/>
      <c r="U283" s="81"/>
      <c r="V283" s="81"/>
      <c r="W283" s="81"/>
      <c r="X283" s="81"/>
      <c r="Y283" s="81"/>
      <c r="Z283" s="81"/>
      <c r="AA283" s="81"/>
      <c r="AB283" s="81"/>
      <c r="AC283" s="81"/>
      <c r="AD283" s="81"/>
      <c r="AE283" s="81"/>
      <c r="AF283" s="81"/>
      <c r="AG283" s="81"/>
      <c r="AH283" s="81"/>
      <c r="AI283" s="81"/>
      <c r="AJ283" s="81"/>
      <c r="AK283" s="81"/>
      <c r="AL283" s="81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  <c r="BA283" s="81"/>
      <c r="BB283" s="81"/>
      <c r="BC283" s="81"/>
      <c r="BD283" s="81"/>
      <c r="BE283" s="81"/>
      <c r="BF283" s="81"/>
      <c r="BG283" s="81"/>
      <c r="BH283" s="81"/>
      <c r="BI283" s="81"/>
      <c r="BJ283" s="81"/>
      <c r="BK283" s="81"/>
      <c r="BL283" s="81"/>
      <c r="BM283" s="81"/>
      <c r="BN283" s="81"/>
      <c r="BO283" s="81"/>
      <c r="BP283" s="81"/>
      <c r="BQ283" s="81"/>
      <c r="BR283" s="81"/>
      <c r="BS283" s="81"/>
      <c r="BT283" s="81"/>
      <c r="BU283" s="81"/>
      <c r="BV283" s="81"/>
      <c r="BW283" s="81"/>
      <c r="BX283" s="81"/>
      <c r="BY283" s="81"/>
      <c r="BZ283" s="81"/>
      <c r="CA283" s="81"/>
      <c r="CB283" s="81"/>
      <c r="CC283" s="81"/>
      <c r="CD283" s="81"/>
      <c r="CE283" s="81"/>
      <c r="CF283" s="81"/>
      <c r="CG283" s="81"/>
      <c r="CH283" s="81"/>
      <c r="CI283" s="81"/>
      <c r="CJ283" s="81"/>
      <c r="CK283" s="81"/>
      <c r="CL283" s="81"/>
      <c r="CM283" s="81"/>
      <c r="CN283" s="81"/>
      <c r="CO283" s="81"/>
      <c r="CP283" s="81"/>
      <c r="CQ283" s="81"/>
      <c r="CR283" s="81"/>
      <c r="CS283" s="81"/>
      <c r="CT283" s="81"/>
      <c r="CU283" s="81"/>
      <c r="CV283" s="81"/>
      <c r="CW283" s="81"/>
      <c r="CX283" s="81"/>
      <c r="CY283" s="81"/>
      <c r="CZ283" s="81"/>
      <c r="DA283" s="81"/>
      <c r="DB283" s="81"/>
      <c r="DC283" s="81"/>
      <c r="DD283" s="81"/>
      <c r="DE283" s="81"/>
      <c r="DF283" s="81"/>
      <c r="DG283" s="81"/>
      <c r="DH283" s="81"/>
      <c r="DI283" s="81"/>
      <c r="DJ283" s="81"/>
      <c r="DK283" s="81"/>
      <c r="DL283" s="81"/>
      <c r="DM283" s="81"/>
      <c r="DN283" s="81"/>
      <c r="DO283" s="81"/>
      <c r="DP283" s="81"/>
      <c r="DQ283" s="81"/>
      <c r="DR283" s="81"/>
      <c r="DS283" s="81"/>
      <c r="DT283" s="81"/>
      <c r="DU283" s="81"/>
      <c r="DV283" s="81"/>
      <c r="DW283" s="121"/>
    </row>
    <row r="284" spans="1:127" x14ac:dyDescent="0.25">
      <c r="A284" s="2">
        <f>COUNTIF($D$2:D284,'Reporte de Nomina'!$E$2)</f>
        <v>0</v>
      </c>
      <c r="B284" s="125">
        <f>Lista!A283</f>
        <v>0</v>
      </c>
      <c r="C284" s="125">
        <f>Lista!B283</f>
        <v>0</v>
      </c>
      <c r="D284" s="125">
        <f>Lista!C283</f>
        <v>0</v>
      </c>
      <c r="E284" s="125">
        <f>Lista!D283</f>
        <v>0</v>
      </c>
      <c r="F284" s="125">
        <f>Lista!E283</f>
        <v>0</v>
      </c>
      <c r="G284" s="125">
        <f>Lista!F283</f>
        <v>0</v>
      </c>
      <c r="H284" s="125">
        <f>Lista!G283</f>
        <v>0</v>
      </c>
      <c r="I284" s="125">
        <f>Lista!H283</f>
        <v>0</v>
      </c>
      <c r="J284" s="125">
        <f>Lista!I283</f>
        <v>0</v>
      </c>
      <c r="K284" s="125">
        <f>Lista!J283</f>
        <v>0</v>
      </c>
      <c r="L284" s="125">
        <f>Lista!K283</f>
        <v>0</v>
      </c>
      <c r="M284" s="125">
        <f>Lista!L283</f>
        <v>0</v>
      </c>
      <c r="N284" s="125">
        <f>Lista!M283</f>
        <v>0</v>
      </c>
      <c r="O284" s="125">
        <f>Lista!N283</f>
        <v>0</v>
      </c>
      <c r="P284" s="125">
        <f>Lista!O283</f>
        <v>0</v>
      </c>
      <c r="Q284" s="125">
        <f>Lista!P283</f>
        <v>0</v>
      </c>
      <c r="R284" s="125">
        <f>Lista!Q283</f>
        <v>0</v>
      </c>
      <c r="S284" s="125">
        <f>Lista!R283</f>
        <v>0</v>
      </c>
      <c r="T284" s="81"/>
      <c r="U284" s="81"/>
      <c r="V284" s="81"/>
      <c r="W284" s="81"/>
      <c r="X284" s="81"/>
      <c r="Y284" s="81"/>
      <c r="Z284" s="81"/>
      <c r="AA284" s="81"/>
      <c r="AB284" s="81"/>
      <c r="AC284" s="81"/>
      <c r="AD284" s="81"/>
      <c r="AE284" s="81"/>
      <c r="AF284" s="81"/>
      <c r="AG284" s="81"/>
      <c r="AH284" s="81"/>
      <c r="AI284" s="81"/>
      <c r="AJ284" s="81"/>
      <c r="AK284" s="81"/>
      <c r="AL284" s="81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  <c r="BA284" s="81"/>
      <c r="BB284" s="81"/>
      <c r="BC284" s="81"/>
      <c r="BD284" s="81"/>
      <c r="BE284" s="81"/>
      <c r="BF284" s="81"/>
      <c r="BG284" s="81"/>
      <c r="BH284" s="81"/>
      <c r="BI284" s="81"/>
      <c r="BJ284" s="81"/>
      <c r="BK284" s="81"/>
      <c r="BL284" s="81"/>
      <c r="BM284" s="81"/>
      <c r="BN284" s="81"/>
      <c r="BO284" s="81"/>
      <c r="BP284" s="81"/>
      <c r="BQ284" s="81"/>
      <c r="BR284" s="81"/>
      <c r="BS284" s="81"/>
      <c r="BT284" s="81"/>
      <c r="BU284" s="81"/>
      <c r="BV284" s="81"/>
      <c r="BW284" s="81"/>
      <c r="BX284" s="81"/>
      <c r="BY284" s="81"/>
      <c r="BZ284" s="81"/>
      <c r="CA284" s="81"/>
      <c r="CB284" s="81"/>
      <c r="CC284" s="81"/>
      <c r="CD284" s="81"/>
      <c r="CE284" s="81"/>
      <c r="CF284" s="81"/>
      <c r="CG284" s="81"/>
      <c r="CH284" s="81"/>
      <c r="CI284" s="81"/>
      <c r="CJ284" s="81"/>
      <c r="CK284" s="81"/>
      <c r="CL284" s="81"/>
      <c r="CM284" s="81"/>
      <c r="CN284" s="81"/>
      <c r="CO284" s="81"/>
      <c r="CP284" s="81"/>
      <c r="CQ284" s="81"/>
      <c r="CR284" s="81"/>
      <c r="CS284" s="81"/>
      <c r="CT284" s="81"/>
      <c r="CU284" s="81"/>
      <c r="CV284" s="81"/>
      <c r="CW284" s="81"/>
      <c r="CX284" s="81"/>
      <c r="CY284" s="81"/>
      <c r="CZ284" s="81"/>
      <c r="DA284" s="81"/>
      <c r="DB284" s="81"/>
      <c r="DC284" s="81"/>
      <c r="DD284" s="81"/>
      <c r="DE284" s="81"/>
      <c r="DF284" s="81"/>
      <c r="DG284" s="81"/>
      <c r="DH284" s="81"/>
      <c r="DI284" s="81"/>
      <c r="DJ284" s="81"/>
      <c r="DK284" s="81"/>
      <c r="DL284" s="81"/>
      <c r="DM284" s="81"/>
      <c r="DN284" s="81"/>
      <c r="DO284" s="81"/>
      <c r="DP284" s="81"/>
      <c r="DQ284" s="81"/>
      <c r="DR284" s="81"/>
      <c r="DS284" s="81"/>
      <c r="DT284" s="81"/>
      <c r="DU284" s="81"/>
      <c r="DV284" s="81"/>
      <c r="DW284" s="121"/>
    </row>
    <row r="285" spans="1:127" x14ac:dyDescent="0.25">
      <c r="A285" s="2">
        <f>COUNTIF($D$2:D285,'Reporte de Nomina'!$E$2)</f>
        <v>0</v>
      </c>
      <c r="B285" s="125">
        <f>Lista!A284</f>
        <v>0</v>
      </c>
      <c r="C285" s="125">
        <f>Lista!B284</f>
        <v>0</v>
      </c>
      <c r="D285" s="125">
        <f>Lista!C284</f>
        <v>0</v>
      </c>
      <c r="E285" s="125">
        <f>Lista!D284</f>
        <v>0</v>
      </c>
      <c r="F285" s="125">
        <f>Lista!E284</f>
        <v>0</v>
      </c>
      <c r="G285" s="125">
        <f>Lista!F284</f>
        <v>0</v>
      </c>
      <c r="H285" s="125">
        <f>Lista!G284</f>
        <v>0</v>
      </c>
      <c r="I285" s="125">
        <f>Lista!H284</f>
        <v>0</v>
      </c>
      <c r="J285" s="125">
        <f>Lista!I284</f>
        <v>0</v>
      </c>
      <c r="K285" s="125">
        <f>Lista!J284</f>
        <v>0</v>
      </c>
      <c r="L285" s="125">
        <f>Lista!K284</f>
        <v>0</v>
      </c>
      <c r="M285" s="125">
        <f>Lista!L284</f>
        <v>0</v>
      </c>
      <c r="N285" s="125">
        <f>Lista!M284</f>
        <v>0</v>
      </c>
      <c r="O285" s="125">
        <f>Lista!N284</f>
        <v>0</v>
      </c>
      <c r="P285" s="125">
        <f>Lista!O284</f>
        <v>0</v>
      </c>
      <c r="Q285" s="125">
        <f>Lista!P284</f>
        <v>0</v>
      </c>
      <c r="R285" s="125">
        <f>Lista!Q284</f>
        <v>0</v>
      </c>
      <c r="S285" s="125">
        <f>Lista!R284</f>
        <v>0</v>
      </c>
      <c r="T285" s="81"/>
      <c r="U285" s="81"/>
      <c r="V285" s="81"/>
      <c r="W285" s="81"/>
      <c r="X285" s="81"/>
      <c r="Y285" s="81"/>
      <c r="Z285" s="81"/>
      <c r="AA285" s="81"/>
      <c r="AB285" s="81"/>
      <c r="AC285" s="81"/>
      <c r="AD285" s="81"/>
      <c r="AE285" s="81"/>
      <c r="AF285" s="81"/>
      <c r="AG285" s="81"/>
      <c r="AH285" s="81"/>
      <c r="AI285" s="81"/>
      <c r="AJ285" s="81"/>
      <c r="AK285" s="81"/>
      <c r="AL285" s="81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  <c r="BA285" s="81"/>
      <c r="BB285" s="81"/>
      <c r="BC285" s="81"/>
      <c r="BD285" s="81"/>
      <c r="BE285" s="81"/>
      <c r="BF285" s="81"/>
      <c r="BG285" s="81"/>
      <c r="BH285" s="81"/>
      <c r="BI285" s="81"/>
      <c r="BJ285" s="81"/>
      <c r="BK285" s="81"/>
      <c r="BL285" s="81"/>
      <c r="BM285" s="81"/>
      <c r="BN285" s="81"/>
      <c r="BO285" s="81"/>
      <c r="BP285" s="81"/>
      <c r="BQ285" s="81"/>
      <c r="BR285" s="81"/>
      <c r="BS285" s="81"/>
      <c r="BT285" s="81"/>
      <c r="BU285" s="81"/>
      <c r="BV285" s="81"/>
      <c r="BW285" s="81"/>
      <c r="BX285" s="81"/>
      <c r="BY285" s="81"/>
      <c r="BZ285" s="81"/>
      <c r="CA285" s="81"/>
      <c r="CB285" s="81"/>
      <c r="CC285" s="81"/>
      <c r="CD285" s="81"/>
      <c r="CE285" s="81"/>
      <c r="CF285" s="81"/>
      <c r="CG285" s="81"/>
      <c r="CH285" s="81"/>
      <c r="CI285" s="81"/>
      <c r="CJ285" s="81"/>
      <c r="CK285" s="81"/>
      <c r="CL285" s="81"/>
      <c r="CM285" s="81"/>
      <c r="CN285" s="81"/>
      <c r="CO285" s="81"/>
      <c r="CP285" s="81"/>
      <c r="CQ285" s="81"/>
      <c r="CR285" s="81"/>
      <c r="CS285" s="81"/>
      <c r="CT285" s="81"/>
      <c r="CU285" s="81"/>
      <c r="CV285" s="81"/>
      <c r="CW285" s="81"/>
      <c r="CX285" s="81"/>
      <c r="CY285" s="81"/>
      <c r="CZ285" s="81"/>
      <c r="DA285" s="81"/>
      <c r="DB285" s="81"/>
      <c r="DC285" s="81"/>
      <c r="DD285" s="81"/>
      <c r="DE285" s="81"/>
      <c r="DF285" s="81"/>
      <c r="DG285" s="81"/>
      <c r="DH285" s="81"/>
      <c r="DI285" s="81"/>
      <c r="DJ285" s="81"/>
      <c r="DK285" s="81"/>
      <c r="DL285" s="81"/>
      <c r="DM285" s="81"/>
      <c r="DN285" s="81"/>
      <c r="DO285" s="81"/>
      <c r="DP285" s="81"/>
      <c r="DQ285" s="81"/>
      <c r="DR285" s="81"/>
      <c r="DS285" s="81"/>
      <c r="DT285" s="81"/>
      <c r="DU285" s="81"/>
      <c r="DV285" s="81"/>
      <c r="DW285" s="121"/>
    </row>
    <row r="286" spans="1:127" x14ac:dyDescent="0.25">
      <c r="A286" s="2">
        <f>COUNTIF($D$2:D286,'Reporte de Nomina'!$E$2)</f>
        <v>0</v>
      </c>
      <c r="B286" s="125">
        <f>Lista!A285</f>
        <v>0</v>
      </c>
      <c r="C286" s="125">
        <f>Lista!B285</f>
        <v>0</v>
      </c>
      <c r="D286" s="125">
        <f>Lista!C285</f>
        <v>0</v>
      </c>
      <c r="E286" s="125">
        <f>Lista!D285</f>
        <v>0</v>
      </c>
      <c r="F286" s="125">
        <f>Lista!E285</f>
        <v>0</v>
      </c>
      <c r="G286" s="125">
        <f>Lista!F285</f>
        <v>0</v>
      </c>
      <c r="H286" s="125">
        <f>Lista!G285</f>
        <v>0</v>
      </c>
      <c r="I286" s="125">
        <f>Lista!H285</f>
        <v>0</v>
      </c>
      <c r="J286" s="125">
        <f>Lista!I285</f>
        <v>0</v>
      </c>
      <c r="K286" s="125">
        <f>Lista!J285</f>
        <v>0</v>
      </c>
      <c r="L286" s="125">
        <f>Lista!K285</f>
        <v>0</v>
      </c>
      <c r="M286" s="125">
        <f>Lista!L285</f>
        <v>0</v>
      </c>
      <c r="N286" s="125">
        <f>Lista!M285</f>
        <v>0</v>
      </c>
      <c r="O286" s="125">
        <f>Lista!N285</f>
        <v>0</v>
      </c>
      <c r="P286" s="125">
        <f>Lista!O285</f>
        <v>0</v>
      </c>
      <c r="Q286" s="125">
        <f>Lista!P285</f>
        <v>0</v>
      </c>
      <c r="R286" s="125">
        <f>Lista!Q285</f>
        <v>0</v>
      </c>
      <c r="S286" s="125">
        <f>Lista!R285</f>
        <v>0</v>
      </c>
      <c r="T286" s="81"/>
      <c r="U286" s="81"/>
      <c r="V286" s="81"/>
      <c r="W286" s="81"/>
      <c r="X286" s="81"/>
      <c r="Y286" s="81"/>
      <c r="Z286" s="81"/>
      <c r="AA286" s="81"/>
      <c r="AB286" s="81"/>
      <c r="AC286" s="81"/>
      <c r="AD286" s="81"/>
      <c r="AE286" s="81"/>
      <c r="AF286" s="81"/>
      <c r="AG286" s="81"/>
      <c r="AH286" s="81"/>
      <c r="AI286" s="81"/>
      <c r="AJ286" s="81"/>
      <c r="AK286" s="81"/>
      <c r="AL286" s="81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  <c r="BA286" s="81"/>
      <c r="BB286" s="81"/>
      <c r="BC286" s="81"/>
      <c r="BD286" s="81"/>
      <c r="BE286" s="81"/>
      <c r="BF286" s="81"/>
      <c r="BG286" s="81"/>
      <c r="BH286" s="81"/>
      <c r="BI286" s="81"/>
      <c r="BJ286" s="81"/>
      <c r="BK286" s="81"/>
      <c r="BL286" s="81"/>
      <c r="BM286" s="81"/>
      <c r="BN286" s="81"/>
      <c r="BO286" s="81"/>
      <c r="BP286" s="81"/>
      <c r="BQ286" s="81"/>
      <c r="BR286" s="81"/>
      <c r="BS286" s="81"/>
      <c r="BT286" s="81"/>
      <c r="BU286" s="81"/>
      <c r="BV286" s="81"/>
      <c r="BW286" s="81"/>
      <c r="BX286" s="81"/>
      <c r="BY286" s="81"/>
      <c r="BZ286" s="81"/>
      <c r="CA286" s="81"/>
      <c r="CB286" s="81"/>
      <c r="CC286" s="81"/>
      <c r="CD286" s="81"/>
      <c r="CE286" s="81"/>
      <c r="CF286" s="81"/>
      <c r="CG286" s="81"/>
      <c r="CH286" s="81"/>
      <c r="CI286" s="81"/>
      <c r="CJ286" s="81"/>
      <c r="CK286" s="81"/>
      <c r="CL286" s="81"/>
      <c r="CM286" s="81"/>
      <c r="CN286" s="81"/>
      <c r="CO286" s="81"/>
      <c r="CP286" s="81"/>
      <c r="CQ286" s="81"/>
      <c r="CR286" s="81"/>
      <c r="CS286" s="81"/>
      <c r="CT286" s="81"/>
      <c r="CU286" s="81"/>
      <c r="CV286" s="81"/>
      <c r="CW286" s="81"/>
      <c r="CX286" s="81"/>
      <c r="CY286" s="81"/>
      <c r="CZ286" s="81"/>
      <c r="DA286" s="81"/>
      <c r="DB286" s="81"/>
      <c r="DC286" s="81"/>
      <c r="DD286" s="81"/>
      <c r="DE286" s="81"/>
      <c r="DF286" s="81"/>
      <c r="DG286" s="81"/>
      <c r="DH286" s="81"/>
      <c r="DI286" s="81"/>
      <c r="DJ286" s="81"/>
      <c r="DK286" s="81"/>
      <c r="DL286" s="81"/>
      <c r="DM286" s="81"/>
      <c r="DN286" s="81"/>
      <c r="DO286" s="81"/>
      <c r="DP286" s="81"/>
      <c r="DQ286" s="81"/>
      <c r="DR286" s="81"/>
      <c r="DS286" s="81"/>
      <c r="DT286" s="81"/>
      <c r="DU286" s="81"/>
      <c r="DV286" s="81"/>
      <c r="DW286" s="121"/>
    </row>
    <row r="287" spans="1:127" x14ac:dyDescent="0.25">
      <c r="A287" s="2">
        <f>COUNTIF($D$2:D287,'Reporte de Nomina'!$E$2)</f>
        <v>0</v>
      </c>
      <c r="B287" s="125">
        <f>Lista!A286</f>
        <v>0</v>
      </c>
      <c r="C287" s="125">
        <f>Lista!B286</f>
        <v>0</v>
      </c>
      <c r="D287" s="125">
        <f>Lista!C286</f>
        <v>0</v>
      </c>
      <c r="E287" s="125">
        <f>Lista!D286</f>
        <v>0</v>
      </c>
      <c r="F287" s="125">
        <f>Lista!E286</f>
        <v>0</v>
      </c>
      <c r="G287" s="125">
        <f>Lista!F286</f>
        <v>0</v>
      </c>
      <c r="H287" s="125">
        <f>Lista!G286</f>
        <v>0</v>
      </c>
      <c r="I287" s="125">
        <f>Lista!H286</f>
        <v>0</v>
      </c>
      <c r="J287" s="125">
        <f>Lista!I286</f>
        <v>0</v>
      </c>
      <c r="K287" s="125">
        <f>Lista!J286</f>
        <v>0</v>
      </c>
      <c r="L287" s="125">
        <f>Lista!K286</f>
        <v>0</v>
      </c>
      <c r="M287" s="125">
        <f>Lista!L286</f>
        <v>0</v>
      </c>
      <c r="N287" s="125">
        <f>Lista!M286</f>
        <v>0</v>
      </c>
      <c r="O287" s="125">
        <f>Lista!N286</f>
        <v>0</v>
      </c>
      <c r="P287" s="125">
        <f>Lista!O286</f>
        <v>0</v>
      </c>
      <c r="Q287" s="125">
        <f>Lista!P286</f>
        <v>0</v>
      </c>
      <c r="R287" s="125">
        <f>Lista!Q286</f>
        <v>0</v>
      </c>
      <c r="S287" s="125">
        <f>Lista!R286</f>
        <v>0</v>
      </c>
      <c r="T287" s="81"/>
      <c r="U287" s="81"/>
      <c r="V287" s="81"/>
      <c r="W287" s="81"/>
      <c r="X287" s="81"/>
      <c r="Y287" s="81"/>
      <c r="Z287" s="81"/>
      <c r="AA287" s="81"/>
      <c r="AB287" s="81"/>
      <c r="AC287" s="81"/>
      <c r="AD287" s="81"/>
      <c r="AE287" s="81"/>
      <c r="AF287" s="81"/>
      <c r="AG287" s="81"/>
      <c r="AH287" s="81"/>
      <c r="AI287" s="81"/>
      <c r="AJ287" s="81"/>
      <c r="AK287" s="81"/>
      <c r="AL287" s="81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  <c r="BA287" s="81"/>
      <c r="BB287" s="81"/>
      <c r="BC287" s="81"/>
      <c r="BD287" s="81"/>
      <c r="BE287" s="81"/>
      <c r="BF287" s="81"/>
      <c r="BG287" s="81"/>
      <c r="BH287" s="81"/>
      <c r="BI287" s="81"/>
      <c r="BJ287" s="81"/>
      <c r="BK287" s="81"/>
      <c r="BL287" s="81"/>
      <c r="BM287" s="81"/>
      <c r="BN287" s="81"/>
      <c r="BO287" s="81"/>
      <c r="BP287" s="81"/>
      <c r="BQ287" s="81"/>
      <c r="BR287" s="81"/>
      <c r="BS287" s="81"/>
      <c r="BT287" s="81"/>
      <c r="BU287" s="81"/>
      <c r="BV287" s="81"/>
      <c r="BW287" s="81"/>
      <c r="BX287" s="81"/>
      <c r="BY287" s="81"/>
      <c r="BZ287" s="81"/>
      <c r="CA287" s="81"/>
      <c r="CB287" s="81"/>
      <c r="CC287" s="81"/>
      <c r="CD287" s="81"/>
      <c r="CE287" s="81"/>
      <c r="CF287" s="81"/>
      <c r="CG287" s="81"/>
      <c r="CH287" s="81"/>
      <c r="CI287" s="81"/>
      <c r="CJ287" s="81"/>
      <c r="CK287" s="81"/>
      <c r="CL287" s="81"/>
      <c r="CM287" s="81"/>
      <c r="CN287" s="81"/>
      <c r="CO287" s="81"/>
      <c r="CP287" s="81"/>
      <c r="CQ287" s="81"/>
      <c r="CR287" s="81"/>
      <c r="CS287" s="81"/>
      <c r="CT287" s="81"/>
      <c r="CU287" s="81"/>
      <c r="CV287" s="81"/>
      <c r="CW287" s="81"/>
      <c r="CX287" s="81"/>
      <c r="CY287" s="81"/>
      <c r="CZ287" s="81"/>
      <c r="DA287" s="81"/>
      <c r="DB287" s="81"/>
      <c r="DC287" s="81"/>
      <c r="DD287" s="81"/>
      <c r="DE287" s="81"/>
      <c r="DF287" s="81"/>
      <c r="DG287" s="81"/>
      <c r="DH287" s="81"/>
      <c r="DI287" s="81"/>
      <c r="DJ287" s="81"/>
      <c r="DK287" s="81"/>
      <c r="DL287" s="81"/>
      <c r="DM287" s="81"/>
      <c r="DN287" s="81"/>
      <c r="DO287" s="81"/>
      <c r="DP287" s="81"/>
      <c r="DQ287" s="81"/>
      <c r="DR287" s="81"/>
      <c r="DS287" s="81"/>
      <c r="DT287" s="81"/>
      <c r="DU287" s="81"/>
      <c r="DV287" s="81"/>
      <c r="DW287" s="121"/>
    </row>
    <row r="288" spans="1:127" x14ac:dyDescent="0.25">
      <c r="A288" s="2">
        <f>COUNTIF($D$2:D288,'Reporte de Nomina'!$E$2)</f>
        <v>0</v>
      </c>
      <c r="B288" s="125">
        <f>Lista!A287</f>
        <v>0</v>
      </c>
      <c r="C288" s="125">
        <f>Lista!B287</f>
        <v>0</v>
      </c>
      <c r="D288" s="125">
        <f>Lista!C287</f>
        <v>0</v>
      </c>
      <c r="E288" s="125">
        <f>Lista!D287</f>
        <v>0</v>
      </c>
      <c r="F288" s="125">
        <f>Lista!E287</f>
        <v>0</v>
      </c>
      <c r="G288" s="125">
        <f>Lista!F287</f>
        <v>0</v>
      </c>
      <c r="H288" s="125">
        <f>Lista!G287</f>
        <v>0</v>
      </c>
      <c r="I288" s="125">
        <f>Lista!H287</f>
        <v>0</v>
      </c>
      <c r="J288" s="125">
        <f>Lista!I287</f>
        <v>0</v>
      </c>
      <c r="K288" s="125">
        <f>Lista!J287</f>
        <v>0</v>
      </c>
      <c r="L288" s="125">
        <f>Lista!K287</f>
        <v>0</v>
      </c>
      <c r="M288" s="125">
        <f>Lista!L287</f>
        <v>0</v>
      </c>
      <c r="N288" s="125">
        <f>Lista!M287</f>
        <v>0</v>
      </c>
      <c r="O288" s="125">
        <f>Lista!N287</f>
        <v>0</v>
      </c>
      <c r="P288" s="125">
        <f>Lista!O287</f>
        <v>0</v>
      </c>
      <c r="Q288" s="125">
        <f>Lista!P287</f>
        <v>0</v>
      </c>
      <c r="R288" s="125">
        <f>Lista!Q287</f>
        <v>0</v>
      </c>
      <c r="S288" s="125">
        <f>Lista!R287</f>
        <v>0</v>
      </c>
      <c r="T288" s="81"/>
      <c r="U288" s="81"/>
      <c r="V288" s="81"/>
      <c r="W288" s="81"/>
      <c r="X288" s="81"/>
      <c r="Y288" s="81"/>
      <c r="Z288" s="81"/>
      <c r="AA288" s="81"/>
      <c r="AB288" s="81"/>
      <c r="AC288" s="81"/>
      <c r="AD288" s="81"/>
      <c r="AE288" s="81"/>
      <c r="AF288" s="81"/>
      <c r="AG288" s="81"/>
      <c r="AH288" s="81"/>
      <c r="AI288" s="81"/>
      <c r="AJ288" s="81"/>
      <c r="AK288" s="81"/>
      <c r="AL288" s="81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  <c r="BA288" s="81"/>
      <c r="BB288" s="81"/>
      <c r="BC288" s="81"/>
      <c r="BD288" s="81"/>
      <c r="BE288" s="81"/>
      <c r="BF288" s="81"/>
      <c r="BG288" s="81"/>
      <c r="BH288" s="81"/>
      <c r="BI288" s="81"/>
      <c r="BJ288" s="81"/>
      <c r="BK288" s="81"/>
      <c r="BL288" s="81"/>
      <c r="BM288" s="81"/>
      <c r="BN288" s="81"/>
      <c r="BO288" s="81"/>
      <c r="BP288" s="81"/>
      <c r="BQ288" s="81"/>
      <c r="BR288" s="81"/>
      <c r="BS288" s="81"/>
      <c r="BT288" s="81"/>
      <c r="BU288" s="81"/>
      <c r="BV288" s="81"/>
      <c r="BW288" s="81"/>
      <c r="BX288" s="81"/>
      <c r="BY288" s="81"/>
      <c r="BZ288" s="81"/>
      <c r="CA288" s="81"/>
      <c r="CB288" s="81"/>
      <c r="CC288" s="81"/>
      <c r="CD288" s="81"/>
      <c r="CE288" s="81"/>
      <c r="CF288" s="81"/>
      <c r="CG288" s="81"/>
      <c r="CH288" s="81"/>
      <c r="CI288" s="81"/>
      <c r="CJ288" s="81"/>
      <c r="CK288" s="81"/>
      <c r="CL288" s="81"/>
      <c r="CM288" s="81"/>
      <c r="CN288" s="81"/>
      <c r="CO288" s="81"/>
      <c r="CP288" s="81"/>
      <c r="CQ288" s="81"/>
      <c r="CR288" s="81"/>
      <c r="CS288" s="81"/>
      <c r="CT288" s="81"/>
      <c r="CU288" s="81"/>
      <c r="CV288" s="81"/>
      <c r="CW288" s="81"/>
      <c r="CX288" s="81"/>
      <c r="CY288" s="81"/>
      <c r="CZ288" s="81"/>
      <c r="DA288" s="81"/>
      <c r="DB288" s="81"/>
      <c r="DC288" s="81"/>
      <c r="DD288" s="81"/>
      <c r="DE288" s="81"/>
      <c r="DF288" s="81"/>
      <c r="DG288" s="81"/>
      <c r="DH288" s="81"/>
      <c r="DI288" s="81"/>
      <c r="DJ288" s="81"/>
      <c r="DK288" s="81"/>
      <c r="DL288" s="81"/>
      <c r="DM288" s="81"/>
      <c r="DN288" s="81"/>
      <c r="DO288" s="81"/>
      <c r="DP288" s="81"/>
      <c r="DQ288" s="81"/>
      <c r="DR288" s="81"/>
      <c r="DS288" s="81"/>
      <c r="DT288" s="81"/>
      <c r="DU288" s="81"/>
      <c r="DV288" s="81"/>
      <c r="DW288" s="121"/>
    </row>
    <row r="289" spans="1:127" x14ac:dyDescent="0.25">
      <c r="A289" s="2">
        <f>COUNTIF($D$2:D289,'Reporte de Nomina'!$E$2)</f>
        <v>0</v>
      </c>
      <c r="B289" s="125">
        <f>Lista!A288</f>
        <v>0</v>
      </c>
      <c r="C289" s="125">
        <f>Lista!B288</f>
        <v>0</v>
      </c>
      <c r="D289" s="125">
        <f>Lista!C288</f>
        <v>0</v>
      </c>
      <c r="E289" s="125">
        <f>Lista!D288</f>
        <v>0</v>
      </c>
      <c r="F289" s="125">
        <f>Lista!E288</f>
        <v>0</v>
      </c>
      <c r="G289" s="125">
        <f>Lista!F288</f>
        <v>0</v>
      </c>
      <c r="H289" s="125">
        <f>Lista!G288</f>
        <v>0</v>
      </c>
      <c r="I289" s="125">
        <f>Lista!H288</f>
        <v>0</v>
      </c>
      <c r="J289" s="125">
        <f>Lista!I288</f>
        <v>0</v>
      </c>
      <c r="K289" s="125">
        <f>Lista!J288</f>
        <v>0</v>
      </c>
      <c r="L289" s="125">
        <f>Lista!K288</f>
        <v>0</v>
      </c>
      <c r="M289" s="125">
        <f>Lista!L288</f>
        <v>0</v>
      </c>
      <c r="N289" s="125">
        <f>Lista!M288</f>
        <v>0</v>
      </c>
      <c r="O289" s="125">
        <f>Lista!N288</f>
        <v>0</v>
      </c>
      <c r="P289" s="125">
        <f>Lista!O288</f>
        <v>0</v>
      </c>
      <c r="Q289" s="125">
        <f>Lista!P288</f>
        <v>0</v>
      </c>
      <c r="R289" s="125">
        <f>Lista!Q288</f>
        <v>0</v>
      </c>
      <c r="S289" s="125">
        <f>Lista!R288</f>
        <v>0</v>
      </c>
      <c r="T289" s="81"/>
      <c r="U289" s="81"/>
      <c r="V289" s="81"/>
      <c r="W289" s="81"/>
      <c r="X289" s="81"/>
      <c r="Y289" s="81"/>
      <c r="Z289" s="81"/>
      <c r="AA289" s="81"/>
      <c r="AB289" s="81"/>
      <c r="AC289" s="81"/>
      <c r="AD289" s="81"/>
      <c r="AE289" s="81"/>
      <c r="AF289" s="81"/>
      <c r="AG289" s="81"/>
      <c r="AH289" s="81"/>
      <c r="AI289" s="81"/>
      <c r="AJ289" s="81"/>
      <c r="AK289" s="8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  <c r="BA289" s="81"/>
      <c r="BB289" s="81"/>
      <c r="BC289" s="81"/>
      <c r="BD289" s="81"/>
      <c r="BE289" s="81"/>
      <c r="BF289" s="81"/>
      <c r="BG289" s="81"/>
      <c r="BH289" s="81"/>
      <c r="BI289" s="81"/>
      <c r="BJ289" s="81"/>
      <c r="BK289" s="81"/>
      <c r="BL289" s="81"/>
      <c r="BM289" s="81"/>
      <c r="BN289" s="81"/>
      <c r="BO289" s="81"/>
      <c r="BP289" s="81"/>
      <c r="BQ289" s="81"/>
      <c r="BR289" s="81"/>
      <c r="BS289" s="81"/>
      <c r="BT289" s="81"/>
      <c r="BU289" s="81"/>
      <c r="BV289" s="81"/>
      <c r="BW289" s="81"/>
      <c r="BX289" s="81"/>
      <c r="BY289" s="81"/>
      <c r="BZ289" s="81"/>
      <c r="CA289" s="81"/>
      <c r="CB289" s="81"/>
      <c r="CC289" s="81"/>
      <c r="CD289" s="81"/>
      <c r="CE289" s="81"/>
      <c r="CF289" s="81"/>
      <c r="CG289" s="81"/>
      <c r="CH289" s="81"/>
      <c r="CI289" s="81"/>
      <c r="CJ289" s="81"/>
      <c r="CK289" s="81"/>
      <c r="CL289" s="81"/>
      <c r="CM289" s="81"/>
      <c r="CN289" s="81"/>
      <c r="CO289" s="81"/>
      <c r="CP289" s="81"/>
      <c r="CQ289" s="81"/>
      <c r="CR289" s="81"/>
      <c r="CS289" s="81"/>
      <c r="CT289" s="81"/>
      <c r="CU289" s="81"/>
      <c r="CV289" s="81"/>
      <c r="CW289" s="81"/>
      <c r="CX289" s="81"/>
      <c r="CY289" s="81"/>
      <c r="CZ289" s="81"/>
      <c r="DA289" s="81"/>
      <c r="DB289" s="81"/>
      <c r="DC289" s="81"/>
      <c r="DD289" s="81"/>
      <c r="DE289" s="81"/>
      <c r="DF289" s="81"/>
      <c r="DG289" s="81"/>
      <c r="DH289" s="81"/>
      <c r="DI289" s="81"/>
      <c r="DJ289" s="81"/>
      <c r="DK289" s="81"/>
      <c r="DL289" s="81"/>
      <c r="DM289" s="81"/>
      <c r="DN289" s="81"/>
      <c r="DO289" s="81"/>
      <c r="DP289" s="81"/>
      <c r="DQ289" s="81"/>
      <c r="DR289" s="81"/>
      <c r="DS289" s="81"/>
      <c r="DT289" s="81"/>
      <c r="DU289" s="81"/>
      <c r="DV289" s="81"/>
      <c r="DW289" s="121"/>
    </row>
    <row r="290" spans="1:127" x14ac:dyDescent="0.25">
      <c r="A290" s="2">
        <f>COUNTIF($D$2:D290,'Reporte de Nomina'!$E$2)</f>
        <v>0</v>
      </c>
      <c r="B290" s="125">
        <f>Lista!A289</f>
        <v>0</v>
      </c>
      <c r="C290" s="125">
        <f>Lista!B289</f>
        <v>0</v>
      </c>
      <c r="D290" s="125">
        <f>Lista!C289</f>
        <v>0</v>
      </c>
      <c r="E290" s="125">
        <f>Lista!D289</f>
        <v>0</v>
      </c>
      <c r="F290" s="125">
        <f>Lista!E289</f>
        <v>0</v>
      </c>
      <c r="G290" s="125">
        <f>Lista!F289</f>
        <v>0</v>
      </c>
      <c r="H290" s="125">
        <f>Lista!G289</f>
        <v>0</v>
      </c>
      <c r="I290" s="125">
        <f>Lista!H289</f>
        <v>0</v>
      </c>
      <c r="J290" s="125">
        <f>Lista!I289</f>
        <v>0</v>
      </c>
      <c r="K290" s="125">
        <f>Lista!J289</f>
        <v>0</v>
      </c>
      <c r="L290" s="125">
        <f>Lista!K289</f>
        <v>0</v>
      </c>
      <c r="M290" s="125">
        <f>Lista!L289</f>
        <v>0</v>
      </c>
      <c r="N290" s="125">
        <f>Lista!M289</f>
        <v>0</v>
      </c>
      <c r="O290" s="125">
        <f>Lista!N289</f>
        <v>0</v>
      </c>
      <c r="P290" s="125">
        <f>Lista!O289</f>
        <v>0</v>
      </c>
      <c r="Q290" s="125">
        <f>Lista!P289</f>
        <v>0</v>
      </c>
      <c r="R290" s="125">
        <f>Lista!Q289</f>
        <v>0</v>
      </c>
      <c r="S290" s="125">
        <f>Lista!R289</f>
        <v>0</v>
      </c>
      <c r="T290" s="81"/>
      <c r="U290" s="81"/>
      <c r="V290" s="81"/>
      <c r="W290" s="81"/>
      <c r="X290" s="81"/>
      <c r="Y290" s="81"/>
      <c r="Z290" s="81"/>
      <c r="AA290" s="81"/>
      <c r="AB290" s="81"/>
      <c r="AC290" s="81"/>
      <c r="AD290" s="81"/>
      <c r="AE290" s="81"/>
      <c r="AF290" s="81"/>
      <c r="AG290" s="81"/>
      <c r="AH290" s="81"/>
      <c r="AI290" s="81"/>
      <c r="AJ290" s="81"/>
      <c r="AK290" s="81"/>
      <c r="AL290" s="81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  <c r="BA290" s="81"/>
      <c r="BB290" s="81"/>
      <c r="BC290" s="81"/>
      <c r="BD290" s="81"/>
      <c r="BE290" s="81"/>
      <c r="BF290" s="81"/>
      <c r="BG290" s="81"/>
      <c r="BH290" s="81"/>
      <c r="BI290" s="81"/>
      <c r="BJ290" s="81"/>
      <c r="BK290" s="81"/>
      <c r="BL290" s="81"/>
      <c r="BM290" s="81"/>
      <c r="BN290" s="81"/>
      <c r="BO290" s="81"/>
      <c r="BP290" s="81"/>
      <c r="BQ290" s="81"/>
      <c r="BR290" s="81"/>
      <c r="BS290" s="81"/>
      <c r="BT290" s="81"/>
      <c r="BU290" s="81"/>
      <c r="BV290" s="81"/>
      <c r="BW290" s="81"/>
      <c r="BX290" s="81"/>
      <c r="BY290" s="81"/>
      <c r="BZ290" s="81"/>
      <c r="CA290" s="81"/>
      <c r="CB290" s="81"/>
      <c r="CC290" s="81"/>
      <c r="CD290" s="81"/>
      <c r="CE290" s="81"/>
      <c r="CF290" s="81"/>
      <c r="CG290" s="81"/>
      <c r="CH290" s="81"/>
      <c r="CI290" s="81"/>
      <c r="CJ290" s="81"/>
      <c r="CK290" s="81"/>
      <c r="CL290" s="81"/>
      <c r="CM290" s="81"/>
      <c r="CN290" s="81"/>
      <c r="CO290" s="81"/>
      <c r="CP290" s="81"/>
      <c r="CQ290" s="81"/>
      <c r="CR290" s="81"/>
      <c r="CS290" s="81"/>
      <c r="CT290" s="81"/>
      <c r="CU290" s="81"/>
      <c r="CV290" s="81"/>
      <c r="CW290" s="81"/>
      <c r="CX290" s="81"/>
      <c r="CY290" s="81"/>
      <c r="CZ290" s="81"/>
      <c r="DA290" s="81"/>
      <c r="DB290" s="81"/>
      <c r="DC290" s="81"/>
      <c r="DD290" s="81"/>
      <c r="DE290" s="81"/>
      <c r="DF290" s="81"/>
      <c r="DG290" s="81"/>
      <c r="DH290" s="81"/>
      <c r="DI290" s="81"/>
      <c r="DJ290" s="81"/>
      <c r="DK290" s="81"/>
      <c r="DL290" s="81"/>
      <c r="DM290" s="81"/>
      <c r="DN290" s="81"/>
      <c r="DO290" s="81"/>
      <c r="DP290" s="81"/>
      <c r="DQ290" s="81"/>
      <c r="DR290" s="81"/>
      <c r="DS290" s="81"/>
      <c r="DT290" s="81"/>
      <c r="DU290" s="81"/>
      <c r="DV290" s="81"/>
      <c r="DW290" s="121"/>
    </row>
    <row r="291" spans="1:127" x14ac:dyDescent="0.25">
      <c r="A291" s="2">
        <f>COUNTIF($D$2:D291,'Reporte de Nomina'!$E$2)</f>
        <v>0</v>
      </c>
      <c r="B291" s="125">
        <f>Lista!A290</f>
        <v>0</v>
      </c>
      <c r="C291" s="125">
        <f>Lista!B290</f>
        <v>0</v>
      </c>
      <c r="D291" s="125">
        <f>Lista!C290</f>
        <v>0</v>
      </c>
      <c r="E291" s="125">
        <f>Lista!D290</f>
        <v>0</v>
      </c>
      <c r="F291" s="125">
        <f>Lista!E290</f>
        <v>0</v>
      </c>
      <c r="G291" s="125">
        <f>Lista!F290</f>
        <v>0</v>
      </c>
      <c r="H291" s="125">
        <f>Lista!G290</f>
        <v>0</v>
      </c>
      <c r="I291" s="125">
        <f>Lista!H290</f>
        <v>0</v>
      </c>
      <c r="J291" s="125">
        <f>Lista!I290</f>
        <v>0</v>
      </c>
      <c r="K291" s="125">
        <f>Lista!J290</f>
        <v>0</v>
      </c>
      <c r="L291" s="125">
        <f>Lista!K290</f>
        <v>0</v>
      </c>
      <c r="M291" s="125">
        <f>Lista!L290</f>
        <v>0</v>
      </c>
      <c r="N291" s="125">
        <f>Lista!M290</f>
        <v>0</v>
      </c>
      <c r="O291" s="125">
        <f>Lista!N290</f>
        <v>0</v>
      </c>
      <c r="P291" s="125">
        <f>Lista!O290</f>
        <v>0</v>
      </c>
      <c r="Q291" s="125">
        <f>Lista!P290</f>
        <v>0</v>
      </c>
      <c r="R291" s="125">
        <f>Lista!Q290</f>
        <v>0</v>
      </c>
      <c r="S291" s="125">
        <f>Lista!R290</f>
        <v>0</v>
      </c>
      <c r="T291" s="81"/>
      <c r="U291" s="81"/>
      <c r="V291" s="81"/>
      <c r="W291" s="81"/>
      <c r="X291" s="81"/>
      <c r="Y291" s="81"/>
      <c r="Z291" s="81"/>
      <c r="AA291" s="81"/>
      <c r="AB291" s="81"/>
      <c r="AC291" s="81"/>
      <c r="AD291" s="81"/>
      <c r="AE291" s="81"/>
      <c r="AF291" s="81"/>
      <c r="AG291" s="81"/>
      <c r="AH291" s="81"/>
      <c r="AI291" s="81"/>
      <c r="AJ291" s="81"/>
      <c r="AK291" s="8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  <c r="BA291" s="81"/>
      <c r="BB291" s="81"/>
      <c r="BC291" s="81"/>
      <c r="BD291" s="81"/>
      <c r="BE291" s="81"/>
      <c r="BF291" s="81"/>
      <c r="BG291" s="81"/>
      <c r="BH291" s="81"/>
      <c r="BI291" s="81"/>
      <c r="BJ291" s="81"/>
      <c r="BK291" s="81"/>
      <c r="BL291" s="81"/>
      <c r="BM291" s="81"/>
      <c r="BN291" s="81"/>
      <c r="BO291" s="81"/>
      <c r="BP291" s="81"/>
      <c r="BQ291" s="81"/>
      <c r="BR291" s="81"/>
      <c r="BS291" s="81"/>
      <c r="BT291" s="81"/>
      <c r="BU291" s="81"/>
      <c r="BV291" s="81"/>
      <c r="BW291" s="81"/>
      <c r="BX291" s="81"/>
      <c r="BY291" s="81"/>
      <c r="BZ291" s="81"/>
      <c r="CA291" s="81"/>
      <c r="CB291" s="81"/>
      <c r="CC291" s="81"/>
      <c r="CD291" s="81"/>
      <c r="CE291" s="81"/>
      <c r="CF291" s="81"/>
      <c r="CG291" s="81"/>
      <c r="CH291" s="81"/>
      <c r="CI291" s="81"/>
      <c r="CJ291" s="81"/>
      <c r="CK291" s="81"/>
      <c r="CL291" s="81"/>
      <c r="CM291" s="81"/>
      <c r="CN291" s="81"/>
      <c r="CO291" s="81"/>
      <c r="CP291" s="81"/>
      <c r="CQ291" s="81"/>
      <c r="CR291" s="81"/>
      <c r="CS291" s="81"/>
      <c r="CT291" s="81"/>
      <c r="CU291" s="81"/>
      <c r="CV291" s="81"/>
      <c r="CW291" s="81"/>
      <c r="CX291" s="81"/>
      <c r="CY291" s="81"/>
      <c r="CZ291" s="81"/>
      <c r="DA291" s="81"/>
      <c r="DB291" s="81"/>
      <c r="DC291" s="81"/>
      <c r="DD291" s="81"/>
      <c r="DE291" s="81"/>
      <c r="DF291" s="81"/>
      <c r="DG291" s="81"/>
      <c r="DH291" s="81"/>
      <c r="DI291" s="81"/>
      <c r="DJ291" s="81"/>
      <c r="DK291" s="81"/>
      <c r="DL291" s="81"/>
      <c r="DM291" s="81"/>
      <c r="DN291" s="81"/>
      <c r="DO291" s="81"/>
      <c r="DP291" s="81"/>
      <c r="DQ291" s="81"/>
      <c r="DR291" s="81"/>
      <c r="DS291" s="81"/>
      <c r="DT291" s="81"/>
      <c r="DU291" s="81"/>
      <c r="DV291" s="81"/>
      <c r="DW291" s="121"/>
    </row>
    <row r="292" spans="1:127" x14ac:dyDescent="0.25">
      <c r="A292" s="2">
        <f>COUNTIF($D$2:D292,'Reporte de Nomina'!$E$2)</f>
        <v>0</v>
      </c>
      <c r="B292" s="125">
        <f>Lista!A291</f>
        <v>0</v>
      </c>
      <c r="C292" s="125">
        <f>Lista!B291</f>
        <v>0</v>
      </c>
      <c r="D292" s="125">
        <f>Lista!C291</f>
        <v>0</v>
      </c>
      <c r="E292" s="125">
        <f>Lista!D291</f>
        <v>0</v>
      </c>
      <c r="F292" s="125">
        <f>Lista!E291</f>
        <v>0</v>
      </c>
      <c r="G292" s="125">
        <f>Lista!F291</f>
        <v>0</v>
      </c>
      <c r="H292" s="125">
        <f>Lista!G291</f>
        <v>0</v>
      </c>
      <c r="I292" s="125">
        <f>Lista!H291</f>
        <v>0</v>
      </c>
      <c r="J292" s="125">
        <f>Lista!I291</f>
        <v>0</v>
      </c>
      <c r="K292" s="125">
        <f>Lista!J291</f>
        <v>0</v>
      </c>
      <c r="L292" s="125">
        <f>Lista!K291</f>
        <v>0</v>
      </c>
      <c r="M292" s="125">
        <f>Lista!L291</f>
        <v>0</v>
      </c>
      <c r="N292" s="125">
        <f>Lista!M291</f>
        <v>0</v>
      </c>
      <c r="O292" s="125">
        <f>Lista!N291</f>
        <v>0</v>
      </c>
      <c r="P292" s="125">
        <f>Lista!O291</f>
        <v>0</v>
      </c>
      <c r="Q292" s="125">
        <f>Lista!P291</f>
        <v>0</v>
      </c>
      <c r="R292" s="125">
        <f>Lista!Q291</f>
        <v>0</v>
      </c>
      <c r="S292" s="125">
        <f>Lista!R291</f>
        <v>0</v>
      </c>
      <c r="T292" s="81"/>
      <c r="U292" s="81"/>
      <c r="V292" s="81"/>
      <c r="W292" s="81"/>
      <c r="X292" s="81"/>
      <c r="Y292" s="81"/>
      <c r="Z292" s="81"/>
      <c r="AA292" s="81"/>
      <c r="AB292" s="81"/>
      <c r="AC292" s="81"/>
      <c r="AD292" s="81"/>
      <c r="AE292" s="81"/>
      <c r="AF292" s="81"/>
      <c r="AG292" s="81"/>
      <c r="AH292" s="81"/>
      <c r="AI292" s="81"/>
      <c r="AJ292" s="81"/>
      <c r="AK292" s="81"/>
      <c r="AL292" s="81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  <c r="BA292" s="81"/>
      <c r="BB292" s="81"/>
      <c r="BC292" s="81"/>
      <c r="BD292" s="81"/>
      <c r="BE292" s="81"/>
      <c r="BF292" s="81"/>
      <c r="BG292" s="81"/>
      <c r="BH292" s="81"/>
      <c r="BI292" s="81"/>
      <c r="BJ292" s="81"/>
      <c r="BK292" s="81"/>
      <c r="BL292" s="81"/>
      <c r="BM292" s="81"/>
      <c r="BN292" s="81"/>
      <c r="BO292" s="81"/>
      <c r="BP292" s="81"/>
      <c r="BQ292" s="81"/>
      <c r="BR292" s="81"/>
      <c r="BS292" s="81"/>
      <c r="BT292" s="81"/>
      <c r="BU292" s="81"/>
      <c r="BV292" s="81"/>
      <c r="BW292" s="81"/>
      <c r="BX292" s="81"/>
      <c r="BY292" s="81"/>
      <c r="BZ292" s="81"/>
      <c r="CA292" s="81"/>
      <c r="CB292" s="81"/>
      <c r="CC292" s="81"/>
      <c r="CD292" s="81"/>
      <c r="CE292" s="81"/>
      <c r="CF292" s="81"/>
      <c r="CG292" s="81"/>
      <c r="CH292" s="81"/>
      <c r="CI292" s="81"/>
      <c r="CJ292" s="81"/>
      <c r="CK292" s="81"/>
      <c r="CL292" s="81"/>
      <c r="CM292" s="81"/>
      <c r="CN292" s="81"/>
      <c r="CO292" s="81"/>
      <c r="CP292" s="81"/>
      <c r="CQ292" s="81"/>
      <c r="CR292" s="81"/>
      <c r="CS292" s="81"/>
      <c r="CT292" s="81"/>
      <c r="CU292" s="81"/>
      <c r="CV292" s="81"/>
      <c r="CW292" s="81"/>
      <c r="CX292" s="81"/>
      <c r="CY292" s="81"/>
      <c r="CZ292" s="81"/>
      <c r="DA292" s="81"/>
      <c r="DB292" s="81"/>
      <c r="DC292" s="81"/>
      <c r="DD292" s="81"/>
      <c r="DE292" s="81"/>
      <c r="DF292" s="81"/>
      <c r="DG292" s="81"/>
      <c r="DH292" s="81"/>
      <c r="DI292" s="81"/>
      <c r="DJ292" s="81"/>
      <c r="DK292" s="81"/>
      <c r="DL292" s="81"/>
      <c r="DM292" s="81"/>
      <c r="DN292" s="81"/>
      <c r="DO292" s="81"/>
      <c r="DP292" s="81"/>
      <c r="DQ292" s="81"/>
      <c r="DR292" s="81"/>
      <c r="DS292" s="81"/>
      <c r="DT292" s="81"/>
      <c r="DU292" s="81"/>
      <c r="DV292" s="81"/>
      <c r="DW292" s="121"/>
    </row>
    <row r="293" spans="1:127" x14ac:dyDescent="0.25">
      <c r="A293" s="2">
        <f>COUNTIF($D$2:D293,'Reporte de Nomina'!$E$2)</f>
        <v>0</v>
      </c>
      <c r="B293" s="125">
        <f>Lista!A292</f>
        <v>0</v>
      </c>
      <c r="C293" s="125">
        <f>Lista!B292</f>
        <v>0</v>
      </c>
      <c r="D293" s="125">
        <f>Lista!C292</f>
        <v>0</v>
      </c>
      <c r="E293" s="125">
        <f>Lista!D292</f>
        <v>0</v>
      </c>
      <c r="F293" s="125">
        <f>Lista!E292</f>
        <v>0</v>
      </c>
      <c r="G293" s="125">
        <f>Lista!F292</f>
        <v>0</v>
      </c>
      <c r="H293" s="125">
        <f>Lista!G292</f>
        <v>0</v>
      </c>
      <c r="I293" s="125">
        <f>Lista!H292</f>
        <v>0</v>
      </c>
      <c r="J293" s="125">
        <f>Lista!I292</f>
        <v>0</v>
      </c>
      <c r="K293" s="125">
        <f>Lista!J292</f>
        <v>0</v>
      </c>
      <c r="L293" s="125">
        <f>Lista!K292</f>
        <v>0</v>
      </c>
      <c r="M293" s="125">
        <f>Lista!L292</f>
        <v>0</v>
      </c>
      <c r="N293" s="125">
        <f>Lista!M292</f>
        <v>0</v>
      </c>
      <c r="O293" s="125">
        <f>Lista!N292</f>
        <v>0</v>
      </c>
      <c r="P293" s="125">
        <f>Lista!O292</f>
        <v>0</v>
      </c>
      <c r="Q293" s="125">
        <f>Lista!P292</f>
        <v>0</v>
      </c>
      <c r="R293" s="125">
        <f>Lista!Q292</f>
        <v>0</v>
      </c>
      <c r="S293" s="125">
        <f>Lista!R292</f>
        <v>0</v>
      </c>
      <c r="T293" s="81"/>
      <c r="U293" s="81"/>
      <c r="V293" s="81"/>
      <c r="W293" s="81"/>
      <c r="X293" s="81"/>
      <c r="Y293" s="81"/>
      <c r="Z293" s="81"/>
      <c r="AA293" s="81"/>
      <c r="AB293" s="81"/>
      <c r="AC293" s="81"/>
      <c r="AD293" s="81"/>
      <c r="AE293" s="81"/>
      <c r="AF293" s="81"/>
      <c r="AG293" s="81"/>
      <c r="AH293" s="81"/>
      <c r="AI293" s="81"/>
      <c r="AJ293" s="81"/>
      <c r="AK293" s="81"/>
      <c r="AL293" s="81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  <c r="BA293" s="81"/>
      <c r="BB293" s="81"/>
      <c r="BC293" s="81"/>
      <c r="BD293" s="81"/>
      <c r="BE293" s="81"/>
      <c r="BF293" s="81"/>
      <c r="BG293" s="81"/>
      <c r="BH293" s="81"/>
      <c r="BI293" s="81"/>
      <c r="BJ293" s="81"/>
      <c r="BK293" s="81"/>
      <c r="BL293" s="81"/>
      <c r="BM293" s="81"/>
      <c r="BN293" s="81"/>
      <c r="BO293" s="81"/>
      <c r="BP293" s="81"/>
      <c r="BQ293" s="81"/>
      <c r="BR293" s="81"/>
      <c r="BS293" s="81"/>
      <c r="BT293" s="81"/>
      <c r="BU293" s="81"/>
      <c r="BV293" s="81"/>
      <c r="BW293" s="81"/>
      <c r="BX293" s="81"/>
      <c r="BY293" s="81"/>
      <c r="BZ293" s="81"/>
      <c r="CA293" s="81"/>
      <c r="CB293" s="81"/>
      <c r="CC293" s="81"/>
      <c r="CD293" s="81"/>
      <c r="CE293" s="81"/>
      <c r="CF293" s="81"/>
      <c r="CG293" s="81"/>
      <c r="CH293" s="81"/>
      <c r="CI293" s="81"/>
      <c r="CJ293" s="81"/>
      <c r="CK293" s="81"/>
      <c r="CL293" s="81"/>
      <c r="CM293" s="81"/>
      <c r="CN293" s="81"/>
      <c r="CO293" s="81"/>
      <c r="CP293" s="81"/>
      <c r="CQ293" s="81"/>
      <c r="CR293" s="81"/>
      <c r="CS293" s="81"/>
      <c r="CT293" s="81"/>
      <c r="CU293" s="81"/>
      <c r="CV293" s="81"/>
      <c r="CW293" s="81"/>
      <c r="CX293" s="81"/>
      <c r="CY293" s="81"/>
      <c r="CZ293" s="81"/>
      <c r="DA293" s="81"/>
      <c r="DB293" s="81"/>
      <c r="DC293" s="81"/>
      <c r="DD293" s="81"/>
      <c r="DE293" s="81"/>
      <c r="DF293" s="81"/>
      <c r="DG293" s="81"/>
      <c r="DH293" s="81"/>
      <c r="DI293" s="81"/>
      <c r="DJ293" s="81"/>
      <c r="DK293" s="81"/>
      <c r="DL293" s="81"/>
      <c r="DM293" s="81"/>
      <c r="DN293" s="81"/>
      <c r="DO293" s="81"/>
      <c r="DP293" s="81"/>
      <c r="DQ293" s="81"/>
      <c r="DR293" s="81"/>
      <c r="DS293" s="81"/>
      <c r="DT293" s="81"/>
      <c r="DU293" s="81"/>
      <c r="DV293" s="81"/>
      <c r="DW293" s="121"/>
    </row>
    <row r="294" spans="1:127" x14ac:dyDescent="0.25">
      <c r="A294" s="2">
        <f>COUNTIF($D$2:D294,'Reporte de Nomina'!$E$2)</f>
        <v>0</v>
      </c>
      <c r="B294" s="125">
        <f>Lista!A293</f>
        <v>0</v>
      </c>
      <c r="C294" s="125">
        <f>Lista!B293</f>
        <v>0</v>
      </c>
      <c r="D294" s="125">
        <f>Lista!C293</f>
        <v>0</v>
      </c>
      <c r="E294" s="125">
        <f>Lista!D293</f>
        <v>0</v>
      </c>
      <c r="F294" s="125">
        <f>Lista!E293</f>
        <v>0</v>
      </c>
      <c r="G294" s="125">
        <f>Lista!F293</f>
        <v>0</v>
      </c>
      <c r="H294" s="125">
        <f>Lista!G293</f>
        <v>0</v>
      </c>
      <c r="I294" s="125">
        <f>Lista!H293</f>
        <v>0</v>
      </c>
      <c r="J294" s="125">
        <f>Lista!I293</f>
        <v>0</v>
      </c>
      <c r="K294" s="125">
        <f>Lista!J293</f>
        <v>0</v>
      </c>
      <c r="L294" s="125">
        <f>Lista!K293</f>
        <v>0</v>
      </c>
      <c r="M294" s="125">
        <f>Lista!L293</f>
        <v>0</v>
      </c>
      <c r="N294" s="125">
        <f>Lista!M293</f>
        <v>0</v>
      </c>
      <c r="O294" s="125">
        <f>Lista!N293</f>
        <v>0</v>
      </c>
      <c r="P294" s="125">
        <f>Lista!O293</f>
        <v>0</v>
      </c>
      <c r="Q294" s="125">
        <f>Lista!P293</f>
        <v>0</v>
      </c>
      <c r="R294" s="125">
        <f>Lista!Q293</f>
        <v>0</v>
      </c>
      <c r="S294" s="125">
        <f>Lista!R293</f>
        <v>0</v>
      </c>
      <c r="T294" s="81"/>
      <c r="U294" s="81"/>
      <c r="V294" s="81"/>
      <c r="W294" s="81"/>
      <c r="X294" s="81"/>
      <c r="Y294" s="81"/>
      <c r="Z294" s="81"/>
      <c r="AA294" s="81"/>
      <c r="AB294" s="81"/>
      <c r="AC294" s="81"/>
      <c r="AD294" s="81"/>
      <c r="AE294" s="81"/>
      <c r="AF294" s="81"/>
      <c r="AG294" s="81"/>
      <c r="AH294" s="81"/>
      <c r="AI294" s="81"/>
      <c r="AJ294" s="81"/>
      <c r="AK294" s="81"/>
      <c r="AL294" s="81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  <c r="BA294" s="81"/>
      <c r="BB294" s="81"/>
      <c r="BC294" s="81"/>
      <c r="BD294" s="81"/>
      <c r="BE294" s="81"/>
      <c r="BF294" s="81"/>
      <c r="BG294" s="81"/>
      <c r="BH294" s="81"/>
      <c r="BI294" s="81"/>
      <c r="BJ294" s="81"/>
      <c r="BK294" s="81"/>
      <c r="BL294" s="81"/>
      <c r="BM294" s="81"/>
      <c r="BN294" s="81"/>
      <c r="BO294" s="81"/>
      <c r="BP294" s="81"/>
      <c r="BQ294" s="81"/>
      <c r="BR294" s="81"/>
      <c r="BS294" s="81"/>
      <c r="BT294" s="81"/>
      <c r="BU294" s="81"/>
      <c r="BV294" s="81"/>
      <c r="BW294" s="81"/>
      <c r="BX294" s="81"/>
      <c r="BY294" s="81"/>
      <c r="BZ294" s="81"/>
      <c r="CA294" s="81"/>
      <c r="CB294" s="81"/>
      <c r="CC294" s="81"/>
      <c r="CD294" s="81"/>
      <c r="CE294" s="81"/>
      <c r="CF294" s="81"/>
      <c r="CG294" s="81"/>
      <c r="CH294" s="81"/>
      <c r="CI294" s="81"/>
      <c r="CJ294" s="81"/>
      <c r="CK294" s="81"/>
      <c r="CL294" s="81"/>
      <c r="CM294" s="81"/>
      <c r="CN294" s="81"/>
      <c r="CO294" s="81"/>
      <c r="CP294" s="81"/>
      <c r="CQ294" s="81"/>
      <c r="CR294" s="81"/>
      <c r="CS294" s="81"/>
      <c r="CT294" s="81"/>
      <c r="CU294" s="81"/>
      <c r="CV294" s="81"/>
      <c r="CW294" s="81"/>
      <c r="CX294" s="81"/>
      <c r="CY294" s="81"/>
      <c r="CZ294" s="81"/>
      <c r="DA294" s="81"/>
      <c r="DB294" s="81"/>
      <c r="DC294" s="81"/>
      <c r="DD294" s="81"/>
      <c r="DE294" s="81"/>
      <c r="DF294" s="81"/>
      <c r="DG294" s="81"/>
      <c r="DH294" s="81"/>
      <c r="DI294" s="81"/>
      <c r="DJ294" s="81"/>
      <c r="DK294" s="81"/>
      <c r="DL294" s="81"/>
      <c r="DM294" s="81"/>
      <c r="DN294" s="81"/>
      <c r="DO294" s="81"/>
      <c r="DP294" s="81"/>
      <c r="DQ294" s="81"/>
      <c r="DR294" s="81"/>
      <c r="DS294" s="81"/>
      <c r="DT294" s="81"/>
      <c r="DU294" s="81"/>
      <c r="DV294" s="81"/>
      <c r="DW294" s="121"/>
    </row>
    <row r="295" spans="1:127" x14ac:dyDescent="0.25">
      <c r="A295" s="2">
        <f>COUNTIF($D$2:D295,'Reporte de Nomina'!$E$2)</f>
        <v>0</v>
      </c>
      <c r="B295" s="125">
        <f>Lista!A294</f>
        <v>0</v>
      </c>
      <c r="C295" s="125">
        <f>Lista!B294</f>
        <v>0</v>
      </c>
      <c r="D295" s="125">
        <f>Lista!C294</f>
        <v>0</v>
      </c>
      <c r="E295" s="125">
        <f>Lista!D294</f>
        <v>0</v>
      </c>
      <c r="F295" s="125">
        <f>Lista!E294</f>
        <v>0</v>
      </c>
      <c r="G295" s="125">
        <f>Lista!F294</f>
        <v>0</v>
      </c>
      <c r="H295" s="125">
        <f>Lista!G294</f>
        <v>0</v>
      </c>
      <c r="I295" s="125">
        <f>Lista!H294</f>
        <v>0</v>
      </c>
      <c r="J295" s="125">
        <f>Lista!I294</f>
        <v>0</v>
      </c>
      <c r="K295" s="125">
        <f>Lista!J294</f>
        <v>0</v>
      </c>
      <c r="L295" s="125">
        <f>Lista!K294</f>
        <v>0</v>
      </c>
      <c r="M295" s="125">
        <f>Lista!L294</f>
        <v>0</v>
      </c>
      <c r="N295" s="125">
        <f>Lista!M294</f>
        <v>0</v>
      </c>
      <c r="O295" s="125">
        <f>Lista!N294</f>
        <v>0</v>
      </c>
      <c r="P295" s="125">
        <f>Lista!O294</f>
        <v>0</v>
      </c>
      <c r="Q295" s="125">
        <f>Lista!P294</f>
        <v>0</v>
      </c>
      <c r="R295" s="125">
        <f>Lista!Q294</f>
        <v>0</v>
      </c>
      <c r="S295" s="125">
        <f>Lista!R294</f>
        <v>0</v>
      </c>
      <c r="T295" s="81"/>
      <c r="U295" s="81"/>
      <c r="V295" s="81"/>
      <c r="W295" s="81"/>
      <c r="X295" s="81"/>
      <c r="Y295" s="81"/>
      <c r="Z295" s="81"/>
      <c r="AA295" s="81"/>
      <c r="AB295" s="81"/>
      <c r="AC295" s="81"/>
      <c r="AD295" s="81"/>
      <c r="AE295" s="81"/>
      <c r="AF295" s="81"/>
      <c r="AG295" s="81"/>
      <c r="AH295" s="81"/>
      <c r="AI295" s="81"/>
      <c r="AJ295" s="81"/>
      <c r="AK295" s="81"/>
      <c r="AL295" s="81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  <c r="BA295" s="81"/>
      <c r="BB295" s="81"/>
      <c r="BC295" s="81"/>
      <c r="BD295" s="81"/>
      <c r="BE295" s="81"/>
      <c r="BF295" s="81"/>
      <c r="BG295" s="81"/>
      <c r="BH295" s="81"/>
      <c r="BI295" s="81"/>
      <c r="BJ295" s="81"/>
      <c r="BK295" s="81"/>
      <c r="BL295" s="81"/>
      <c r="BM295" s="81"/>
      <c r="BN295" s="81"/>
      <c r="BO295" s="81"/>
      <c r="BP295" s="81"/>
      <c r="BQ295" s="81"/>
      <c r="BR295" s="81"/>
      <c r="BS295" s="81"/>
      <c r="BT295" s="81"/>
      <c r="BU295" s="81"/>
      <c r="BV295" s="81"/>
      <c r="BW295" s="81"/>
      <c r="BX295" s="81"/>
      <c r="BY295" s="81"/>
      <c r="BZ295" s="81"/>
      <c r="CA295" s="81"/>
      <c r="CB295" s="81"/>
      <c r="CC295" s="81"/>
      <c r="CD295" s="81"/>
      <c r="CE295" s="81"/>
      <c r="CF295" s="81"/>
      <c r="CG295" s="81"/>
      <c r="CH295" s="81"/>
      <c r="CI295" s="81"/>
      <c r="CJ295" s="81"/>
      <c r="CK295" s="81"/>
      <c r="CL295" s="81"/>
      <c r="CM295" s="81"/>
      <c r="CN295" s="81"/>
      <c r="CO295" s="81"/>
      <c r="CP295" s="81"/>
      <c r="CQ295" s="81"/>
      <c r="CR295" s="81"/>
      <c r="CS295" s="81"/>
      <c r="CT295" s="81"/>
      <c r="CU295" s="81"/>
      <c r="CV295" s="81"/>
      <c r="CW295" s="81"/>
      <c r="CX295" s="81"/>
      <c r="CY295" s="81"/>
      <c r="CZ295" s="81"/>
      <c r="DA295" s="81"/>
      <c r="DB295" s="81"/>
      <c r="DC295" s="81"/>
      <c r="DD295" s="81"/>
      <c r="DE295" s="81"/>
      <c r="DF295" s="81"/>
      <c r="DG295" s="81"/>
      <c r="DH295" s="81"/>
      <c r="DI295" s="81"/>
      <c r="DJ295" s="81"/>
      <c r="DK295" s="81"/>
      <c r="DL295" s="81"/>
      <c r="DM295" s="81"/>
      <c r="DN295" s="81"/>
      <c r="DO295" s="81"/>
      <c r="DP295" s="81"/>
      <c r="DQ295" s="81"/>
      <c r="DR295" s="81"/>
      <c r="DS295" s="81"/>
      <c r="DT295" s="81"/>
      <c r="DU295" s="81"/>
      <c r="DV295" s="81"/>
      <c r="DW295" s="121"/>
    </row>
    <row r="296" spans="1:127" x14ac:dyDescent="0.25">
      <c r="A296" s="2">
        <f>COUNTIF($D$2:D296,'Reporte de Nomina'!$E$2)</f>
        <v>0</v>
      </c>
      <c r="B296" s="125">
        <f>Lista!A295</f>
        <v>0</v>
      </c>
      <c r="C296" s="125">
        <f>Lista!B295</f>
        <v>0</v>
      </c>
      <c r="D296" s="125">
        <f>Lista!C295</f>
        <v>0</v>
      </c>
      <c r="E296" s="125">
        <f>Lista!D295</f>
        <v>0</v>
      </c>
      <c r="F296" s="125">
        <f>Lista!E295</f>
        <v>0</v>
      </c>
      <c r="G296" s="125">
        <f>Lista!F295</f>
        <v>0</v>
      </c>
      <c r="H296" s="125">
        <f>Lista!G295</f>
        <v>0</v>
      </c>
      <c r="I296" s="125">
        <f>Lista!H295</f>
        <v>0</v>
      </c>
      <c r="J296" s="125">
        <f>Lista!I295</f>
        <v>0</v>
      </c>
      <c r="K296" s="125">
        <f>Lista!J295</f>
        <v>0</v>
      </c>
      <c r="L296" s="125">
        <f>Lista!K295</f>
        <v>0</v>
      </c>
      <c r="M296" s="125">
        <f>Lista!L295</f>
        <v>0</v>
      </c>
      <c r="N296" s="125">
        <f>Lista!M295</f>
        <v>0</v>
      </c>
      <c r="O296" s="125">
        <f>Lista!N295</f>
        <v>0</v>
      </c>
      <c r="P296" s="125">
        <f>Lista!O295</f>
        <v>0</v>
      </c>
      <c r="Q296" s="125">
        <f>Lista!P295</f>
        <v>0</v>
      </c>
      <c r="R296" s="125">
        <f>Lista!Q295</f>
        <v>0</v>
      </c>
      <c r="S296" s="125">
        <f>Lista!R295</f>
        <v>0</v>
      </c>
      <c r="T296" s="81"/>
      <c r="U296" s="81"/>
      <c r="V296" s="81"/>
      <c r="W296" s="81"/>
      <c r="X296" s="81"/>
      <c r="Y296" s="81"/>
      <c r="Z296" s="81"/>
      <c r="AA296" s="81"/>
      <c r="AB296" s="81"/>
      <c r="AC296" s="81"/>
      <c r="AD296" s="81"/>
      <c r="AE296" s="81"/>
      <c r="AF296" s="81"/>
      <c r="AG296" s="81"/>
      <c r="AH296" s="81"/>
      <c r="AI296" s="81"/>
      <c r="AJ296" s="81"/>
      <c r="AK296" s="81"/>
      <c r="AL296" s="81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  <c r="BA296" s="81"/>
      <c r="BB296" s="81"/>
      <c r="BC296" s="81"/>
      <c r="BD296" s="81"/>
      <c r="BE296" s="81"/>
      <c r="BF296" s="81"/>
      <c r="BG296" s="81"/>
      <c r="BH296" s="81"/>
      <c r="BI296" s="81"/>
      <c r="BJ296" s="81"/>
      <c r="BK296" s="81"/>
      <c r="BL296" s="81"/>
      <c r="BM296" s="81"/>
      <c r="BN296" s="81"/>
      <c r="BO296" s="81"/>
      <c r="BP296" s="81"/>
      <c r="BQ296" s="81"/>
      <c r="BR296" s="81"/>
      <c r="BS296" s="81"/>
      <c r="BT296" s="81"/>
      <c r="BU296" s="81"/>
      <c r="BV296" s="81"/>
      <c r="BW296" s="81"/>
      <c r="BX296" s="81"/>
      <c r="BY296" s="81"/>
      <c r="BZ296" s="81"/>
      <c r="CA296" s="81"/>
      <c r="CB296" s="81"/>
      <c r="CC296" s="81"/>
      <c r="CD296" s="81"/>
      <c r="CE296" s="81"/>
      <c r="CF296" s="81"/>
      <c r="CG296" s="81"/>
      <c r="CH296" s="81"/>
      <c r="CI296" s="81"/>
      <c r="CJ296" s="81"/>
      <c r="CK296" s="81"/>
      <c r="CL296" s="81"/>
      <c r="CM296" s="81"/>
      <c r="CN296" s="81"/>
      <c r="CO296" s="81"/>
      <c r="CP296" s="81"/>
      <c r="CQ296" s="81"/>
      <c r="CR296" s="81"/>
      <c r="CS296" s="81"/>
      <c r="CT296" s="81"/>
      <c r="CU296" s="81"/>
      <c r="CV296" s="81"/>
      <c r="CW296" s="81"/>
      <c r="CX296" s="81"/>
      <c r="CY296" s="81"/>
      <c r="CZ296" s="81"/>
      <c r="DA296" s="81"/>
      <c r="DB296" s="81"/>
      <c r="DC296" s="81"/>
      <c r="DD296" s="81"/>
      <c r="DE296" s="81"/>
      <c r="DF296" s="81"/>
      <c r="DG296" s="81"/>
      <c r="DH296" s="81"/>
      <c r="DI296" s="81"/>
      <c r="DJ296" s="81"/>
      <c r="DK296" s="81"/>
      <c r="DL296" s="81"/>
      <c r="DM296" s="81"/>
      <c r="DN296" s="81"/>
      <c r="DO296" s="81"/>
      <c r="DP296" s="81"/>
      <c r="DQ296" s="81"/>
      <c r="DR296" s="81"/>
      <c r="DS296" s="81"/>
      <c r="DT296" s="81"/>
      <c r="DU296" s="81"/>
      <c r="DV296" s="81"/>
      <c r="DW296" s="121"/>
    </row>
    <row r="297" spans="1:127" x14ac:dyDescent="0.25">
      <c r="A297" s="2">
        <f>COUNTIF($D$2:D297,'Reporte de Nomina'!$E$2)</f>
        <v>0</v>
      </c>
      <c r="B297" s="125">
        <f>Lista!A296</f>
        <v>0</v>
      </c>
      <c r="C297" s="125">
        <f>Lista!B296</f>
        <v>0</v>
      </c>
      <c r="D297" s="125">
        <f>Lista!C296</f>
        <v>0</v>
      </c>
      <c r="E297" s="125">
        <f>Lista!D296</f>
        <v>0</v>
      </c>
      <c r="F297" s="125">
        <f>Lista!E296</f>
        <v>0</v>
      </c>
      <c r="G297" s="125">
        <f>Lista!F296</f>
        <v>0</v>
      </c>
      <c r="H297" s="125">
        <f>Lista!G296</f>
        <v>0</v>
      </c>
      <c r="I297" s="125">
        <f>Lista!H296</f>
        <v>0</v>
      </c>
      <c r="J297" s="125">
        <f>Lista!I296</f>
        <v>0</v>
      </c>
      <c r="K297" s="125">
        <f>Lista!J296</f>
        <v>0</v>
      </c>
      <c r="L297" s="125">
        <f>Lista!K296</f>
        <v>0</v>
      </c>
      <c r="M297" s="125">
        <f>Lista!L296</f>
        <v>0</v>
      </c>
      <c r="N297" s="125">
        <f>Lista!M296</f>
        <v>0</v>
      </c>
      <c r="O297" s="125">
        <f>Lista!N296</f>
        <v>0</v>
      </c>
      <c r="P297" s="125">
        <f>Lista!O296</f>
        <v>0</v>
      </c>
      <c r="Q297" s="125">
        <f>Lista!P296</f>
        <v>0</v>
      </c>
      <c r="R297" s="125">
        <f>Lista!Q296</f>
        <v>0</v>
      </c>
      <c r="S297" s="125">
        <f>Lista!R296</f>
        <v>0</v>
      </c>
      <c r="T297" s="81"/>
      <c r="U297" s="81"/>
      <c r="V297" s="81"/>
      <c r="W297" s="81"/>
      <c r="X297" s="81"/>
      <c r="Y297" s="81"/>
      <c r="Z297" s="81"/>
      <c r="AA297" s="81"/>
      <c r="AB297" s="81"/>
      <c r="AC297" s="81"/>
      <c r="AD297" s="81"/>
      <c r="AE297" s="81"/>
      <c r="AF297" s="81"/>
      <c r="AG297" s="81"/>
      <c r="AH297" s="81"/>
      <c r="AI297" s="81"/>
      <c r="AJ297" s="81"/>
      <c r="AK297" s="81"/>
      <c r="AL297" s="81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  <c r="BA297" s="81"/>
      <c r="BB297" s="81"/>
      <c r="BC297" s="81"/>
      <c r="BD297" s="81"/>
      <c r="BE297" s="81"/>
      <c r="BF297" s="81"/>
      <c r="BG297" s="81"/>
      <c r="BH297" s="81"/>
      <c r="BI297" s="81"/>
      <c r="BJ297" s="81"/>
      <c r="BK297" s="81"/>
      <c r="BL297" s="81"/>
      <c r="BM297" s="81"/>
      <c r="BN297" s="81"/>
      <c r="BO297" s="81"/>
      <c r="BP297" s="81"/>
      <c r="BQ297" s="81"/>
      <c r="BR297" s="81"/>
      <c r="BS297" s="81"/>
      <c r="BT297" s="81"/>
      <c r="BU297" s="81"/>
      <c r="BV297" s="81"/>
      <c r="BW297" s="81"/>
      <c r="BX297" s="81"/>
      <c r="BY297" s="81"/>
      <c r="BZ297" s="81"/>
      <c r="CA297" s="81"/>
      <c r="CB297" s="81"/>
      <c r="CC297" s="81"/>
      <c r="CD297" s="81"/>
      <c r="CE297" s="81"/>
      <c r="CF297" s="81"/>
      <c r="CG297" s="81"/>
      <c r="CH297" s="81"/>
      <c r="CI297" s="81"/>
      <c r="CJ297" s="81"/>
      <c r="CK297" s="81"/>
      <c r="CL297" s="81"/>
      <c r="CM297" s="81"/>
      <c r="CN297" s="81"/>
      <c r="CO297" s="81"/>
      <c r="CP297" s="81"/>
      <c r="CQ297" s="81"/>
      <c r="CR297" s="81"/>
      <c r="CS297" s="81"/>
      <c r="CT297" s="81"/>
      <c r="CU297" s="81"/>
      <c r="CV297" s="81"/>
      <c r="CW297" s="81"/>
      <c r="CX297" s="81"/>
      <c r="CY297" s="81"/>
      <c r="CZ297" s="81"/>
      <c r="DA297" s="81"/>
      <c r="DB297" s="81"/>
      <c r="DC297" s="81"/>
      <c r="DD297" s="81"/>
      <c r="DE297" s="81"/>
      <c r="DF297" s="81"/>
      <c r="DG297" s="81"/>
      <c r="DH297" s="81"/>
      <c r="DI297" s="81"/>
      <c r="DJ297" s="81"/>
      <c r="DK297" s="81"/>
      <c r="DL297" s="81"/>
      <c r="DM297" s="81"/>
      <c r="DN297" s="81"/>
      <c r="DO297" s="81"/>
      <c r="DP297" s="81"/>
      <c r="DQ297" s="81"/>
      <c r="DR297" s="81"/>
      <c r="DS297" s="81"/>
      <c r="DT297" s="81"/>
      <c r="DU297" s="81"/>
      <c r="DV297" s="81"/>
      <c r="DW297" s="121"/>
    </row>
    <row r="298" spans="1:127" x14ac:dyDescent="0.25">
      <c r="A298" s="2">
        <f>COUNTIF($D$2:D298,'Reporte de Nomina'!$E$2)</f>
        <v>0</v>
      </c>
      <c r="B298" s="125">
        <f>Lista!A297</f>
        <v>0</v>
      </c>
      <c r="C298" s="125">
        <f>Lista!B297</f>
        <v>0</v>
      </c>
      <c r="D298" s="125">
        <f>Lista!C297</f>
        <v>0</v>
      </c>
      <c r="E298" s="125">
        <f>Lista!D297</f>
        <v>0</v>
      </c>
      <c r="F298" s="125">
        <f>Lista!E297</f>
        <v>0</v>
      </c>
      <c r="G298" s="125">
        <f>Lista!F297</f>
        <v>0</v>
      </c>
      <c r="H298" s="125">
        <f>Lista!G297</f>
        <v>0</v>
      </c>
      <c r="I298" s="125">
        <f>Lista!H297</f>
        <v>0</v>
      </c>
      <c r="J298" s="125">
        <f>Lista!I297</f>
        <v>0</v>
      </c>
      <c r="K298" s="125">
        <f>Lista!J297</f>
        <v>0</v>
      </c>
      <c r="L298" s="125">
        <f>Lista!K297</f>
        <v>0</v>
      </c>
      <c r="M298" s="125">
        <f>Lista!L297</f>
        <v>0</v>
      </c>
      <c r="N298" s="125">
        <f>Lista!M297</f>
        <v>0</v>
      </c>
      <c r="O298" s="125">
        <f>Lista!N297</f>
        <v>0</v>
      </c>
      <c r="P298" s="125">
        <f>Lista!O297</f>
        <v>0</v>
      </c>
      <c r="Q298" s="125">
        <f>Lista!P297</f>
        <v>0</v>
      </c>
      <c r="R298" s="125">
        <f>Lista!Q297</f>
        <v>0</v>
      </c>
      <c r="S298" s="125">
        <f>Lista!R297</f>
        <v>0</v>
      </c>
      <c r="T298" s="81"/>
      <c r="U298" s="81"/>
      <c r="V298" s="81"/>
      <c r="W298" s="81"/>
      <c r="X298" s="81"/>
      <c r="Y298" s="81"/>
      <c r="Z298" s="81"/>
      <c r="AA298" s="81"/>
      <c r="AB298" s="81"/>
      <c r="AC298" s="81"/>
      <c r="AD298" s="81"/>
      <c r="AE298" s="81"/>
      <c r="AF298" s="81"/>
      <c r="AG298" s="81"/>
      <c r="AH298" s="81"/>
      <c r="AI298" s="81"/>
      <c r="AJ298" s="81"/>
      <c r="AK298" s="81"/>
      <c r="AL298" s="81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  <c r="BA298" s="81"/>
      <c r="BB298" s="81"/>
      <c r="BC298" s="81"/>
      <c r="BD298" s="81"/>
      <c r="BE298" s="81"/>
      <c r="BF298" s="81"/>
      <c r="BG298" s="81"/>
      <c r="BH298" s="81"/>
      <c r="BI298" s="81"/>
      <c r="BJ298" s="81"/>
      <c r="BK298" s="81"/>
      <c r="BL298" s="81"/>
      <c r="BM298" s="81"/>
      <c r="BN298" s="81"/>
      <c r="BO298" s="81"/>
      <c r="BP298" s="81"/>
      <c r="BQ298" s="81"/>
      <c r="BR298" s="81"/>
      <c r="BS298" s="81"/>
      <c r="BT298" s="81"/>
      <c r="BU298" s="81"/>
      <c r="BV298" s="81"/>
      <c r="BW298" s="81"/>
      <c r="BX298" s="81"/>
      <c r="BY298" s="81"/>
      <c r="BZ298" s="81"/>
      <c r="CA298" s="81"/>
      <c r="CB298" s="81"/>
      <c r="CC298" s="81"/>
      <c r="CD298" s="81"/>
      <c r="CE298" s="81"/>
      <c r="CF298" s="81"/>
      <c r="CG298" s="81"/>
      <c r="CH298" s="81"/>
      <c r="CI298" s="81"/>
      <c r="CJ298" s="81"/>
      <c r="CK298" s="81"/>
      <c r="CL298" s="81"/>
      <c r="CM298" s="81"/>
      <c r="CN298" s="81"/>
      <c r="CO298" s="81"/>
      <c r="CP298" s="81"/>
      <c r="CQ298" s="81"/>
      <c r="CR298" s="81"/>
      <c r="CS298" s="81"/>
      <c r="CT298" s="81"/>
      <c r="CU298" s="81"/>
      <c r="CV298" s="81"/>
      <c r="CW298" s="81"/>
      <c r="CX298" s="81"/>
      <c r="CY298" s="81"/>
      <c r="CZ298" s="81"/>
      <c r="DA298" s="81"/>
      <c r="DB298" s="81"/>
      <c r="DC298" s="81"/>
      <c r="DD298" s="81"/>
      <c r="DE298" s="81"/>
      <c r="DF298" s="81"/>
      <c r="DG298" s="81"/>
      <c r="DH298" s="81"/>
      <c r="DI298" s="81"/>
      <c r="DJ298" s="81"/>
      <c r="DK298" s="81"/>
      <c r="DL298" s="81"/>
      <c r="DM298" s="81"/>
      <c r="DN298" s="81"/>
      <c r="DO298" s="81"/>
      <c r="DP298" s="81"/>
      <c r="DQ298" s="81"/>
      <c r="DR298" s="81"/>
      <c r="DS298" s="81"/>
      <c r="DT298" s="81"/>
      <c r="DU298" s="81"/>
      <c r="DV298" s="81"/>
      <c r="DW298" s="121"/>
    </row>
    <row r="299" spans="1:127" x14ac:dyDescent="0.25">
      <c r="A299" s="2">
        <f>COUNTIF($D$2:D299,'Reporte de Nomina'!$E$2)</f>
        <v>0</v>
      </c>
      <c r="B299" s="125">
        <f>Lista!A298</f>
        <v>0</v>
      </c>
      <c r="C299" s="125">
        <f>Lista!B298</f>
        <v>0</v>
      </c>
      <c r="D299" s="125">
        <f>Lista!C298</f>
        <v>0</v>
      </c>
      <c r="E299" s="125">
        <f>Lista!D298</f>
        <v>0</v>
      </c>
      <c r="F299" s="125">
        <f>Lista!E298</f>
        <v>0</v>
      </c>
      <c r="G299" s="125">
        <f>Lista!F298</f>
        <v>0</v>
      </c>
      <c r="H299" s="125">
        <f>Lista!G298</f>
        <v>0</v>
      </c>
      <c r="I299" s="125">
        <f>Lista!H298</f>
        <v>0</v>
      </c>
      <c r="J299" s="125">
        <f>Lista!I298</f>
        <v>0</v>
      </c>
      <c r="K299" s="125">
        <f>Lista!J298</f>
        <v>0</v>
      </c>
      <c r="L299" s="125">
        <f>Lista!K298</f>
        <v>0</v>
      </c>
      <c r="M299" s="125">
        <f>Lista!L298</f>
        <v>0</v>
      </c>
      <c r="N299" s="125">
        <f>Lista!M298</f>
        <v>0</v>
      </c>
      <c r="O299" s="125">
        <f>Lista!N298</f>
        <v>0</v>
      </c>
      <c r="P299" s="125">
        <f>Lista!O298</f>
        <v>0</v>
      </c>
      <c r="Q299" s="125">
        <f>Lista!P298</f>
        <v>0</v>
      </c>
      <c r="R299" s="125">
        <f>Lista!Q298</f>
        <v>0</v>
      </c>
      <c r="S299" s="125">
        <f>Lista!R298</f>
        <v>0</v>
      </c>
      <c r="T299" s="81"/>
      <c r="U299" s="81"/>
      <c r="V299" s="81"/>
      <c r="W299" s="81"/>
      <c r="X299" s="81"/>
      <c r="Y299" s="81"/>
      <c r="Z299" s="81"/>
      <c r="AA299" s="81"/>
      <c r="AB299" s="81"/>
      <c r="AC299" s="81"/>
      <c r="AD299" s="81"/>
      <c r="AE299" s="81"/>
      <c r="AF299" s="81"/>
      <c r="AG299" s="81"/>
      <c r="AH299" s="81"/>
      <c r="AI299" s="81"/>
      <c r="AJ299" s="81"/>
      <c r="AK299" s="81"/>
      <c r="AL299" s="81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  <c r="BA299" s="81"/>
      <c r="BB299" s="81"/>
      <c r="BC299" s="81"/>
      <c r="BD299" s="81"/>
      <c r="BE299" s="81"/>
      <c r="BF299" s="81"/>
      <c r="BG299" s="81"/>
      <c r="BH299" s="81"/>
      <c r="BI299" s="81"/>
      <c r="BJ299" s="81"/>
      <c r="BK299" s="81"/>
      <c r="BL299" s="81"/>
      <c r="BM299" s="81"/>
      <c r="BN299" s="81"/>
      <c r="BO299" s="81"/>
      <c r="BP299" s="81"/>
      <c r="BQ299" s="81"/>
      <c r="BR299" s="81"/>
      <c r="BS299" s="81"/>
      <c r="BT299" s="81"/>
      <c r="BU299" s="81"/>
      <c r="BV299" s="81"/>
      <c r="BW299" s="81"/>
      <c r="BX299" s="81"/>
      <c r="BY299" s="81"/>
      <c r="BZ299" s="81"/>
      <c r="CA299" s="81"/>
      <c r="CB299" s="81"/>
      <c r="CC299" s="81"/>
      <c r="CD299" s="81"/>
      <c r="CE299" s="81"/>
      <c r="CF299" s="81"/>
      <c r="CG299" s="81"/>
      <c r="CH299" s="81"/>
      <c r="CI299" s="81"/>
      <c r="CJ299" s="81"/>
      <c r="CK299" s="81"/>
      <c r="CL299" s="81"/>
      <c r="CM299" s="81"/>
      <c r="CN299" s="81"/>
      <c r="CO299" s="81"/>
      <c r="CP299" s="81"/>
      <c r="CQ299" s="81"/>
      <c r="CR299" s="81"/>
      <c r="CS299" s="81"/>
      <c r="CT299" s="81"/>
      <c r="CU299" s="81"/>
      <c r="CV299" s="81"/>
      <c r="CW299" s="81"/>
      <c r="CX299" s="81"/>
      <c r="CY299" s="81"/>
      <c r="CZ299" s="81"/>
      <c r="DA299" s="81"/>
      <c r="DB299" s="81"/>
      <c r="DC299" s="81"/>
      <c r="DD299" s="81"/>
      <c r="DE299" s="81"/>
      <c r="DF299" s="81"/>
      <c r="DG299" s="81"/>
      <c r="DH299" s="81"/>
      <c r="DI299" s="81"/>
      <c r="DJ299" s="81"/>
      <c r="DK299" s="81"/>
      <c r="DL299" s="81"/>
      <c r="DM299" s="81"/>
      <c r="DN299" s="81"/>
      <c r="DO299" s="81"/>
      <c r="DP299" s="81"/>
      <c r="DQ299" s="81"/>
      <c r="DR299" s="81"/>
      <c r="DS299" s="81"/>
      <c r="DT299" s="81"/>
      <c r="DU299" s="81"/>
      <c r="DV299" s="81"/>
      <c r="DW299" s="121"/>
    </row>
    <row r="300" spans="1:127" x14ac:dyDescent="0.25">
      <c r="A300" s="2">
        <f>COUNTIF($D$2:D300,'Reporte de Nomina'!$E$2)</f>
        <v>0</v>
      </c>
      <c r="B300" s="125">
        <f>Lista!A299</f>
        <v>0</v>
      </c>
      <c r="C300" s="125">
        <f>Lista!B299</f>
        <v>0</v>
      </c>
      <c r="D300" s="125">
        <f>Lista!C299</f>
        <v>0</v>
      </c>
      <c r="E300" s="125">
        <f>Lista!D299</f>
        <v>0</v>
      </c>
      <c r="F300" s="125">
        <f>Lista!E299</f>
        <v>0</v>
      </c>
      <c r="G300" s="125">
        <f>Lista!F299</f>
        <v>0</v>
      </c>
      <c r="H300" s="125">
        <f>Lista!G299</f>
        <v>0</v>
      </c>
      <c r="I300" s="125">
        <f>Lista!H299</f>
        <v>0</v>
      </c>
      <c r="J300" s="125">
        <f>Lista!I299</f>
        <v>0</v>
      </c>
      <c r="K300" s="125">
        <f>Lista!J299</f>
        <v>0</v>
      </c>
      <c r="L300" s="125">
        <f>Lista!K299</f>
        <v>0</v>
      </c>
      <c r="M300" s="125">
        <f>Lista!L299</f>
        <v>0</v>
      </c>
      <c r="N300" s="125">
        <f>Lista!M299</f>
        <v>0</v>
      </c>
      <c r="O300" s="125">
        <f>Lista!N299</f>
        <v>0</v>
      </c>
      <c r="P300" s="125">
        <f>Lista!O299</f>
        <v>0</v>
      </c>
      <c r="Q300" s="125">
        <f>Lista!P299</f>
        <v>0</v>
      </c>
      <c r="R300" s="125">
        <f>Lista!Q299</f>
        <v>0</v>
      </c>
      <c r="S300" s="125">
        <f>Lista!R299</f>
        <v>0</v>
      </c>
      <c r="T300" s="81"/>
      <c r="U300" s="81"/>
      <c r="V300" s="81"/>
      <c r="W300" s="81"/>
      <c r="X300" s="81"/>
      <c r="Y300" s="81"/>
      <c r="Z300" s="81"/>
      <c r="AA300" s="81"/>
      <c r="AB300" s="81"/>
      <c r="AC300" s="81"/>
      <c r="AD300" s="81"/>
      <c r="AE300" s="81"/>
      <c r="AF300" s="81"/>
      <c r="AG300" s="81"/>
      <c r="AH300" s="81"/>
      <c r="AI300" s="81"/>
      <c r="AJ300" s="81"/>
      <c r="AK300" s="81"/>
      <c r="AL300" s="81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  <c r="BA300" s="81"/>
      <c r="BB300" s="81"/>
      <c r="BC300" s="81"/>
      <c r="BD300" s="81"/>
      <c r="BE300" s="81"/>
      <c r="BF300" s="81"/>
      <c r="BG300" s="81"/>
      <c r="BH300" s="81"/>
      <c r="BI300" s="81"/>
      <c r="BJ300" s="81"/>
      <c r="BK300" s="81"/>
      <c r="BL300" s="81"/>
      <c r="BM300" s="81"/>
      <c r="BN300" s="81"/>
      <c r="BO300" s="81"/>
      <c r="BP300" s="81"/>
      <c r="BQ300" s="81"/>
      <c r="BR300" s="81"/>
      <c r="BS300" s="81"/>
      <c r="BT300" s="81"/>
      <c r="BU300" s="81"/>
      <c r="BV300" s="81"/>
      <c r="BW300" s="81"/>
      <c r="BX300" s="81"/>
      <c r="BY300" s="81"/>
      <c r="BZ300" s="81"/>
      <c r="CA300" s="81"/>
      <c r="CB300" s="81"/>
      <c r="CC300" s="81"/>
      <c r="CD300" s="81"/>
      <c r="CE300" s="81"/>
      <c r="CF300" s="81"/>
      <c r="CG300" s="81"/>
      <c r="CH300" s="81"/>
      <c r="CI300" s="81"/>
      <c r="CJ300" s="81"/>
      <c r="CK300" s="81"/>
      <c r="CL300" s="81"/>
      <c r="CM300" s="81"/>
      <c r="CN300" s="81"/>
      <c r="CO300" s="81"/>
      <c r="CP300" s="81"/>
      <c r="CQ300" s="81"/>
      <c r="CR300" s="81"/>
      <c r="CS300" s="81"/>
      <c r="CT300" s="81"/>
      <c r="CU300" s="81"/>
      <c r="CV300" s="81"/>
      <c r="CW300" s="81"/>
      <c r="CX300" s="81"/>
      <c r="CY300" s="81"/>
      <c r="CZ300" s="81"/>
      <c r="DA300" s="81"/>
      <c r="DB300" s="81"/>
      <c r="DC300" s="81"/>
      <c r="DD300" s="81"/>
      <c r="DE300" s="81"/>
      <c r="DF300" s="81"/>
      <c r="DG300" s="81"/>
      <c r="DH300" s="81"/>
      <c r="DI300" s="81"/>
      <c r="DJ300" s="81"/>
      <c r="DK300" s="81"/>
      <c r="DL300" s="81"/>
      <c r="DM300" s="81"/>
      <c r="DN300" s="81"/>
      <c r="DO300" s="81"/>
      <c r="DP300" s="81"/>
      <c r="DQ300" s="81"/>
      <c r="DR300" s="81"/>
      <c r="DS300" s="81"/>
      <c r="DT300" s="81"/>
      <c r="DU300" s="81"/>
      <c r="DV300" s="81"/>
      <c r="DW300" s="121"/>
    </row>
    <row r="301" spans="1:127" x14ac:dyDescent="0.25">
      <c r="A301" s="2">
        <f>COUNTIF($D$2:D301,'Reporte de Nomina'!$E$2)</f>
        <v>0</v>
      </c>
      <c r="B301" s="125">
        <f>Lista!A300</f>
        <v>0</v>
      </c>
      <c r="C301" s="125">
        <f>Lista!B300</f>
        <v>0</v>
      </c>
      <c r="D301" s="125">
        <f>Lista!C300</f>
        <v>0</v>
      </c>
      <c r="E301" s="125">
        <f>Lista!D300</f>
        <v>0</v>
      </c>
      <c r="F301" s="125">
        <f>Lista!E300</f>
        <v>0</v>
      </c>
      <c r="G301" s="125">
        <f>Lista!F300</f>
        <v>0</v>
      </c>
      <c r="H301" s="125">
        <f>Lista!G300</f>
        <v>0</v>
      </c>
      <c r="I301" s="125">
        <f>Lista!H300</f>
        <v>0</v>
      </c>
      <c r="J301" s="125">
        <f>Lista!I300</f>
        <v>0</v>
      </c>
      <c r="K301" s="125">
        <f>Lista!J300</f>
        <v>0</v>
      </c>
      <c r="L301" s="125">
        <f>Lista!K300</f>
        <v>0</v>
      </c>
      <c r="M301" s="125">
        <f>Lista!L300</f>
        <v>0</v>
      </c>
      <c r="N301" s="125">
        <f>Lista!M300</f>
        <v>0</v>
      </c>
      <c r="O301" s="125">
        <f>Lista!N300</f>
        <v>0</v>
      </c>
      <c r="P301" s="125">
        <f>Lista!O300</f>
        <v>0</v>
      </c>
      <c r="Q301" s="125">
        <f>Lista!P300</f>
        <v>0</v>
      </c>
      <c r="R301" s="125">
        <f>Lista!Q300</f>
        <v>0</v>
      </c>
      <c r="S301" s="125">
        <f>Lista!R300</f>
        <v>0</v>
      </c>
      <c r="T301" s="81"/>
      <c r="U301" s="81"/>
      <c r="V301" s="81"/>
      <c r="W301" s="81"/>
      <c r="X301" s="81"/>
      <c r="Y301" s="81"/>
      <c r="Z301" s="81"/>
      <c r="AA301" s="81"/>
      <c r="AB301" s="81"/>
      <c r="AC301" s="81"/>
      <c r="AD301" s="81"/>
      <c r="AE301" s="81"/>
      <c r="AF301" s="81"/>
      <c r="AG301" s="81"/>
      <c r="AH301" s="81"/>
      <c r="AI301" s="81"/>
      <c r="AJ301" s="81"/>
      <c r="AK301" s="81"/>
      <c r="AL301" s="81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  <c r="BA301" s="81"/>
      <c r="BB301" s="81"/>
      <c r="BC301" s="81"/>
      <c r="BD301" s="81"/>
      <c r="BE301" s="81"/>
      <c r="BF301" s="81"/>
      <c r="BG301" s="81"/>
      <c r="BH301" s="81"/>
      <c r="BI301" s="81"/>
      <c r="BJ301" s="81"/>
      <c r="BK301" s="81"/>
      <c r="BL301" s="81"/>
      <c r="BM301" s="81"/>
      <c r="BN301" s="81"/>
      <c r="BO301" s="81"/>
      <c r="BP301" s="81"/>
      <c r="BQ301" s="81"/>
      <c r="BR301" s="81"/>
      <c r="BS301" s="81"/>
      <c r="BT301" s="81"/>
      <c r="BU301" s="81"/>
      <c r="BV301" s="81"/>
      <c r="BW301" s="81"/>
      <c r="BX301" s="81"/>
      <c r="BY301" s="81"/>
      <c r="BZ301" s="81"/>
      <c r="CA301" s="81"/>
      <c r="CB301" s="81"/>
      <c r="CC301" s="81"/>
      <c r="CD301" s="81"/>
      <c r="CE301" s="81"/>
      <c r="CF301" s="81"/>
      <c r="CG301" s="81"/>
      <c r="CH301" s="81"/>
      <c r="CI301" s="81"/>
      <c r="CJ301" s="81"/>
      <c r="CK301" s="81"/>
      <c r="CL301" s="81"/>
      <c r="CM301" s="81"/>
      <c r="CN301" s="81"/>
      <c r="CO301" s="81"/>
      <c r="CP301" s="81"/>
      <c r="CQ301" s="81"/>
      <c r="CR301" s="81"/>
      <c r="CS301" s="81"/>
      <c r="CT301" s="81"/>
      <c r="CU301" s="81"/>
      <c r="CV301" s="81"/>
      <c r="CW301" s="81"/>
      <c r="CX301" s="81"/>
      <c r="CY301" s="81"/>
      <c r="CZ301" s="81"/>
      <c r="DA301" s="81"/>
      <c r="DB301" s="81"/>
      <c r="DC301" s="81"/>
      <c r="DD301" s="81"/>
      <c r="DE301" s="81"/>
      <c r="DF301" s="81"/>
      <c r="DG301" s="81"/>
      <c r="DH301" s="81"/>
      <c r="DI301" s="81"/>
      <c r="DJ301" s="81"/>
      <c r="DK301" s="81"/>
      <c r="DL301" s="81"/>
      <c r="DM301" s="81"/>
      <c r="DN301" s="81"/>
      <c r="DO301" s="81"/>
      <c r="DP301" s="81"/>
      <c r="DQ301" s="81"/>
      <c r="DR301" s="81"/>
      <c r="DS301" s="81"/>
      <c r="DT301" s="81"/>
      <c r="DU301" s="81"/>
      <c r="DV301" s="81"/>
      <c r="DW301" s="121"/>
    </row>
    <row r="302" spans="1:127" x14ac:dyDescent="0.25">
      <c r="A302" s="2">
        <f>COUNTIF($D$2:D302,'Reporte de Nomina'!$E$2)</f>
        <v>0</v>
      </c>
      <c r="B302" s="125">
        <f>Lista!A301</f>
        <v>0</v>
      </c>
      <c r="C302" s="125">
        <f>Lista!B301</f>
        <v>0</v>
      </c>
      <c r="D302" s="125">
        <f>Lista!C301</f>
        <v>0</v>
      </c>
      <c r="E302" s="125">
        <f>Lista!D301</f>
        <v>0</v>
      </c>
      <c r="F302" s="125">
        <f>Lista!E301</f>
        <v>0</v>
      </c>
      <c r="G302" s="125">
        <f>Lista!F301</f>
        <v>0</v>
      </c>
      <c r="H302" s="125">
        <f>Lista!G301</f>
        <v>0</v>
      </c>
      <c r="I302" s="125">
        <f>Lista!H301</f>
        <v>0</v>
      </c>
      <c r="J302" s="125">
        <f>Lista!I301</f>
        <v>0</v>
      </c>
      <c r="K302" s="125">
        <f>Lista!J301</f>
        <v>0</v>
      </c>
      <c r="L302" s="125">
        <f>Lista!K301</f>
        <v>0</v>
      </c>
      <c r="M302" s="125">
        <f>Lista!L301</f>
        <v>0</v>
      </c>
      <c r="N302" s="125">
        <f>Lista!M301</f>
        <v>0</v>
      </c>
      <c r="O302" s="125">
        <f>Lista!N301</f>
        <v>0</v>
      </c>
      <c r="P302" s="125">
        <f>Lista!O301</f>
        <v>0</v>
      </c>
      <c r="Q302" s="125">
        <f>Lista!P301</f>
        <v>0</v>
      </c>
      <c r="R302" s="125">
        <f>Lista!Q301</f>
        <v>0</v>
      </c>
      <c r="S302" s="125">
        <f>Lista!R301</f>
        <v>0</v>
      </c>
      <c r="T302" s="81"/>
      <c r="U302" s="81"/>
      <c r="V302" s="81"/>
      <c r="W302" s="81"/>
      <c r="X302" s="81"/>
      <c r="Y302" s="81"/>
      <c r="Z302" s="81"/>
      <c r="AA302" s="81"/>
      <c r="AB302" s="81"/>
      <c r="AC302" s="81"/>
      <c r="AD302" s="81"/>
      <c r="AE302" s="81"/>
      <c r="AF302" s="81"/>
      <c r="AG302" s="81"/>
      <c r="AH302" s="81"/>
      <c r="AI302" s="81"/>
      <c r="AJ302" s="81"/>
      <c r="AK302" s="81"/>
      <c r="AL302" s="81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  <c r="BA302" s="81"/>
      <c r="BB302" s="81"/>
      <c r="BC302" s="81"/>
      <c r="BD302" s="81"/>
      <c r="BE302" s="81"/>
      <c r="BF302" s="81"/>
      <c r="BG302" s="81"/>
      <c r="BH302" s="81"/>
      <c r="BI302" s="81"/>
      <c r="BJ302" s="81"/>
      <c r="BK302" s="81"/>
      <c r="BL302" s="81"/>
      <c r="BM302" s="81"/>
      <c r="BN302" s="81"/>
      <c r="BO302" s="81"/>
      <c r="BP302" s="81"/>
      <c r="BQ302" s="81"/>
      <c r="BR302" s="81"/>
      <c r="BS302" s="81"/>
      <c r="BT302" s="81"/>
      <c r="BU302" s="81"/>
      <c r="BV302" s="81"/>
      <c r="BW302" s="81"/>
      <c r="BX302" s="81"/>
      <c r="BY302" s="81"/>
      <c r="BZ302" s="81"/>
      <c r="CA302" s="81"/>
      <c r="CB302" s="81"/>
      <c r="CC302" s="81"/>
      <c r="CD302" s="81"/>
      <c r="CE302" s="81"/>
      <c r="CF302" s="81"/>
      <c r="CG302" s="81"/>
      <c r="CH302" s="81"/>
      <c r="CI302" s="81"/>
      <c r="CJ302" s="81"/>
      <c r="CK302" s="81"/>
      <c r="CL302" s="81"/>
      <c r="CM302" s="81"/>
      <c r="CN302" s="81"/>
      <c r="CO302" s="81"/>
      <c r="CP302" s="81"/>
      <c r="CQ302" s="81"/>
      <c r="CR302" s="81"/>
      <c r="CS302" s="81"/>
      <c r="CT302" s="81"/>
      <c r="CU302" s="81"/>
      <c r="CV302" s="81"/>
      <c r="CW302" s="81"/>
      <c r="CX302" s="81"/>
      <c r="CY302" s="81"/>
      <c r="CZ302" s="81"/>
      <c r="DA302" s="81"/>
      <c r="DB302" s="81"/>
      <c r="DC302" s="81"/>
      <c r="DD302" s="81"/>
      <c r="DE302" s="81"/>
      <c r="DF302" s="81"/>
      <c r="DG302" s="81"/>
      <c r="DH302" s="81"/>
      <c r="DI302" s="81"/>
      <c r="DJ302" s="81"/>
      <c r="DK302" s="81"/>
      <c r="DL302" s="81"/>
      <c r="DM302" s="81"/>
      <c r="DN302" s="81"/>
      <c r="DO302" s="81"/>
      <c r="DP302" s="81"/>
      <c r="DQ302" s="81"/>
      <c r="DR302" s="81"/>
      <c r="DS302" s="81"/>
      <c r="DT302" s="81"/>
      <c r="DU302" s="81"/>
      <c r="DV302" s="81"/>
      <c r="DW302" s="121"/>
    </row>
    <row r="303" spans="1:127" x14ac:dyDescent="0.25">
      <c r="A303" s="2">
        <f>COUNTIF($D$2:D303,'Reporte de Nomina'!$E$2)</f>
        <v>0</v>
      </c>
      <c r="B303" s="125">
        <f>Lista!A302</f>
        <v>0</v>
      </c>
      <c r="C303" s="125">
        <f>Lista!B302</f>
        <v>0</v>
      </c>
      <c r="D303" s="125">
        <f>Lista!C302</f>
        <v>0</v>
      </c>
      <c r="E303" s="125">
        <f>Lista!D302</f>
        <v>0</v>
      </c>
      <c r="F303" s="125">
        <f>Lista!E302</f>
        <v>0</v>
      </c>
      <c r="G303" s="125">
        <f>Lista!F302</f>
        <v>0</v>
      </c>
      <c r="H303" s="125">
        <f>Lista!G302</f>
        <v>0</v>
      </c>
      <c r="I303" s="125">
        <f>Lista!H302</f>
        <v>0</v>
      </c>
      <c r="J303" s="125">
        <f>Lista!I302</f>
        <v>0</v>
      </c>
      <c r="K303" s="125">
        <f>Lista!J302</f>
        <v>0</v>
      </c>
      <c r="L303" s="125">
        <f>Lista!K302</f>
        <v>0</v>
      </c>
      <c r="M303" s="125">
        <f>Lista!L302</f>
        <v>0</v>
      </c>
      <c r="N303" s="125">
        <f>Lista!M302</f>
        <v>0</v>
      </c>
      <c r="O303" s="125">
        <f>Lista!N302</f>
        <v>0</v>
      </c>
      <c r="P303" s="125">
        <f>Lista!O302</f>
        <v>0</v>
      </c>
      <c r="Q303" s="125">
        <f>Lista!P302</f>
        <v>0</v>
      </c>
      <c r="R303" s="125">
        <f>Lista!Q302</f>
        <v>0</v>
      </c>
      <c r="S303" s="125">
        <f>Lista!R302</f>
        <v>0</v>
      </c>
      <c r="T303" s="81"/>
      <c r="U303" s="81"/>
      <c r="V303" s="81"/>
      <c r="W303" s="81"/>
      <c r="X303" s="81"/>
      <c r="Y303" s="81"/>
      <c r="Z303" s="81"/>
      <c r="AA303" s="81"/>
      <c r="AB303" s="81"/>
      <c r="AC303" s="81"/>
      <c r="AD303" s="81"/>
      <c r="AE303" s="81"/>
      <c r="AF303" s="81"/>
      <c r="AG303" s="81"/>
      <c r="AH303" s="81"/>
      <c r="AI303" s="81"/>
      <c r="AJ303" s="81"/>
      <c r="AK303" s="81"/>
      <c r="AL303" s="81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  <c r="BA303" s="81"/>
      <c r="BB303" s="81"/>
      <c r="BC303" s="81"/>
      <c r="BD303" s="81"/>
      <c r="BE303" s="81"/>
      <c r="BF303" s="81"/>
      <c r="BG303" s="81"/>
      <c r="BH303" s="81"/>
      <c r="BI303" s="81"/>
      <c r="BJ303" s="81"/>
      <c r="BK303" s="81"/>
      <c r="BL303" s="81"/>
      <c r="BM303" s="81"/>
      <c r="BN303" s="81"/>
      <c r="BO303" s="81"/>
      <c r="BP303" s="81"/>
      <c r="BQ303" s="81"/>
      <c r="BR303" s="81"/>
      <c r="BS303" s="81"/>
      <c r="BT303" s="81"/>
      <c r="BU303" s="81"/>
      <c r="BV303" s="81"/>
      <c r="BW303" s="81"/>
      <c r="BX303" s="81"/>
      <c r="BY303" s="81"/>
      <c r="BZ303" s="81"/>
      <c r="CA303" s="81"/>
      <c r="CB303" s="81"/>
      <c r="CC303" s="81"/>
      <c r="CD303" s="81"/>
      <c r="CE303" s="81"/>
      <c r="CF303" s="81"/>
      <c r="CG303" s="81"/>
      <c r="CH303" s="81"/>
      <c r="CI303" s="81"/>
      <c r="CJ303" s="81"/>
      <c r="CK303" s="81"/>
      <c r="CL303" s="81"/>
      <c r="CM303" s="81"/>
      <c r="CN303" s="81"/>
      <c r="CO303" s="81"/>
      <c r="CP303" s="81"/>
      <c r="CQ303" s="81"/>
      <c r="CR303" s="81"/>
      <c r="CS303" s="81"/>
      <c r="CT303" s="81"/>
      <c r="CU303" s="81"/>
      <c r="CV303" s="81"/>
      <c r="CW303" s="81"/>
      <c r="CX303" s="81"/>
      <c r="CY303" s="81"/>
      <c r="CZ303" s="81"/>
      <c r="DA303" s="81"/>
      <c r="DB303" s="81"/>
      <c r="DC303" s="81"/>
      <c r="DD303" s="81"/>
      <c r="DE303" s="81"/>
      <c r="DF303" s="81"/>
      <c r="DG303" s="81"/>
      <c r="DH303" s="81"/>
      <c r="DI303" s="81"/>
      <c r="DJ303" s="81"/>
      <c r="DK303" s="81"/>
      <c r="DL303" s="81"/>
      <c r="DM303" s="81"/>
      <c r="DN303" s="81"/>
      <c r="DO303" s="81"/>
      <c r="DP303" s="81"/>
      <c r="DQ303" s="81"/>
      <c r="DR303" s="81"/>
      <c r="DS303" s="81"/>
      <c r="DT303" s="81"/>
      <c r="DU303" s="81"/>
      <c r="DV303" s="81"/>
      <c r="DW303" s="121"/>
    </row>
    <row r="304" spans="1:127" x14ac:dyDescent="0.25">
      <c r="A304" s="2">
        <f>COUNTIF($D$2:D304,'Reporte de Nomina'!$E$2)</f>
        <v>0</v>
      </c>
      <c r="B304" s="125">
        <f>Lista!A303</f>
        <v>0</v>
      </c>
      <c r="C304" s="125">
        <f>Lista!B303</f>
        <v>0</v>
      </c>
      <c r="D304" s="125">
        <f>Lista!C303</f>
        <v>0</v>
      </c>
      <c r="E304" s="125">
        <f>Lista!D303</f>
        <v>0</v>
      </c>
      <c r="F304" s="125">
        <f>Lista!E303</f>
        <v>0</v>
      </c>
      <c r="G304" s="125">
        <f>Lista!F303</f>
        <v>0</v>
      </c>
      <c r="H304" s="125">
        <f>Lista!G303</f>
        <v>0</v>
      </c>
      <c r="I304" s="125">
        <f>Lista!H303</f>
        <v>0</v>
      </c>
      <c r="J304" s="125">
        <f>Lista!I303</f>
        <v>0</v>
      </c>
      <c r="K304" s="125">
        <f>Lista!J303</f>
        <v>0</v>
      </c>
      <c r="L304" s="125">
        <f>Lista!K303</f>
        <v>0</v>
      </c>
      <c r="M304" s="125">
        <f>Lista!L303</f>
        <v>0</v>
      </c>
      <c r="N304" s="125">
        <f>Lista!M303</f>
        <v>0</v>
      </c>
      <c r="O304" s="125">
        <f>Lista!N303</f>
        <v>0</v>
      </c>
      <c r="P304" s="125">
        <f>Lista!O303</f>
        <v>0</v>
      </c>
      <c r="Q304" s="125">
        <f>Lista!P303</f>
        <v>0</v>
      </c>
      <c r="R304" s="125">
        <f>Lista!Q303</f>
        <v>0</v>
      </c>
      <c r="S304" s="125">
        <f>Lista!R303</f>
        <v>0</v>
      </c>
      <c r="T304" s="81"/>
      <c r="U304" s="81"/>
      <c r="V304" s="81"/>
      <c r="W304" s="81"/>
      <c r="X304" s="81"/>
      <c r="Y304" s="81"/>
      <c r="Z304" s="81"/>
      <c r="AA304" s="81"/>
      <c r="AB304" s="81"/>
      <c r="AC304" s="81"/>
      <c r="AD304" s="81"/>
      <c r="AE304" s="81"/>
      <c r="AF304" s="81"/>
      <c r="AG304" s="81"/>
      <c r="AH304" s="81"/>
      <c r="AI304" s="81"/>
      <c r="AJ304" s="81"/>
      <c r="AK304" s="81"/>
      <c r="AL304" s="81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  <c r="BA304" s="81"/>
      <c r="BB304" s="81"/>
      <c r="BC304" s="81"/>
      <c r="BD304" s="81"/>
      <c r="BE304" s="81"/>
      <c r="BF304" s="81"/>
      <c r="BG304" s="81"/>
      <c r="BH304" s="81"/>
      <c r="BI304" s="81"/>
      <c r="BJ304" s="81"/>
      <c r="BK304" s="81"/>
      <c r="BL304" s="81"/>
      <c r="BM304" s="81"/>
      <c r="BN304" s="81"/>
      <c r="BO304" s="81"/>
      <c r="BP304" s="81"/>
      <c r="BQ304" s="81"/>
      <c r="BR304" s="81"/>
      <c r="BS304" s="81"/>
      <c r="BT304" s="81"/>
      <c r="BU304" s="81"/>
      <c r="BV304" s="81"/>
      <c r="BW304" s="81"/>
      <c r="BX304" s="81"/>
      <c r="BY304" s="81"/>
      <c r="BZ304" s="81"/>
      <c r="CA304" s="81"/>
      <c r="CB304" s="81"/>
      <c r="CC304" s="81"/>
      <c r="CD304" s="81"/>
      <c r="CE304" s="81"/>
      <c r="CF304" s="81"/>
      <c r="CG304" s="81"/>
      <c r="CH304" s="81"/>
      <c r="CI304" s="81"/>
      <c r="CJ304" s="81"/>
      <c r="CK304" s="81"/>
      <c r="CL304" s="81"/>
      <c r="CM304" s="81"/>
      <c r="CN304" s="81"/>
      <c r="CO304" s="81"/>
      <c r="CP304" s="81"/>
      <c r="CQ304" s="81"/>
      <c r="CR304" s="81"/>
      <c r="CS304" s="81"/>
      <c r="CT304" s="81"/>
      <c r="CU304" s="81"/>
      <c r="CV304" s="81"/>
      <c r="CW304" s="81"/>
      <c r="CX304" s="81"/>
      <c r="CY304" s="81"/>
      <c r="CZ304" s="81"/>
      <c r="DA304" s="81"/>
      <c r="DB304" s="81"/>
      <c r="DC304" s="81"/>
      <c r="DD304" s="81"/>
      <c r="DE304" s="81"/>
      <c r="DF304" s="81"/>
      <c r="DG304" s="81"/>
      <c r="DH304" s="81"/>
      <c r="DI304" s="81"/>
      <c r="DJ304" s="81"/>
      <c r="DK304" s="81"/>
      <c r="DL304" s="81"/>
      <c r="DM304" s="81"/>
      <c r="DN304" s="81"/>
      <c r="DO304" s="81"/>
      <c r="DP304" s="81"/>
      <c r="DQ304" s="81"/>
      <c r="DR304" s="81"/>
      <c r="DS304" s="81"/>
      <c r="DT304" s="81"/>
      <c r="DU304" s="81"/>
      <c r="DV304" s="81"/>
      <c r="DW304" s="121"/>
    </row>
    <row r="305" spans="1:127" x14ac:dyDescent="0.25">
      <c r="A305" s="2">
        <f>COUNTIF($D$2:D305,'Reporte de Nomina'!$E$2)</f>
        <v>0</v>
      </c>
      <c r="B305" s="125">
        <f>Lista!A304</f>
        <v>0</v>
      </c>
      <c r="C305" s="125">
        <f>Lista!B304</f>
        <v>0</v>
      </c>
      <c r="D305" s="125">
        <f>Lista!C304</f>
        <v>0</v>
      </c>
      <c r="E305" s="125">
        <f>Lista!D304</f>
        <v>0</v>
      </c>
      <c r="F305" s="125">
        <f>Lista!E304</f>
        <v>0</v>
      </c>
      <c r="G305" s="125">
        <f>Lista!F304</f>
        <v>0</v>
      </c>
      <c r="H305" s="125">
        <f>Lista!G304</f>
        <v>0</v>
      </c>
      <c r="I305" s="125">
        <f>Lista!H304</f>
        <v>0</v>
      </c>
      <c r="J305" s="125">
        <f>Lista!I304</f>
        <v>0</v>
      </c>
      <c r="K305" s="125">
        <f>Lista!J304</f>
        <v>0</v>
      </c>
      <c r="L305" s="125">
        <f>Lista!K304</f>
        <v>0</v>
      </c>
      <c r="M305" s="125">
        <f>Lista!L304</f>
        <v>0</v>
      </c>
      <c r="N305" s="125">
        <f>Lista!M304</f>
        <v>0</v>
      </c>
      <c r="O305" s="125">
        <f>Lista!N304</f>
        <v>0</v>
      </c>
      <c r="P305" s="125">
        <f>Lista!O304</f>
        <v>0</v>
      </c>
      <c r="Q305" s="125">
        <f>Lista!P304</f>
        <v>0</v>
      </c>
      <c r="R305" s="125">
        <f>Lista!Q304</f>
        <v>0</v>
      </c>
      <c r="S305" s="125">
        <f>Lista!R304</f>
        <v>0</v>
      </c>
      <c r="T305" s="81"/>
      <c r="U305" s="81"/>
      <c r="V305" s="81"/>
      <c r="W305" s="81"/>
      <c r="X305" s="81"/>
      <c r="Y305" s="81"/>
      <c r="Z305" s="81"/>
      <c r="AA305" s="81"/>
      <c r="AB305" s="81"/>
      <c r="AC305" s="81"/>
      <c r="AD305" s="81"/>
      <c r="AE305" s="81"/>
      <c r="AF305" s="81"/>
      <c r="AG305" s="81"/>
      <c r="AH305" s="81"/>
      <c r="AI305" s="81"/>
      <c r="AJ305" s="81"/>
      <c r="AK305" s="81"/>
      <c r="AL305" s="81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  <c r="BA305" s="81"/>
      <c r="BB305" s="81"/>
      <c r="BC305" s="81"/>
      <c r="BD305" s="81"/>
      <c r="BE305" s="81"/>
      <c r="BF305" s="81"/>
      <c r="BG305" s="81"/>
      <c r="BH305" s="81"/>
      <c r="BI305" s="81"/>
      <c r="BJ305" s="81"/>
      <c r="BK305" s="81"/>
      <c r="BL305" s="81"/>
      <c r="BM305" s="81"/>
      <c r="BN305" s="81"/>
      <c r="BO305" s="81"/>
      <c r="BP305" s="81"/>
      <c r="BQ305" s="81"/>
      <c r="BR305" s="81"/>
      <c r="BS305" s="81"/>
      <c r="BT305" s="81"/>
      <c r="BU305" s="81"/>
      <c r="BV305" s="81"/>
      <c r="BW305" s="81"/>
      <c r="BX305" s="81"/>
      <c r="BY305" s="81"/>
      <c r="BZ305" s="81"/>
      <c r="CA305" s="81"/>
      <c r="CB305" s="81"/>
      <c r="CC305" s="81"/>
      <c r="CD305" s="81"/>
      <c r="CE305" s="81"/>
      <c r="CF305" s="81"/>
      <c r="CG305" s="81"/>
      <c r="CH305" s="81"/>
      <c r="CI305" s="81"/>
      <c r="CJ305" s="81"/>
      <c r="CK305" s="81"/>
      <c r="CL305" s="81"/>
      <c r="CM305" s="81"/>
      <c r="CN305" s="81"/>
      <c r="CO305" s="81"/>
      <c r="CP305" s="81"/>
      <c r="CQ305" s="81"/>
      <c r="CR305" s="81"/>
      <c r="CS305" s="81"/>
      <c r="CT305" s="81"/>
      <c r="CU305" s="81"/>
      <c r="CV305" s="81"/>
      <c r="CW305" s="81"/>
      <c r="CX305" s="81"/>
      <c r="CY305" s="81"/>
      <c r="CZ305" s="81"/>
      <c r="DA305" s="81"/>
      <c r="DB305" s="81"/>
      <c r="DC305" s="81"/>
      <c r="DD305" s="81"/>
      <c r="DE305" s="81"/>
      <c r="DF305" s="81"/>
      <c r="DG305" s="81"/>
      <c r="DH305" s="81"/>
      <c r="DI305" s="81"/>
      <c r="DJ305" s="81"/>
      <c r="DK305" s="81"/>
      <c r="DL305" s="81"/>
      <c r="DM305" s="81"/>
      <c r="DN305" s="81"/>
      <c r="DO305" s="81"/>
      <c r="DP305" s="81"/>
      <c r="DQ305" s="81"/>
      <c r="DR305" s="81"/>
      <c r="DS305" s="81"/>
      <c r="DT305" s="81"/>
      <c r="DU305" s="81"/>
      <c r="DV305" s="81"/>
      <c r="DW305" s="121"/>
    </row>
    <row r="306" spans="1:127" x14ac:dyDescent="0.25">
      <c r="A306" s="2">
        <f>COUNTIF($D$2:D306,'Reporte de Nomina'!$E$2)</f>
        <v>0</v>
      </c>
      <c r="B306" s="125">
        <f>Lista!A305</f>
        <v>0</v>
      </c>
      <c r="C306" s="125">
        <f>Lista!B305</f>
        <v>0</v>
      </c>
      <c r="D306" s="125">
        <f>Lista!C305</f>
        <v>0</v>
      </c>
      <c r="E306" s="125">
        <f>Lista!D305</f>
        <v>0</v>
      </c>
      <c r="F306" s="125">
        <f>Lista!E305</f>
        <v>0</v>
      </c>
      <c r="G306" s="125">
        <f>Lista!F305</f>
        <v>0</v>
      </c>
      <c r="H306" s="125">
        <f>Lista!G305</f>
        <v>0</v>
      </c>
      <c r="I306" s="125">
        <f>Lista!H305</f>
        <v>0</v>
      </c>
      <c r="J306" s="125">
        <f>Lista!I305</f>
        <v>0</v>
      </c>
      <c r="K306" s="125">
        <f>Lista!J305</f>
        <v>0</v>
      </c>
      <c r="L306" s="125">
        <f>Lista!K305</f>
        <v>0</v>
      </c>
      <c r="M306" s="125">
        <f>Lista!L305</f>
        <v>0</v>
      </c>
      <c r="N306" s="125">
        <f>Lista!M305</f>
        <v>0</v>
      </c>
      <c r="O306" s="125">
        <f>Lista!N305</f>
        <v>0</v>
      </c>
      <c r="P306" s="125">
        <f>Lista!O305</f>
        <v>0</v>
      </c>
      <c r="Q306" s="125">
        <f>Lista!P305</f>
        <v>0</v>
      </c>
      <c r="R306" s="125">
        <f>Lista!Q305</f>
        <v>0</v>
      </c>
      <c r="S306" s="125">
        <f>Lista!R305</f>
        <v>0</v>
      </c>
      <c r="T306" s="81"/>
      <c r="U306" s="81"/>
      <c r="V306" s="81"/>
      <c r="W306" s="81"/>
      <c r="X306" s="81"/>
      <c r="Y306" s="81"/>
      <c r="Z306" s="81"/>
      <c r="AA306" s="81"/>
      <c r="AB306" s="81"/>
      <c r="AC306" s="81"/>
      <c r="AD306" s="81"/>
      <c r="AE306" s="81"/>
      <c r="AF306" s="81"/>
      <c r="AG306" s="81"/>
      <c r="AH306" s="81"/>
      <c r="AI306" s="81"/>
      <c r="AJ306" s="81"/>
      <c r="AK306" s="81"/>
      <c r="AL306" s="81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  <c r="BA306" s="81"/>
      <c r="BB306" s="81"/>
      <c r="BC306" s="81"/>
      <c r="BD306" s="81"/>
      <c r="BE306" s="81"/>
      <c r="BF306" s="81"/>
      <c r="BG306" s="81"/>
      <c r="BH306" s="81"/>
      <c r="BI306" s="81"/>
      <c r="BJ306" s="81"/>
      <c r="BK306" s="81"/>
      <c r="BL306" s="81"/>
      <c r="BM306" s="81"/>
      <c r="BN306" s="81"/>
      <c r="BO306" s="81"/>
      <c r="BP306" s="81"/>
      <c r="BQ306" s="81"/>
      <c r="BR306" s="81"/>
      <c r="BS306" s="81"/>
      <c r="BT306" s="81"/>
      <c r="BU306" s="81"/>
      <c r="BV306" s="81"/>
      <c r="BW306" s="81"/>
      <c r="BX306" s="81"/>
      <c r="BY306" s="81"/>
      <c r="BZ306" s="81"/>
      <c r="CA306" s="81"/>
      <c r="CB306" s="81"/>
      <c r="CC306" s="81"/>
      <c r="CD306" s="81"/>
      <c r="CE306" s="81"/>
      <c r="CF306" s="81"/>
      <c r="CG306" s="81"/>
      <c r="CH306" s="81"/>
      <c r="CI306" s="81"/>
      <c r="CJ306" s="81"/>
      <c r="CK306" s="81"/>
      <c r="CL306" s="81"/>
      <c r="CM306" s="81"/>
      <c r="CN306" s="81"/>
      <c r="CO306" s="81"/>
      <c r="CP306" s="81"/>
      <c r="CQ306" s="81"/>
      <c r="CR306" s="81"/>
      <c r="CS306" s="81"/>
      <c r="CT306" s="81"/>
      <c r="CU306" s="81"/>
      <c r="CV306" s="81"/>
      <c r="CW306" s="81"/>
      <c r="CX306" s="81"/>
      <c r="CY306" s="81"/>
      <c r="CZ306" s="81"/>
      <c r="DA306" s="81"/>
      <c r="DB306" s="81"/>
      <c r="DC306" s="81"/>
      <c r="DD306" s="81"/>
      <c r="DE306" s="81"/>
      <c r="DF306" s="81"/>
      <c r="DG306" s="81"/>
      <c r="DH306" s="81"/>
      <c r="DI306" s="81"/>
      <c r="DJ306" s="81"/>
      <c r="DK306" s="81"/>
      <c r="DL306" s="81"/>
      <c r="DM306" s="81"/>
      <c r="DN306" s="81"/>
      <c r="DO306" s="81"/>
      <c r="DP306" s="81"/>
      <c r="DQ306" s="81"/>
      <c r="DR306" s="81"/>
      <c r="DS306" s="81"/>
      <c r="DT306" s="81"/>
      <c r="DU306" s="81"/>
      <c r="DV306" s="81"/>
      <c r="DW306" s="121"/>
    </row>
    <row r="307" spans="1:127" x14ac:dyDescent="0.25">
      <c r="A307" s="2">
        <f>COUNTIF($D$2:D307,'Reporte de Nomina'!$E$2)</f>
        <v>0</v>
      </c>
      <c r="B307" s="125">
        <f>Lista!A306</f>
        <v>0</v>
      </c>
      <c r="C307" s="125">
        <f>Lista!B306</f>
        <v>0</v>
      </c>
      <c r="D307" s="125">
        <f>Lista!C306</f>
        <v>0</v>
      </c>
      <c r="E307" s="125">
        <f>Lista!D306</f>
        <v>0</v>
      </c>
      <c r="F307" s="125">
        <f>Lista!E306</f>
        <v>0</v>
      </c>
      <c r="G307" s="125">
        <f>Lista!F306</f>
        <v>0</v>
      </c>
      <c r="H307" s="125">
        <f>Lista!G306</f>
        <v>0</v>
      </c>
      <c r="I307" s="125">
        <f>Lista!H306</f>
        <v>0</v>
      </c>
      <c r="J307" s="125">
        <f>Lista!I306</f>
        <v>0</v>
      </c>
      <c r="K307" s="125">
        <f>Lista!J306</f>
        <v>0</v>
      </c>
      <c r="L307" s="125">
        <f>Lista!K306</f>
        <v>0</v>
      </c>
      <c r="M307" s="125">
        <f>Lista!L306</f>
        <v>0</v>
      </c>
      <c r="N307" s="125">
        <f>Lista!M306</f>
        <v>0</v>
      </c>
      <c r="O307" s="125">
        <f>Lista!N306</f>
        <v>0</v>
      </c>
      <c r="P307" s="125">
        <f>Lista!O306</f>
        <v>0</v>
      </c>
      <c r="Q307" s="125">
        <f>Lista!P306</f>
        <v>0</v>
      </c>
      <c r="R307" s="125">
        <f>Lista!Q306</f>
        <v>0</v>
      </c>
      <c r="S307" s="125">
        <f>Lista!R306</f>
        <v>0</v>
      </c>
      <c r="T307" s="81"/>
      <c r="U307" s="81"/>
      <c r="V307" s="81"/>
      <c r="W307" s="81"/>
      <c r="X307" s="81"/>
      <c r="Y307" s="81"/>
      <c r="Z307" s="81"/>
      <c r="AA307" s="81"/>
      <c r="AB307" s="81"/>
      <c r="AC307" s="81"/>
      <c r="AD307" s="81"/>
      <c r="AE307" s="81"/>
      <c r="AF307" s="81"/>
      <c r="AG307" s="81"/>
      <c r="AH307" s="81"/>
      <c r="AI307" s="81"/>
      <c r="AJ307" s="81"/>
      <c r="AK307" s="81"/>
      <c r="AL307" s="81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  <c r="BA307" s="81"/>
      <c r="BB307" s="81"/>
      <c r="BC307" s="81"/>
      <c r="BD307" s="81"/>
      <c r="BE307" s="81"/>
      <c r="BF307" s="81"/>
      <c r="BG307" s="81"/>
      <c r="BH307" s="81"/>
      <c r="BI307" s="81"/>
      <c r="BJ307" s="81"/>
      <c r="BK307" s="81"/>
      <c r="BL307" s="81"/>
      <c r="BM307" s="81"/>
      <c r="BN307" s="81"/>
      <c r="BO307" s="81"/>
      <c r="BP307" s="81"/>
      <c r="BQ307" s="81"/>
      <c r="BR307" s="81"/>
      <c r="BS307" s="81"/>
      <c r="BT307" s="81"/>
      <c r="BU307" s="81"/>
      <c r="BV307" s="81"/>
      <c r="BW307" s="81"/>
      <c r="BX307" s="81"/>
      <c r="BY307" s="81"/>
      <c r="BZ307" s="81"/>
      <c r="CA307" s="81"/>
      <c r="CB307" s="81"/>
      <c r="CC307" s="81"/>
      <c r="CD307" s="81"/>
      <c r="CE307" s="81"/>
      <c r="CF307" s="81"/>
      <c r="CG307" s="81"/>
      <c r="CH307" s="81"/>
      <c r="CI307" s="81"/>
      <c r="CJ307" s="81"/>
      <c r="CK307" s="81"/>
      <c r="CL307" s="81"/>
      <c r="CM307" s="81"/>
      <c r="CN307" s="81"/>
      <c r="CO307" s="81"/>
      <c r="CP307" s="81"/>
      <c r="CQ307" s="81"/>
      <c r="CR307" s="81"/>
      <c r="CS307" s="81"/>
      <c r="CT307" s="81"/>
      <c r="CU307" s="81"/>
      <c r="CV307" s="81"/>
      <c r="CW307" s="81"/>
      <c r="CX307" s="81"/>
      <c r="CY307" s="81"/>
      <c r="CZ307" s="81"/>
      <c r="DA307" s="81"/>
      <c r="DB307" s="81"/>
      <c r="DC307" s="81"/>
      <c r="DD307" s="81"/>
      <c r="DE307" s="81"/>
      <c r="DF307" s="81"/>
      <c r="DG307" s="81"/>
      <c r="DH307" s="81"/>
      <c r="DI307" s="81"/>
      <c r="DJ307" s="81"/>
      <c r="DK307" s="81"/>
      <c r="DL307" s="81"/>
      <c r="DM307" s="81"/>
      <c r="DN307" s="81"/>
      <c r="DO307" s="81"/>
      <c r="DP307" s="81"/>
      <c r="DQ307" s="81"/>
      <c r="DR307" s="81"/>
      <c r="DS307" s="81"/>
      <c r="DT307" s="81"/>
      <c r="DU307" s="81"/>
      <c r="DV307" s="81"/>
      <c r="DW307" s="121"/>
    </row>
    <row r="308" spans="1:127" x14ac:dyDescent="0.25">
      <c r="A308" s="2">
        <f>COUNTIF($D$2:D308,'Reporte de Nomina'!$E$2)</f>
        <v>0</v>
      </c>
      <c r="B308" s="125">
        <f>Lista!A307</f>
        <v>0</v>
      </c>
      <c r="C308" s="125">
        <f>Lista!B307</f>
        <v>0</v>
      </c>
      <c r="D308" s="125">
        <f>Lista!C307</f>
        <v>0</v>
      </c>
      <c r="E308" s="125">
        <f>Lista!D307</f>
        <v>0</v>
      </c>
      <c r="F308" s="125">
        <f>Lista!E307</f>
        <v>0</v>
      </c>
      <c r="G308" s="125">
        <f>Lista!F307</f>
        <v>0</v>
      </c>
      <c r="H308" s="125">
        <f>Lista!G307</f>
        <v>0</v>
      </c>
      <c r="I308" s="125">
        <f>Lista!H307</f>
        <v>0</v>
      </c>
      <c r="J308" s="125">
        <f>Lista!I307</f>
        <v>0</v>
      </c>
      <c r="K308" s="125">
        <f>Lista!J307</f>
        <v>0</v>
      </c>
      <c r="L308" s="125">
        <f>Lista!K307</f>
        <v>0</v>
      </c>
      <c r="M308" s="125">
        <f>Lista!L307</f>
        <v>0</v>
      </c>
      <c r="N308" s="125">
        <f>Lista!M307</f>
        <v>0</v>
      </c>
      <c r="O308" s="125">
        <f>Lista!N307</f>
        <v>0</v>
      </c>
      <c r="P308" s="125">
        <f>Lista!O307</f>
        <v>0</v>
      </c>
      <c r="Q308" s="125">
        <f>Lista!P307</f>
        <v>0</v>
      </c>
      <c r="R308" s="125">
        <f>Lista!Q307</f>
        <v>0</v>
      </c>
      <c r="S308" s="125">
        <f>Lista!R307</f>
        <v>0</v>
      </c>
      <c r="T308" s="81"/>
      <c r="U308" s="81"/>
      <c r="V308" s="81"/>
      <c r="W308" s="81"/>
      <c r="X308" s="81"/>
      <c r="Y308" s="81"/>
      <c r="Z308" s="81"/>
      <c r="AA308" s="81"/>
      <c r="AB308" s="81"/>
      <c r="AC308" s="81"/>
      <c r="AD308" s="81"/>
      <c r="AE308" s="81"/>
      <c r="AF308" s="81"/>
      <c r="AG308" s="81"/>
      <c r="AH308" s="81"/>
      <c r="AI308" s="81"/>
      <c r="AJ308" s="81"/>
      <c r="AK308" s="81"/>
      <c r="AL308" s="81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  <c r="BA308" s="81"/>
      <c r="BB308" s="81"/>
      <c r="BC308" s="81"/>
      <c r="BD308" s="81"/>
      <c r="BE308" s="81"/>
      <c r="BF308" s="81"/>
      <c r="BG308" s="81"/>
      <c r="BH308" s="81"/>
      <c r="BI308" s="81"/>
      <c r="BJ308" s="81"/>
      <c r="BK308" s="81"/>
      <c r="BL308" s="81"/>
      <c r="BM308" s="81"/>
      <c r="BN308" s="81"/>
      <c r="BO308" s="81"/>
      <c r="BP308" s="81"/>
      <c r="BQ308" s="81"/>
      <c r="BR308" s="81"/>
      <c r="BS308" s="81"/>
      <c r="BT308" s="81"/>
      <c r="BU308" s="81"/>
      <c r="BV308" s="81"/>
      <c r="BW308" s="81"/>
      <c r="BX308" s="81"/>
      <c r="BY308" s="81"/>
      <c r="BZ308" s="81"/>
      <c r="CA308" s="81"/>
      <c r="CB308" s="81"/>
      <c r="CC308" s="81"/>
      <c r="CD308" s="81"/>
      <c r="CE308" s="81"/>
      <c r="CF308" s="81"/>
      <c r="CG308" s="81"/>
      <c r="CH308" s="81"/>
      <c r="CI308" s="81"/>
      <c r="CJ308" s="81"/>
      <c r="CK308" s="81"/>
      <c r="CL308" s="81"/>
      <c r="CM308" s="81"/>
      <c r="CN308" s="81"/>
      <c r="CO308" s="81"/>
      <c r="CP308" s="81"/>
      <c r="CQ308" s="81"/>
      <c r="CR308" s="81"/>
      <c r="CS308" s="81"/>
      <c r="CT308" s="81"/>
      <c r="CU308" s="81"/>
      <c r="CV308" s="81"/>
      <c r="CW308" s="81"/>
      <c r="CX308" s="81"/>
      <c r="CY308" s="81"/>
      <c r="CZ308" s="81"/>
      <c r="DA308" s="81"/>
      <c r="DB308" s="81"/>
      <c r="DC308" s="81"/>
      <c r="DD308" s="81"/>
      <c r="DE308" s="81"/>
      <c r="DF308" s="81"/>
      <c r="DG308" s="81"/>
      <c r="DH308" s="81"/>
      <c r="DI308" s="81"/>
      <c r="DJ308" s="81"/>
      <c r="DK308" s="81"/>
      <c r="DL308" s="81"/>
      <c r="DM308" s="81"/>
      <c r="DN308" s="81"/>
      <c r="DO308" s="81"/>
      <c r="DP308" s="81"/>
      <c r="DQ308" s="81"/>
      <c r="DR308" s="81"/>
      <c r="DS308" s="81"/>
      <c r="DT308" s="81"/>
      <c r="DU308" s="81"/>
      <c r="DV308" s="81"/>
      <c r="DW308" s="121"/>
    </row>
    <row r="309" spans="1:127" x14ac:dyDescent="0.25">
      <c r="A309" s="2">
        <f>COUNTIF($D$2:D309,'Reporte de Nomina'!$E$2)</f>
        <v>0</v>
      </c>
      <c r="B309" s="125">
        <f>Lista!A308</f>
        <v>0</v>
      </c>
      <c r="C309" s="125">
        <f>Lista!B308</f>
        <v>0</v>
      </c>
      <c r="D309" s="125">
        <f>Lista!C308</f>
        <v>0</v>
      </c>
      <c r="E309" s="125">
        <f>Lista!D308</f>
        <v>0</v>
      </c>
      <c r="F309" s="125">
        <f>Lista!E308</f>
        <v>0</v>
      </c>
      <c r="G309" s="125">
        <f>Lista!F308</f>
        <v>0</v>
      </c>
      <c r="H309" s="125">
        <f>Lista!G308</f>
        <v>0</v>
      </c>
      <c r="I309" s="125">
        <f>Lista!H308</f>
        <v>0</v>
      </c>
      <c r="J309" s="125">
        <f>Lista!I308</f>
        <v>0</v>
      </c>
      <c r="K309" s="125">
        <f>Lista!J308</f>
        <v>0</v>
      </c>
      <c r="L309" s="125">
        <f>Lista!K308</f>
        <v>0</v>
      </c>
      <c r="M309" s="125">
        <f>Lista!L308</f>
        <v>0</v>
      </c>
      <c r="N309" s="125">
        <f>Lista!M308</f>
        <v>0</v>
      </c>
      <c r="O309" s="125">
        <f>Lista!N308</f>
        <v>0</v>
      </c>
      <c r="P309" s="125">
        <f>Lista!O308</f>
        <v>0</v>
      </c>
      <c r="Q309" s="125">
        <f>Lista!P308</f>
        <v>0</v>
      </c>
      <c r="R309" s="125">
        <f>Lista!Q308</f>
        <v>0</v>
      </c>
      <c r="S309" s="125">
        <f>Lista!R308</f>
        <v>0</v>
      </c>
      <c r="T309" s="81"/>
      <c r="U309" s="81"/>
      <c r="V309" s="81"/>
      <c r="W309" s="81"/>
      <c r="X309" s="81"/>
      <c r="Y309" s="81"/>
      <c r="Z309" s="81"/>
      <c r="AA309" s="81"/>
      <c r="AB309" s="81"/>
      <c r="AC309" s="81"/>
      <c r="AD309" s="81"/>
      <c r="AE309" s="81"/>
      <c r="AF309" s="81"/>
      <c r="AG309" s="81"/>
      <c r="AH309" s="81"/>
      <c r="AI309" s="81"/>
      <c r="AJ309" s="81"/>
      <c r="AK309" s="81"/>
      <c r="AL309" s="81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  <c r="BA309" s="81"/>
      <c r="BB309" s="81"/>
      <c r="BC309" s="81"/>
      <c r="BD309" s="81"/>
      <c r="BE309" s="81"/>
      <c r="BF309" s="81"/>
      <c r="BG309" s="81"/>
      <c r="BH309" s="81"/>
      <c r="BI309" s="81"/>
      <c r="BJ309" s="81"/>
      <c r="BK309" s="81"/>
      <c r="BL309" s="81"/>
      <c r="BM309" s="81"/>
      <c r="BN309" s="81"/>
      <c r="BO309" s="81"/>
      <c r="BP309" s="81"/>
      <c r="BQ309" s="81"/>
      <c r="BR309" s="81"/>
      <c r="BS309" s="81"/>
      <c r="BT309" s="81"/>
      <c r="BU309" s="81"/>
      <c r="BV309" s="81"/>
      <c r="BW309" s="81"/>
      <c r="BX309" s="81"/>
      <c r="BY309" s="81"/>
      <c r="BZ309" s="81"/>
      <c r="CA309" s="81"/>
      <c r="CB309" s="81"/>
      <c r="CC309" s="81"/>
      <c r="CD309" s="81"/>
      <c r="CE309" s="81"/>
      <c r="CF309" s="81"/>
      <c r="CG309" s="81"/>
      <c r="CH309" s="81"/>
      <c r="CI309" s="81"/>
      <c r="CJ309" s="81"/>
      <c r="CK309" s="81"/>
      <c r="CL309" s="81"/>
      <c r="CM309" s="81"/>
      <c r="CN309" s="81"/>
      <c r="CO309" s="81"/>
      <c r="CP309" s="81"/>
      <c r="CQ309" s="81"/>
      <c r="CR309" s="81"/>
      <c r="CS309" s="81"/>
      <c r="CT309" s="81"/>
      <c r="CU309" s="81"/>
      <c r="CV309" s="81"/>
      <c r="CW309" s="81"/>
      <c r="CX309" s="81"/>
      <c r="CY309" s="81"/>
      <c r="CZ309" s="81"/>
      <c r="DA309" s="81"/>
      <c r="DB309" s="81"/>
      <c r="DC309" s="81"/>
      <c r="DD309" s="81"/>
      <c r="DE309" s="81"/>
      <c r="DF309" s="81"/>
      <c r="DG309" s="81"/>
      <c r="DH309" s="81"/>
      <c r="DI309" s="81"/>
      <c r="DJ309" s="81"/>
      <c r="DK309" s="81"/>
      <c r="DL309" s="81"/>
      <c r="DM309" s="81"/>
      <c r="DN309" s="81"/>
      <c r="DO309" s="81"/>
      <c r="DP309" s="81"/>
      <c r="DQ309" s="81"/>
      <c r="DR309" s="81"/>
      <c r="DS309" s="81"/>
      <c r="DT309" s="81"/>
      <c r="DU309" s="81"/>
      <c r="DV309" s="81"/>
      <c r="DW309" s="121"/>
    </row>
    <row r="310" spans="1:127" x14ac:dyDescent="0.25">
      <c r="A310" s="2">
        <f>COUNTIF($D$2:D310,'Reporte de Nomina'!$E$2)</f>
        <v>0</v>
      </c>
      <c r="B310" s="125">
        <f>Lista!A309</f>
        <v>0</v>
      </c>
      <c r="C310" s="125">
        <f>Lista!B309</f>
        <v>0</v>
      </c>
      <c r="D310" s="125">
        <f>Lista!C309</f>
        <v>0</v>
      </c>
      <c r="E310" s="125">
        <f>Lista!D309</f>
        <v>0</v>
      </c>
      <c r="F310" s="125">
        <f>Lista!E309</f>
        <v>0</v>
      </c>
      <c r="G310" s="125">
        <f>Lista!F309</f>
        <v>0</v>
      </c>
      <c r="H310" s="125">
        <f>Lista!G309</f>
        <v>0</v>
      </c>
      <c r="I310" s="125">
        <f>Lista!H309</f>
        <v>0</v>
      </c>
      <c r="J310" s="125">
        <f>Lista!I309</f>
        <v>0</v>
      </c>
      <c r="K310" s="125">
        <f>Lista!J309</f>
        <v>0</v>
      </c>
      <c r="L310" s="125">
        <f>Lista!K309</f>
        <v>0</v>
      </c>
      <c r="M310" s="125">
        <f>Lista!L309</f>
        <v>0</v>
      </c>
      <c r="N310" s="125">
        <f>Lista!M309</f>
        <v>0</v>
      </c>
      <c r="O310" s="125">
        <f>Lista!N309</f>
        <v>0</v>
      </c>
      <c r="P310" s="125">
        <f>Lista!O309</f>
        <v>0</v>
      </c>
      <c r="Q310" s="125">
        <f>Lista!P309</f>
        <v>0</v>
      </c>
      <c r="R310" s="125">
        <f>Lista!Q309</f>
        <v>0</v>
      </c>
      <c r="S310" s="125">
        <f>Lista!R309</f>
        <v>0</v>
      </c>
      <c r="T310" s="81"/>
      <c r="U310" s="81"/>
      <c r="V310" s="81"/>
      <c r="W310" s="81"/>
      <c r="X310" s="81"/>
      <c r="Y310" s="81"/>
      <c r="Z310" s="81"/>
      <c r="AA310" s="81"/>
      <c r="AB310" s="81"/>
      <c r="AC310" s="81"/>
      <c r="AD310" s="81"/>
      <c r="AE310" s="81"/>
      <c r="AF310" s="81"/>
      <c r="AG310" s="81"/>
      <c r="AH310" s="81"/>
      <c r="AI310" s="81"/>
      <c r="AJ310" s="81"/>
      <c r="AK310" s="81"/>
      <c r="AL310" s="81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  <c r="BA310" s="81"/>
      <c r="BB310" s="81"/>
      <c r="BC310" s="81"/>
      <c r="BD310" s="81"/>
      <c r="BE310" s="81"/>
      <c r="BF310" s="81"/>
      <c r="BG310" s="81"/>
      <c r="BH310" s="81"/>
      <c r="BI310" s="81"/>
      <c r="BJ310" s="81"/>
      <c r="BK310" s="81"/>
      <c r="BL310" s="81"/>
      <c r="BM310" s="81"/>
      <c r="BN310" s="81"/>
      <c r="BO310" s="81"/>
      <c r="BP310" s="81"/>
      <c r="BQ310" s="81"/>
      <c r="BR310" s="81"/>
      <c r="BS310" s="81"/>
      <c r="BT310" s="81"/>
      <c r="BU310" s="81"/>
      <c r="BV310" s="81"/>
      <c r="BW310" s="81"/>
      <c r="BX310" s="81"/>
      <c r="BY310" s="81"/>
      <c r="BZ310" s="81"/>
      <c r="CA310" s="81"/>
      <c r="CB310" s="81"/>
      <c r="CC310" s="81"/>
      <c r="CD310" s="81"/>
      <c r="CE310" s="81"/>
      <c r="CF310" s="81"/>
      <c r="CG310" s="81"/>
      <c r="CH310" s="81"/>
      <c r="CI310" s="81"/>
      <c r="CJ310" s="81"/>
      <c r="CK310" s="81"/>
      <c r="CL310" s="81"/>
      <c r="CM310" s="81"/>
      <c r="CN310" s="81"/>
      <c r="CO310" s="81"/>
      <c r="CP310" s="81"/>
      <c r="CQ310" s="81"/>
      <c r="CR310" s="81"/>
      <c r="CS310" s="81"/>
      <c r="CT310" s="81"/>
      <c r="CU310" s="81"/>
      <c r="CV310" s="81"/>
      <c r="CW310" s="81"/>
      <c r="CX310" s="81"/>
      <c r="CY310" s="81"/>
      <c r="CZ310" s="81"/>
      <c r="DA310" s="81"/>
      <c r="DB310" s="81"/>
      <c r="DC310" s="81"/>
      <c r="DD310" s="81"/>
      <c r="DE310" s="81"/>
      <c r="DF310" s="81"/>
      <c r="DG310" s="81"/>
      <c r="DH310" s="81"/>
      <c r="DI310" s="81"/>
      <c r="DJ310" s="81"/>
      <c r="DK310" s="81"/>
      <c r="DL310" s="81"/>
      <c r="DM310" s="81"/>
      <c r="DN310" s="81"/>
      <c r="DO310" s="81"/>
      <c r="DP310" s="81"/>
      <c r="DQ310" s="81"/>
      <c r="DR310" s="81"/>
      <c r="DS310" s="81"/>
      <c r="DT310" s="81"/>
      <c r="DU310" s="81"/>
      <c r="DV310" s="81"/>
      <c r="DW310" s="121"/>
    </row>
    <row r="311" spans="1:127" x14ac:dyDescent="0.25">
      <c r="A311" s="2">
        <f>COUNTIF($D$2:D311,'Reporte de Nomina'!$E$2)</f>
        <v>0</v>
      </c>
      <c r="B311" s="125">
        <f>Lista!A310</f>
        <v>0</v>
      </c>
      <c r="C311" s="125">
        <f>Lista!B310</f>
        <v>0</v>
      </c>
      <c r="D311" s="125">
        <f>Lista!C310</f>
        <v>0</v>
      </c>
      <c r="E311" s="125">
        <f>Lista!D310</f>
        <v>0</v>
      </c>
      <c r="F311" s="125">
        <f>Lista!E310</f>
        <v>0</v>
      </c>
      <c r="G311" s="125">
        <f>Lista!F310</f>
        <v>0</v>
      </c>
      <c r="H311" s="125">
        <f>Lista!G310</f>
        <v>0</v>
      </c>
      <c r="I311" s="125">
        <f>Lista!H310</f>
        <v>0</v>
      </c>
      <c r="J311" s="125">
        <f>Lista!I310</f>
        <v>0</v>
      </c>
      <c r="K311" s="125">
        <f>Lista!J310</f>
        <v>0</v>
      </c>
      <c r="L311" s="125">
        <f>Lista!K310</f>
        <v>0</v>
      </c>
      <c r="M311" s="125">
        <f>Lista!L310</f>
        <v>0</v>
      </c>
      <c r="N311" s="125">
        <f>Lista!M310</f>
        <v>0</v>
      </c>
      <c r="O311" s="125">
        <f>Lista!N310</f>
        <v>0</v>
      </c>
      <c r="P311" s="125">
        <f>Lista!O310</f>
        <v>0</v>
      </c>
      <c r="Q311" s="125">
        <f>Lista!P310</f>
        <v>0</v>
      </c>
      <c r="R311" s="125">
        <f>Lista!Q310</f>
        <v>0</v>
      </c>
      <c r="S311" s="125">
        <f>Lista!R310</f>
        <v>0</v>
      </c>
      <c r="T311" s="81"/>
      <c r="U311" s="81"/>
      <c r="V311" s="81"/>
      <c r="W311" s="81"/>
      <c r="X311" s="81"/>
      <c r="Y311" s="81"/>
      <c r="Z311" s="81"/>
      <c r="AA311" s="81"/>
      <c r="AB311" s="81"/>
      <c r="AC311" s="81"/>
      <c r="AD311" s="81"/>
      <c r="AE311" s="81"/>
      <c r="AF311" s="81"/>
      <c r="AG311" s="81"/>
      <c r="AH311" s="81"/>
      <c r="AI311" s="81"/>
      <c r="AJ311" s="81"/>
      <c r="AK311" s="81"/>
      <c r="AL311" s="81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  <c r="BA311" s="81"/>
      <c r="BB311" s="81"/>
      <c r="BC311" s="81"/>
      <c r="BD311" s="81"/>
      <c r="BE311" s="81"/>
      <c r="BF311" s="81"/>
      <c r="BG311" s="81"/>
      <c r="BH311" s="81"/>
      <c r="BI311" s="81"/>
      <c r="BJ311" s="81"/>
      <c r="BK311" s="81"/>
      <c r="BL311" s="81"/>
      <c r="BM311" s="81"/>
      <c r="BN311" s="81"/>
      <c r="BO311" s="81"/>
      <c r="BP311" s="81"/>
      <c r="BQ311" s="81"/>
      <c r="BR311" s="81"/>
      <c r="BS311" s="81"/>
      <c r="BT311" s="81"/>
      <c r="BU311" s="81"/>
      <c r="BV311" s="81"/>
      <c r="BW311" s="81"/>
      <c r="BX311" s="81"/>
      <c r="BY311" s="81"/>
      <c r="BZ311" s="81"/>
      <c r="CA311" s="81"/>
      <c r="CB311" s="81"/>
      <c r="CC311" s="81"/>
      <c r="CD311" s="81"/>
      <c r="CE311" s="81"/>
      <c r="CF311" s="81"/>
      <c r="CG311" s="81"/>
      <c r="CH311" s="81"/>
      <c r="CI311" s="81"/>
      <c r="CJ311" s="81"/>
      <c r="CK311" s="81"/>
      <c r="CL311" s="81"/>
      <c r="CM311" s="81"/>
      <c r="CN311" s="81"/>
      <c r="CO311" s="81"/>
      <c r="CP311" s="81"/>
      <c r="CQ311" s="81"/>
      <c r="CR311" s="81"/>
      <c r="CS311" s="81"/>
      <c r="CT311" s="81"/>
      <c r="CU311" s="81"/>
      <c r="CV311" s="81"/>
      <c r="CW311" s="81"/>
      <c r="CX311" s="81"/>
      <c r="CY311" s="81"/>
      <c r="CZ311" s="81"/>
      <c r="DA311" s="81"/>
      <c r="DB311" s="81"/>
      <c r="DC311" s="81"/>
      <c r="DD311" s="81"/>
      <c r="DE311" s="81"/>
      <c r="DF311" s="81"/>
      <c r="DG311" s="81"/>
      <c r="DH311" s="81"/>
      <c r="DI311" s="81"/>
      <c r="DJ311" s="81"/>
      <c r="DK311" s="81"/>
      <c r="DL311" s="81"/>
      <c r="DM311" s="81"/>
      <c r="DN311" s="81"/>
      <c r="DO311" s="81"/>
      <c r="DP311" s="81"/>
      <c r="DQ311" s="81"/>
      <c r="DR311" s="81"/>
      <c r="DS311" s="81"/>
      <c r="DT311" s="81"/>
      <c r="DU311" s="81"/>
      <c r="DV311" s="81"/>
      <c r="DW311" s="121"/>
    </row>
    <row r="312" spans="1:127" x14ac:dyDescent="0.25">
      <c r="A312" s="2">
        <f>COUNTIF($D$2:D312,'Reporte de Nomina'!$E$2)</f>
        <v>0</v>
      </c>
      <c r="B312" s="125">
        <f>Lista!A311</f>
        <v>0</v>
      </c>
      <c r="C312" s="125">
        <f>Lista!B311</f>
        <v>0</v>
      </c>
      <c r="D312" s="125">
        <f>Lista!C311</f>
        <v>0</v>
      </c>
      <c r="E312" s="125">
        <f>Lista!D311</f>
        <v>0</v>
      </c>
      <c r="F312" s="125">
        <f>Lista!E311</f>
        <v>0</v>
      </c>
      <c r="G312" s="125">
        <f>Lista!F311</f>
        <v>0</v>
      </c>
      <c r="H312" s="125">
        <f>Lista!G311</f>
        <v>0</v>
      </c>
      <c r="I312" s="125">
        <f>Lista!H311</f>
        <v>0</v>
      </c>
      <c r="J312" s="125">
        <f>Lista!I311</f>
        <v>0</v>
      </c>
      <c r="K312" s="125">
        <f>Lista!J311</f>
        <v>0</v>
      </c>
      <c r="L312" s="125">
        <f>Lista!K311</f>
        <v>0</v>
      </c>
      <c r="M312" s="125">
        <f>Lista!L311</f>
        <v>0</v>
      </c>
      <c r="N312" s="125">
        <f>Lista!M311</f>
        <v>0</v>
      </c>
      <c r="O312" s="125">
        <f>Lista!N311</f>
        <v>0</v>
      </c>
      <c r="P312" s="125">
        <f>Lista!O311</f>
        <v>0</v>
      </c>
      <c r="Q312" s="125">
        <f>Lista!P311</f>
        <v>0</v>
      </c>
      <c r="R312" s="125">
        <f>Lista!Q311</f>
        <v>0</v>
      </c>
      <c r="S312" s="125">
        <f>Lista!R311</f>
        <v>0</v>
      </c>
      <c r="T312" s="81"/>
      <c r="U312" s="81"/>
      <c r="V312" s="81"/>
      <c r="W312" s="81"/>
      <c r="X312" s="81"/>
      <c r="Y312" s="81"/>
      <c r="Z312" s="81"/>
      <c r="AA312" s="81"/>
      <c r="AB312" s="81"/>
      <c r="AC312" s="81"/>
      <c r="AD312" s="81"/>
      <c r="AE312" s="81"/>
      <c r="AF312" s="81"/>
      <c r="AG312" s="81"/>
      <c r="AH312" s="81"/>
      <c r="AI312" s="81"/>
      <c r="AJ312" s="81"/>
      <c r="AK312" s="81"/>
      <c r="AL312" s="81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  <c r="BA312" s="81"/>
      <c r="BB312" s="81"/>
      <c r="BC312" s="81"/>
      <c r="BD312" s="81"/>
      <c r="BE312" s="81"/>
      <c r="BF312" s="81"/>
      <c r="BG312" s="81"/>
      <c r="BH312" s="81"/>
      <c r="BI312" s="81"/>
      <c r="BJ312" s="81"/>
      <c r="BK312" s="81"/>
      <c r="BL312" s="81"/>
      <c r="BM312" s="81"/>
      <c r="BN312" s="81"/>
      <c r="BO312" s="81"/>
      <c r="BP312" s="81"/>
      <c r="BQ312" s="81"/>
      <c r="BR312" s="81"/>
      <c r="BS312" s="81"/>
      <c r="BT312" s="81"/>
      <c r="BU312" s="81"/>
      <c r="BV312" s="81"/>
      <c r="BW312" s="81"/>
      <c r="BX312" s="81"/>
      <c r="BY312" s="81"/>
      <c r="BZ312" s="81"/>
      <c r="CA312" s="81"/>
      <c r="CB312" s="81"/>
      <c r="CC312" s="81"/>
      <c r="CD312" s="81"/>
      <c r="CE312" s="81"/>
      <c r="CF312" s="81"/>
      <c r="CG312" s="81"/>
      <c r="CH312" s="81"/>
      <c r="CI312" s="81"/>
      <c r="CJ312" s="81"/>
      <c r="CK312" s="81"/>
      <c r="CL312" s="81"/>
      <c r="CM312" s="81"/>
      <c r="CN312" s="81"/>
      <c r="CO312" s="81"/>
      <c r="CP312" s="81"/>
      <c r="CQ312" s="81"/>
      <c r="CR312" s="81"/>
      <c r="CS312" s="81"/>
      <c r="CT312" s="81"/>
      <c r="CU312" s="81"/>
      <c r="CV312" s="81"/>
      <c r="CW312" s="81"/>
      <c r="CX312" s="81"/>
      <c r="CY312" s="81"/>
      <c r="CZ312" s="81"/>
      <c r="DA312" s="81"/>
      <c r="DB312" s="81"/>
      <c r="DC312" s="81"/>
      <c r="DD312" s="81"/>
      <c r="DE312" s="81"/>
      <c r="DF312" s="81"/>
      <c r="DG312" s="81"/>
      <c r="DH312" s="81"/>
      <c r="DI312" s="81"/>
      <c r="DJ312" s="81"/>
      <c r="DK312" s="81"/>
      <c r="DL312" s="81"/>
      <c r="DM312" s="81"/>
      <c r="DN312" s="81"/>
      <c r="DO312" s="81"/>
      <c r="DP312" s="81"/>
      <c r="DQ312" s="81"/>
      <c r="DR312" s="81"/>
      <c r="DS312" s="81"/>
      <c r="DT312" s="81"/>
      <c r="DU312" s="81"/>
      <c r="DV312" s="81"/>
      <c r="DW312" s="121"/>
    </row>
    <row r="313" spans="1:127" x14ac:dyDescent="0.25">
      <c r="A313" s="2">
        <f>COUNTIF($D$2:D313,'Reporte de Nomina'!$E$2)</f>
        <v>0</v>
      </c>
      <c r="B313" s="125">
        <f>Lista!A312</f>
        <v>0</v>
      </c>
      <c r="C313" s="125">
        <f>Lista!B312</f>
        <v>0</v>
      </c>
      <c r="D313" s="125">
        <f>Lista!C312</f>
        <v>0</v>
      </c>
      <c r="E313" s="125">
        <f>Lista!D312</f>
        <v>0</v>
      </c>
      <c r="F313" s="125">
        <f>Lista!E312</f>
        <v>0</v>
      </c>
      <c r="G313" s="125">
        <f>Lista!F312</f>
        <v>0</v>
      </c>
      <c r="H313" s="125">
        <f>Lista!G312</f>
        <v>0</v>
      </c>
      <c r="I313" s="125">
        <f>Lista!H312</f>
        <v>0</v>
      </c>
      <c r="J313" s="125">
        <f>Lista!I312</f>
        <v>0</v>
      </c>
      <c r="K313" s="125">
        <f>Lista!J312</f>
        <v>0</v>
      </c>
      <c r="L313" s="125">
        <f>Lista!K312</f>
        <v>0</v>
      </c>
      <c r="M313" s="125">
        <f>Lista!L312</f>
        <v>0</v>
      </c>
      <c r="N313" s="125">
        <f>Lista!M312</f>
        <v>0</v>
      </c>
      <c r="O313" s="125">
        <f>Lista!N312</f>
        <v>0</v>
      </c>
      <c r="P313" s="125">
        <f>Lista!O312</f>
        <v>0</v>
      </c>
      <c r="Q313" s="125">
        <f>Lista!P312</f>
        <v>0</v>
      </c>
      <c r="R313" s="125">
        <f>Lista!Q312</f>
        <v>0</v>
      </c>
      <c r="S313" s="125">
        <f>Lista!R312</f>
        <v>0</v>
      </c>
      <c r="T313" s="81"/>
      <c r="U313" s="81"/>
      <c r="V313" s="81"/>
      <c r="W313" s="81"/>
      <c r="X313" s="81"/>
      <c r="Y313" s="81"/>
      <c r="Z313" s="81"/>
      <c r="AA313" s="81"/>
      <c r="AB313" s="81"/>
      <c r="AC313" s="81"/>
      <c r="AD313" s="81"/>
      <c r="AE313" s="81"/>
      <c r="AF313" s="81"/>
      <c r="AG313" s="81"/>
      <c r="AH313" s="81"/>
      <c r="AI313" s="81"/>
      <c r="AJ313" s="81"/>
      <c r="AK313" s="81"/>
      <c r="AL313" s="81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  <c r="BA313" s="81"/>
      <c r="BB313" s="81"/>
      <c r="BC313" s="81"/>
      <c r="BD313" s="81"/>
      <c r="BE313" s="81"/>
      <c r="BF313" s="81"/>
      <c r="BG313" s="81"/>
      <c r="BH313" s="81"/>
      <c r="BI313" s="81"/>
      <c r="BJ313" s="81"/>
      <c r="BK313" s="81"/>
      <c r="BL313" s="81"/>
      <c r="BM313" s="81"/>
      <c r="BN313" s="81"/>
      <c r="BO313" s="81"/>
      <c r="BP313" s="81"/>
      <c r="BQ313" s="81"/>
      <c r="BR313" s="81"/>
      <c r="BS313" s="81"/>
      <c r="BT313" s="81"/>
      <c r="BU313" s="81"/>
      <c r="BV313" s="81"/>
      <c r="BW313" s="81"/>
      <c r="BX313" s="81"/>
      <c r="BY313" s="81"/>
      <c r="BZ313" s="81"/>
      <c r="CA313" s="81"/>
      <c r="CB313" s="81"/>
      <c r="CC313" s="81"/>
      <c r="CD313" s="81"/>
      <c r="CE313" s="81"/>
      <c r="CF313" s="81"/>
      <c r="CG313" s="81"/>
      <c r="CH313" s="81"/>
      <c r="CI313" s="81"/>
      <c r="CJ313" s="81"/>
      <c r="CK313" s="81"/>
      <c r="CL313" s="81"/>
      <c r="CM313" s="81"/>
      <c r="CN313" s="81"/>
      <c r="CO313" s="81"/>
      <c r="CP313" s="81"/>
      <c r="CQ313" s="81"/>
      <c r="CR313" s="81"/>
      <c r="CS313" s="81"/>
      <c r="CT313" s="81"/>
      <c r="CU313" s="81"/>
      <c r="CV313" s="81"/>
      <c r="CW313" s="81"/>
      <c r="CX313" s="81"/>
      <c r="CY313" s="81"/>
      <c r="CZ313" s="81"/>
      <c r="DA313" s="81"/>
      <c r="DB313" s="81"/>
      <c r="DC313" s="81"/>
      <c r="DD313" s="81"/>
      <c r="DE313" s="81"/>
      <c r="DF313" s="81"/>
      <c r="DG313" s="81"/>
      <c r="DH313" s="81"/>
      <c r="DI313" s="81"/>
      <c r="DJ313" s="81"/>
      <c r="DK313" s="81"/>
      <c r="DL313" s="81"/>
      <c r="DM313" s="81"/>
      <c r="DN313" s="81"/>
      <c r="DO313" s="81"/>
      <c r="DP313" s="81"/>
      <c r="DQ313" s="81"/>
      <c r="DR313" s="81"/>
      <c r="DS313" s="81"/>
      <c r="DT313" s="81"/>
      <c r="DU313" s="81"/>
      <c r="DV313" s="81"/>
      <c r="DW313" s="121"/>
    </row>
    <row r="314" spans="1:127" x14ac:dyDescent="0.25">
      <c r="A314" s="2">
        <f>COUNTIF($D$2:D314,'Reporte de Nomina'!$E$2)</f>
        <v>0</v>
      </c>
      <c r="B314" s="125">
        <f>Lista!A313</f>
        <v>0</v>
      </c>
      <c r="C314" s="125">
        <f>Lista!B313</f>
        <v>0</v>
      </c>
      <c r="D314" s="125">
        <f>Lista!C313</f>
        <v>0</v>
      </c>
      <c r="E314" s="125">
        <f>Lista!D313</f>
        <v>0</v>
      </c>
      <c r="F314" s="125">
        <f>Lista!E313</f>
        <v>0</v>
      </c>
      <c r="G314" s="125">
        <f>Lista!F313</f>
        <v>0</v>
      </c>
      <c r="H314" s="125">
        <f>Lista!G313</f>
        <v>0</v>
      </c>
      <c r="I314" s="125">
        <f>Lista!H313</f>
        <v>0</v>
      </c>
      <c r="J314" s="125">
        <f>Lista!I313</f>
        <v>0</v>
      </c>
      <c r="K314" s="125">
        <f>Lista!J313</f>
        <v>0</v>
      </c>
      <c r="L314" s="125">
        <f>Lista!K313</f>
        <v>0</v>
      </c>
      <c r="M314" s="125">
        <f>Lista!L313</f>
        <v>0</v>
      </c>
      <c r="N314" s="125">
        <f>Lista!M313</f>
        <v>0</v>
      </c>
      <c r="O314" s="125">
        <f>Lista!N313</f>
        <v>0</v>
      </c>
      <c r="P314" s="125">
        <f>Lista!O313</f>
        <v>0</v>
      </c>
      <c r="Q314" s="125">
        <f>Lista!P313</f>
        <v>0</v>
      </c>
      <c r="R314" s="125">
        <f>Lista!Q313</f>
        <v>0</v>
      </c>
      <c r="S314" s="125">
        <f>Lista!R313</f>
        <v>0</v>
      </c>
      <c r="T314" s="81"/>
      <c r="U314" s="81"/>
      <c r="V314" s="81"/>
      <c r="W314" s="81"/>
      <c r="X314" s="81"/>
      <c r="Y314" s="81"/>
      <c r="Z314" s="81"/>
      <c r="AA314" s="81"/>
      <c r="AB314" s="81"/>
      <c r="AC314" s="81"/>
      <c r="AD314" s="81"/>
      <c r="AE314" s="81"/>
      <c r="AF314" s="81"/>
      <c r="AG314" s="81"/>
      <c r="AH314" s="81"/>
      <c r="AI314" s="81"/>
      <c r="AJ314" s="81"/>
      <c r="AK314" s="81"/>
      <c r="AL314" s="81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  <c r="BA314" s="81"/>
      <c r="BB314" s="81"/>
      <c r="BC314" s="81"/>
      <c r="BD314" s="81"/>
      <c r="BE314" s="81"/>
      <c r="BF314" s="81"/>
      <c r="BG314" s="81"/>
      <c r="BH314" s="81"/>
      <c r="BI314" s="81"/>
      <c r="BJ314" s="81"/>
      <c r="BK314" s="81"/>
      <c r="BL314" s="81"/>
      <c r="BM314" s="81"/>
      <c r="BN314" s="81"/>
      <c r="BO314" s="81"/>
      <c r="BP314" s="81"/>
      <c r="BQ314" s="81"/>
      <c r="BR314" s="81"/>
      <c r="BS314" s="81"/>
      <c r="BT314" s="81"/>
      <c r="BU314" s="81"/>
      <c r="BV314" s="81"/>
      <c r="BW314" s="81"/>
      <c r="BX314" s="81"/>
      <c r="BY314" s="81"/>
      <c r="BZ314" s="81"/>
      <c r="CA314" s="81"/>
      <c r="CB314" s="81"/>
      <c r="CC314" s="81"/>
      <c r="CD314" s="81"/>
      <c r="CE314" s="81"/>
      <c r="CF314" s="81"/>
      <c r="CG314" s="81"/>
      <c r="CH314" s="81"/>
      <c r="CI314" s="81"/>
      <c r="CJ314" s="81"/>
      <c r="CK314" s="81"/>
      <c r="CL314" s="81"/>
      <c r="CM314" s="81"/>
      <c r="CN314" s="81"/>
      <c r="CO314" s="81"/>
      <c r="CP314" s="81"/>
      <c r="CQ314" s="81"/>
      <c r="CR314" s="81"/>
      <c r="CS314" s="81"/>
      <c r="CT314" s="81"/>
      <c r="CU314" s="81"/>
      <c r="CV314" s="81"/>
      <c r="CW314" s="81"/>
      <c r="CX314" s="81"/>
      <c r="CY314" s="81"/>
      <c r="CZ314" s="81"/>
      <c r="DA314" s="81"/>
      <c r="DB314" s="81"/>
      <c r="DC314" s="81"/>
      <c r="DD314" s="81"/>
      <c r="DE314" s="81"/>
      <c r="DF314" s="81"/>
      <c r="DG314" s="81"/>
      <c r="DH314" s="81"/>
      <c r="DI314" s="81"/>
      <c r="DJ314" s="81"/>
      <c r="DK314" s="81"/>
      <c r="DL314" s="81"/>
      <c r="DM314" s="81"/>
      <c r="DN314" s="81"/>
      <c r="DO314" s="81"/>
      <c r="DP314" s="81"/>
      <c r="DQ314" s="81"/>
      <c r="DR314" s="81"/>
      <c r="DS314" s="81"/>
      <c r="DT314" s="81"/>
      <c r="DU314" s="81"/>
      <c r="DV314" s="81"/>
      <c r="DW314" s="121"/>
    </row>
    <row r="315" spans="1:127" x14ac:dyDescent="0.25">
      <c r="A315" s="2">
        <f>COUNTIF($D$2:D315,'Reporte de Nomina'!$E$2)</f>
        <v>0</v>
      </c>
      <c r="B315" s="125">
        <f>Lista!A314</f>
        <v>0</v>
      </c>
      <c r="C315" s="125">
        <f>Lista!B314</f>
        <v>0</v>
      </c>
      <c r="D315" s="125">
        <f>Lista!C314</f>
        <v>0</v>
      </c>
      <c r="E315" s="125">
        <f>Lista!D314</f>
        <v>0</v>
      </c>
      <c r="F315" s="125">
        <f>Lista!E314</f>
        <v>0</v>
      </c>
      <c r="G315" s="125">
        <f>Lista!F314</f>
        <v>0</v>
      </c>
      <c r="H315" s="125">
        <f>Lista!G314</f>
        <v>0</v>
      </c>
      <c r="I315" s="125">
        <f>Lista!H314</f>
        <v>0</v>
      </c>
      <c r="J315" s="125">
        <f>Lista!I314</f>
        <v>0</v>
      </c>
      <c r="K315" s="125">
        <f>Lista!J314</f>
        <v>0</v>
      </c>
      <c r="L315" s="125">
        <f>Lista!K314</f>
        <v>0</v>
      </c>
      <c r="M315" s="125">
        <f>Lista!L314</f>
        <v>0</v>
      </c>
      <c r="N315" s="125">
        <f>Lista!M314</f>
        <v>0</v>
      </c>
      <c r="O315" s="125">
        <f>Lista!N314</f>
        <v>0</v>
      </c>
      <c r="P315" s="125">
        <f>Lista!O314</f>
        <v>0</v>
      </c>
      <c r="Q315" s="125">
        <f>Lista!P314</f>
        <v>0</v>
      </c>
      <c r="R315" s="125">
        <f>Lista!Q314</f>
        <v>0</v>
      </c>
      <c r="S315" s="125">
        <f>Lista!R314</f>
        <v>0</v>
      </c>
      <c r="T315" s="81"/>
      <c r="U315" s="81"/>
      <c r="V315" s="81"/>
      <c r="W315" s="81"/>
      <c r="X315" s="81"/>
      <c r="Y315" s="81"/>
      <c r="Z315" s="81"/>
      <c r="AA315" s="81"/>
      <c r="AB315" s="81"/>
      <c r="AC315" s="81"/>
      <c r="AD315" s="81"/>
      <c r="AE315" s="81"/>
      <c r="AF315" s="81"/>
      <c r="AG315" s="81"/>
      <c r="AH315" s="81"/>
      <c r="AI315" s="81"/>
      <c r="AJ315" s="81"/>
      <c r="AK315" s="81"/>
      <c r="AL315" s="81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  <c r="BA315" s="81"/>
      <c r="BB315" s="81"/>
      <c r="BC315" s="81"/>
      <c r="BD315" s="81"/>
      <c r="BE315" s="81"/>
      <c r="BF315" s="81"/>
      <c r="BG315" s="81"/>
      <c r="BH315" s="81"/>
      <c r="BI315" s="81"/>
      <c r="BJ315" s="81"/>
      <c r="BK315" s="81"/>
      <c r="BL315" s="81"/>
      <c r="BM315" s="81"/>
      <c r="BN315" s="81"/>
      <c r="BO315" s="81"/>
      <c r="BP315" s="81"/>
      <c r="BQ315" s="81"/>
      <c r="BR315" s="81"/>
      <c r="BS315" s="81"/>
      <c r="BT315" s="81"/>
      <c r="BU315" s="81"/>
      <c r="BV315" s="81"/>
      <c r="BW315" s="81"/>
      <c r="BX315" s="81"/>
      <c r="BY315" s="81"/>
      <c r="BZ315" s="81"/>
      <c r="CA315" s="81"/>
      <c r="CB315" s="81"/>
      <c r="CC315" s="81"/>
      <c r="CD315" s="81"/>
      <c r="CE315" s="81"/>
      <c r="CF315" s="81"/>
      <c r="CG315" s="81"/>
      <c r="CH315" s="81"/>
      <c r="CI315" s="81"/>
      <c r="CJ315" s="81"/>
      <c r="CK315" s="81"/>
      <c r="CL315" s="81"/>
      <c r="CM315" s="81"/>
      <c r="CN315" s="81"/>
      <c r="CO315" s="81"/>
      <c r="CP315" s="81"/>
      <c r="CQ315" s="81"/>
      <c r="CR315" s="81"/>
      <c r="CS315" s="81"/>
      <c r="CT315" s="81"/>
      <c r="CU315" s="81"/>
      <c r="CV315" s="81"/>
      <c r="CW315" s="81"/>
      <c r="CX315" s="81"/>
      <c r="CY315" s="81"/>
      <c r="CZ315" s="81"/>
      <c r="DA315" s="81"/>
      <c r="DB315" s="81"/>
      <c r="DC315" s="81"/>
      <c r="DD315" s="81"/>
      <c r="DE315" s="81"/>
      <c r="DF315" s="81"/>
      <c r="DG315" s="81"/>
      <c r="DH315" s="81"/>
      <c r="DI315" s="81"/>
      <c r="DJ315" s="81"/>
      <c r="DK315" s="81"/>
      <c r="DL315" s="81"/>
      <c r="DM315" s="81"/>
      <c r="DN315" s="81"/>
      <c r="DO315" s="81"/>
      <c r="DP315" s="81"/>
      <c r="DQ315" s="81"/>
      <c r="DR315" s="81"/>
      <c r="DS315" s="81"/>
      <c r="DT315" s="81"/>
      <c r="DU315" s="81"/>
      <c r="DV315" s="81"/>
      <c r="DW315" s="121"/>
    </row>
    <row r="316" spans="1:127" x14ac:dyDescent="0.25">
      <c r="A316" s="2">
        <f>COUNTIF($D$2:D316,'Reporte de Nomina'!$E$2)</f>
        <v>0</v>
      </c>
      <c r="B316" s="125">
        <f>Lista!A315</f>
        <v>0</v>
      </c>
      <c r="C316" s="125">
        <f>Lista!B315</f>
        <v>0</v>
      </c>
      <c r="D316" s="125">
        <f>Lista!C315</f>
        <v>0</v>
      </c>
      <c r="E316" s="125">
        <f>Lista!D315</f>
        <v>0</v>
      </c>
      <c r="F316" s="125">
        <f>Lista!E315</f>
        <v>0</v>
      </c>
      <c r="G316" s="125">
        <f>Lista!F315</f>
        <v>0</v>
      </c>
      <c r="H316" s="125">
        <f>Lista!G315</f>
        <v>0</v>
      </c>
      <c r="I316" s="125">
        <f>Lista!H315</f>
        <v>0</v>
      </c>
      <c r="J316" s="125">
        <f>Lista!I315</f>
        <v>0</v>
      </c>
      <c r="K316" s="125">
        <f>Lista!J315</f>
        <v>0</v>
      </c>
      <c r="L316" s="125">
        <f>Lista!K315</f>
        <v>0</v>
      </c>
      <c r="M316" s="125">
        <f>Lista!L315</f>
        <v>0</v>
      </c>
      <c r="N316" s="125">
        <f>Lista!M315</f>
        <v>0</v>
      </c>
      <c r="O316" s="125">
        <f>Lista!N315</f>
        <v>0</v>
      </c>
      <c r="P316" s="125">
        <f>Lista!O315</f>
        <v>0</v>
      </c>
      <c r="Q316" s="125">
        <f>Lista!P315</f>
        <v>0</v>
      </c>
      <c r="R316" s="125">
        <f>Lista!Q315</f>
        <v>0</v>
      </c>
      <c r="S316" s="125">
        <f>Lista!R315</f>
        <v>0</v>
      </c>
      <c r="T316" s="81"/>
      <c r="U316" s="81"/>
      <c r="V316" s="81"/>
      <c r="W316" s="81"/>
      <c r="X316" s="81"/>
      <c r="Y316" s="81"/>
      <c r="Z316" s="81"/>
      <c r="AA316" s="81"/>
      <c r="AB316" s="81"/>
      <c r="AC316" s="81"/>
      <c r="AD316" s="81"/>
      <c r="AE316" s="81"/>
      <c r="AF316" s="81"/>
      <c r="AG316" s="81"/>
      <c r="AH316" s="81"/>
      <c r="AI316" s="81"/>
      <c r="AJ316" s="81"/>
      <c r="AK316" s="81"/>
      <c r="AL316" s="81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  <c r="BA316" s="81"/>
      <c r="BB316" s="81"/>
      <c r="BC316" s="81"/>
      <c r="BD316" s="81"/>
      <c r="BE316" s="81"/>
      <c r="BF316" s="81"/>
      <c r="BG316" s="81"/>
      <c r="BH316" s="81"/>
      <c r="BI316" s="81"/>
      <c r="BJ316" s="81"/>
      <c r="BK316" s="81"/>
      <c r="BL316" s="81"/>
      <c r="BM316" s="81"/>
      <c r="BN316" s="81"/>
      <c r="BO316" s="81"/>
      <c r="BP316" s="81"/>
      <c r="BQ316" s="81"/>
      <c r="BR316" s="81"/>
      <c r="BS316" s="81"/>
      <c r="BT316" s="81"/>
      <c r="BU316" s="81"/>
      <c r="BV316" s="81"/>
      <c r="BW316" s="81"/>
      <c r="BX316" s="81"/>
      <c r="BY316" s="81"/>
      <c r="BZ316" s="81"/>
      <c r="CA316" s="81"/>
      <c r="CB316" s="81"/>
      <c r="CC316" s="81"/>
      <c r="CD316" s="81"/>
      <c r="CE316" s="81"/>
      <c r="CF316" s="81"/>
      <c r="CG316" s="81"/>
      <c r="CH316" s="81"/>
      <c r="CI316" s="81"/>
      <c r="CJ316" s="81"/>
      <c r="CK316" s="81"/>
      <c r="CL316" s="81"/>
      <c r="CM316" s="81"/>
      <c r="CN316" s="81"/>
      <c r="CO316" s="81"/>
      <c r="CP316" s="81"/>
      <c r="CQ316" s="81"/>
      <c r="CR316" s="81"/>
      <c r="CS316" s="81"/>
      <c r="CT316" s="81"/>
      <c r="CU316" s="81"/>
      <c r="CV316" s="81"/>
      <c r="CW316" s="81"/>
      <c r="CX316" s="81"/>
      <c r="CY316" s="81"/>
      <c r="CZ316" s="81"/>
      <c r="DA316" s="81"/>
      <c r="DB316" s="81"/>
      <c r="DC316" s="81"/>
      <c r="DD316" s="81"/>
      <c r="DE316" s="81"/>
      <c r="DF316" s="81"/>
      <c r="DG316" s="81"/>
      <c r="DH316" s="81"/>
      <c r="DI316" s="81"/>
      <c r="DJ316" s="81"/>
      <c r="DK316" s="81"/>
      <c r="DL316" s="81"/>
      <c r="DM316" s="81"/>
      <c r="DN316" s="81"/>
      <c r="DO316" s="81"/>
      <c r="DP316" s="81"/>
      <c r="DQ316" s="81"/>
      <c r="DR316" s="81"/>
      <c r="DS316" s="81"/>
      <c r="DT316" s="81"/>
      <c r="DU316" s="81"/>
      <c r="DV316" s="81"/>
      <c r="DW316" s="121"/>
    </row>
    <row r="317" spans="1:127" x14ac:dyDescent="0.25">
      <c r="A317" s="2">
        <f>COUNTIF($D$2:D317,'Reporte de Nomina'!$E$2)</f>
        <v>0</v>
      </c>
      <c r="B317" s="125">
        <f>Lista!A316</f>
        <v>0</v>
      </c>
      <c r="C317" s="125">
        <f>Lista!B316</f>
        <v>0</v>
      </c>
      <c r="D317" s="125">
        <f>Lista!C316</f>
        <v>0</v>
      </c>
      <c r="E317" s="125">
        <f>Lista!D316</f>
        <v>0</v>
      </c>
      <c r="F317" s="125">
        <f>Lista!E316</f>
        <v>0</v>
      </c>
      <c r="G317" s="125">
        <f>Lista!F316</f>
        <v>0</v>
      </c>
      <c r="H317" s="125">
        <f>Lista!G316</f>
        <v>0</v>
      </c>
      <c r="I317" s="125">
        <f>Lista!H316</f>
        <v>0</v>
      </c>
      <c r="J317" s="125">
        <f>Lista!I316</f>
        <v>0</v>
      </c>
      <c r="K317" s="125">
        <f>Lista!J316</f>
        <v>0</v>
      </c>
      <c r="L317" s="125">
        <f>Lista!K316</f>
        <v>0</v>
      </c>
      <c r="M317" s="125">
        <f>Lista!L316</f>
        <v>0</v>
      </c>
      <c r="N317" s="125">
        <f>Lista!M316</f>
        <v>0</v>
      </c>
      <c r="O317" s="125">
        <f>Lista!N316</f>
        <v>0</v>
      </c>
      <c r="P317" s="125">
        <f>Lista!O316</f>
        <v>0</v>
      </c>
      <c r="Q317" s="125">
        <f>Lista!P316</f>
        <v>0</v>
      </c>
      <c r="R317" s="125">
        <f>Lista!Q316</f>
        <v>0</v>
      </c>
      <c r="S317" s="125">
        <f>Lista!R316</f>
        <v>0</v>
      </c>
      <c r="T317" s="81"/>
      <c r="U317" s="81"/>
      <c r="V317" s="81"/>
      <c r="W317" s="81"/>
      <c r="X317" s="81"/>
      <c r="Y317" s="81"/>
      <c r="Z317" s="81"/>
      <c r="AA317" s="81"/>
      <c r="AB317" s="81"/>
      <c r="AC317" s="81"/>
      <c r="AD317" s="81"/>
      <c r="AE317" s="81"/>
      <c r="AF317" s="81"/>
      <c r="AG317" s="81"/>
      <c r="AH317" s="81"/>
      <c r="AI317" s="81"/>
      <c r="AJ317" s="81"/>
      <c r="AK317" s="81"/>
      <c r="AL317" s="81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  <c r="BA317" s="81"/>
      <c r="BB317" s="81"/>
      <c r="BC317" s="81"/>
      <c r="BD317" s="81"/>
      <c r="BE317" s="81"/>
      <c r="BF317" s="81"/>
      <c r="BG317" s="81"/>
      <c r="BH317" s="81"/>
      <c r="BI317" s="81"/>
      <c r="BJ317" s="81"/>
      <c r="BK317" s="81"/>
      <c r="BL317" s="81"/>
      <c r="BM317" s="81"/>
      <c r="BN317" s="81"/>
      <c r="BO317" s="81"/>
      <c r="BP317" s="81"/>
      <c r="BQ317" s="81"/>
      <c r="BR317" s="81"/>
      <c r="BS317" s="81"/>
      <c r="BT317" s="81"/>
      <c r="BU317" s="81"/>
      <c r="BV317" s="81"/>
      <c r="BW317" s="81"/>
      <c r="BX317" s="81"/>
      <c r="BY317" s="81"/>
      <c r="BZ317" s="81"/>
      <c r="CA317" s="81"/>
      <c r="CB317" s="81"/>
      <c r="CC317" s="81"/>
      <c r="CD317" s="81"/>
      <c r="CE317" s="81"/>
      <c r="CF317" s="81"/>
      <c r="CG317" s="81"/>
      <c r="CH317" s="81"/>
      <c r="CI317" s="81"/>
      <c r="CJ317" s="81"/>
      <c r="CK317" s="81"/>
      <c r="CL317" s="81"/>
      <c r="CM317" s="81"/>
      <c r="CN317" s="81"/>
      <c r="CO317" s="81"/>
      <c r="CP317" s="81"/>
      <c r="CQ317" s="81"/>
      <c r="CR317" s="81"/>
      <c r="CS317" s="81"/>
      <c r="CT317" s="81"/>
      <c r="CU317" s="81"/>
      <c r="CV317" s="81"/>
      <c r="CW317" s="81"/>
      <c r="CX317" s="81"/>
      <c r="CY317" s="81"/>
      <c r="CZ317" s="81"/>
      <c r="DA317" s="81"/>
      <c r="DB317" s="81"/>
      <c r="DC317" s="81"/>
      <c r="DD317" s="81"/>
      <c r="DE317" s="81"/>
      <c r="DF317" s="81"/>
      <c r="DG317" s="81"/>
      <c r="DH317" s="81"/>
      <c r="DI317" s="81"/>
      <c r="DJ317" s="81"/>
      <c r="DK317" s="81"/>
      <c r="DL317" s="81"/>
      <c r="DM317" s="81"/>
      <c r="DN317" s="81"/>
      <c r="DO317" s="81"/>
      <c r="DP317" s="81"/>
      <c r="DQ317" s="81"/>
      <c r="DR317" s="81"/>
      <c r="DS317" s="81"/>
      <c r="DT317" s="81"/>
      <c r="DU317" s="81"/>
      <c r="DV317" s="81"/>
      <c r="DW317" s="121"/>
    </row>
    <row r="318" spans="1:127" x14ac:dyDescent="0.25">
      <c r="A318" s="2">
        <f>COUNTIF($D$2:D318,'Reporte de Nomina'!$E$2)</f>
        <v>0</v>
      </c>
      <c r="B318" s="125">
        <f>Lista!A317</f>
        <v>0</v>
      </c>
      <c r="C318" s="125">
        <f>Lista!B317</f>
        <v>0</v>
      </c>
      <c r="D318" s="125">
        <f>Lista!C317</f>
        <v>0</v>
      </c>
      <c r="E318" s="125">
        <f>Lista!D317</f>
        <v>0</v>
      </c>
      <c r="F318" s="125">
        <f>Lista!E317</f>
        <v>0</v>
      </c>
      <c r="G318" s="125">
        <f>Lista!F317</f>
        <v>0</v>
      </c>
      <c r="H318" s="125">
        <f>Lista!G317</f>
        <v>0</v>
      </c>
      <c r="I318" s="125">
        <f>Lista!H317</f>
        <v>0</v>
      </c>
      <c r="J318" s="125">
        <f>Lista!I317</f>
        <v>0</v>
      </c>
      <c r="K318" s="125">
        <f>Lista!J317</f>
        <v>0</v>
      </c>
      <c r="L318" s="125">
        <f>Lista!K317</f>
        <v>0</v>
      </c>
      <c r="M318" s="125">
        <f>Lista!L317</f>
        <v>0</v>
      </c>
      <c r="N318" s="125">
        <f>Lista!M317</f>
        <v>0</v>
      </c>
      <c r="O318" s="125">
        <f>Lista!N317</f>
        <v>0</v>
      </c>
      <c r="P318" s="125">
        <f>Lista!O317</f>
        <v>0</v>
      </c>
      <c r="Q318" s="125">
        <f>Lista!P317</f>
        <v>0</v>
      </c>
      <c r="R318" s="125">
        <f>Lista!Q317</f>
        <v>0</v>
      </c>
      <c r="S318" s="125">
        <f>Lista!R317</f>
        <v>0</v>
      </c>
      <c r="T318" s="81"/>
      <c r="U318" s="81"/>
      <c r="V318" s="81"/>
      <c r="W318" s="81"/>
      <c r="X318" s="81"/>
      <c r="Y318" s="81"/>
      <c r="Z318" s="81"/>
      <c r="AA318" s="81"/>
      <c r="AB318" s="81"/>
      <c r="AC318" s="81"/>
      <c r="AD318" s="81"/>
      <c r="AE318" s="81"/>
      <c r="AF318" s="81"/>
      <c r="AG318" s="81"/>
      <c r="AH318" s="81"/>
      <c r="AI318" s="81"/>
      <c r="AJ318" s="81"/>
      <c r="AK318" s="81"/>
      <c r="AL318" s="81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  <c r="BA318" s="81"/>
      <c r="BB318" s="81"/>
      <c r="BC318" s="81"/>
      <c r="BD318" s="81"/>
      <c r="BE318" s="81"/>
      <c r="BF318" s="81"/>
      <c r="BG318" s="81"/>
      <c r="BH318" s="81"/>
      <c r="BI318" s="81"/>
      <c r="BJ318" s="81"/>
      <c r="BK318" s="81"/>
      <c r="BL318" s="81"/>
      <c r="BM318" s="81"/>
      <c r="BN318" s="81"/>
      <c r="BO318" s="81"/>
      <c r="BP318" s="81"/>
      <c r="BQ318" s="81"/>
      <c r="BR318" s="81"/>
      <c r="BS318" s="81"/>
      <c r="BT318" s="81"/>
      <c r="BU318" s="81"/>
      <c r="BV318" s="81"/>
      <c r="BW318" s="81"/>
      <c r="BX318" s="81"/>
      <c r="BY318" s="81"/>
      <c r="BZ318" s="81"/>
      <c r="CA318" s="81"/>
      <c r="CB318" s="81"/>
      <c r="CC318" s="81"/>
      <c r="CD318" s="81"/>
      <c r="CE318" s="81"/>
      <c r="CF318" s="81"/>
      <c r="CG318" s="81"/>
      <c r="CH318" s="81"/>
      <c r="CI318" s="81"/>
      <c r="CJ318" s="81"/>
      <c r="CK318" s="81"/>
      <c r="CL318" s="81"/>
      <c r="CM318" s="81"/>
      <c r="CN318" s="81"/>
      <c r="CO318" s="81"/>
      <c r="CP318" s="81"/>
      <c r="CQ318" s="81"/>
      <c r="CR318" s="81"/>
      <c r="CS318" s="81"/>
      <c r="CT318" s="81"/>
      <c r="CU318" s="81"/>
      <c r="CV318" s="81"/>
      <c r="CW318" s="81"/>
      <c r="CX318" s="81"/>
      <c r="CY318" s="81"/>
      <c r="CZ318" s="81"/>
      <c r="DA318" s="81"/>
      <c r="DB318" s="81"/>
      <c r="DC318" s="81"/>
      <c r="DD318" s="81"/>
      <c r="DE318" s="81"/>
      <c r="DF318" s="81"/>
      <c r="DG318" s="81"/>
      <c r="DH318" s="81"/>
      <c r="DI318" s="81"/>
      <c r="DJ318" s="81"/>
      <c r="DK318" s="81"/>
      <c r="DL318" s="81"/>
      <c r="DM318" s="81"/>
      <c r="DN318" s="81"/>
      <c r="DO318" s="81"/>
      <c r="DP318" s="81"/>
      <c r="DQ318" s="81"/>
      <c r="DR318" s="81"/>
      <c r="DS318" s="81"/>
      <c r="DT318" s="81"/>
      <c r="DU318" s="81"/>
      <c r="DV318" s="81"/>
      <c r="DW318" s="121"/>
    </row>
    <row r="319" spans="1:127" x14ac:dyDescent="0.25">
      <c r="A319" s="2">
        <f>COUNTIF($D$2:D319,'Reporte de Nomina'!$E$2)</f>
        <v>0</v>
      </c>
      <c r="B319" s="125">
        <f>Lista!A318</f>
        <v>0</v>
      </c>
      <c r="C319" s="125">
        <f>Lista!B318</f>
        <v>0</v>
      </c>
      <c r="D319" s="125">
        <f>Lista!C318</f>
        <v>0</v>
      </c>
      <c r="E319" s="125">
        <f>Lista!D318</f>
        <v>0</v>
      </c>
      <c r="F319" s="125">
        <f>Lista!E318</f>
        <v>0</v>
      </c>
      <c r="G319" s="125">
        <f>Lista!F318</f>
        <v>0</v>
      </c>
      <c r="H319" s="125">
        <f>Lista!G318</f>
        <v>0</v>
      </c>
      <c r="I319" s="125">
        <f>Lista!H318</f>
        <v>0</v>
      </c>
      <c r="J319" s="125">
        <f>Lista!I318</f>
        <v>0</v>
      </c>
      <c r="K319" s="125">
        <f>Lista!J318</f>
        <v>0</v>
      </c>
      <c r="L319" s="125">
        <f>Lista!K318</f>
        <v>0</v>
      </c>
      <c r="M319" s="125">
        <f>Lista!L318</f>
        <v>0</v>
      </c>
      <c r="N319" s="125">
        <f>Lista!M318</f>
        <v>0</v>
      </c>
      <c r="O319" s="125">
        <f>Lista!N318</f>
        <v>0</v>
      </c>
      <c r="P319" s="125">
        <f>Lista!O318</f>
        <v>0</v>
      </c>
      <c r="Q319" s="125">
        <f>Lista!P318</f>
        <v>0</v>
      </c>
      <c r="R319" s="125">
        <f>Lista!Q318</f>
        <v>0</v>
      </c>
      <c r="S319" s="125">
        <f>Lista!R318</f>
        <v>0</v>
      </c>
      <c r="T319" s="81"/>
      <c r="U319" s="81"/>
      <c r="V319" s="81"/>
      <c r="W319" s="81"/>
      <c r="X319" s="81"/>
      <c r="Y319" s="81"/>
      <c r="Z319" s="81"/>
      <c r="AA319" s="81"/>
      <c r="AB319" s="81"/>
      <c r="AC319" s="81"/>
      <c r="AD319" s="81"/>
      <c r="AE319" s="81"/>
      <c r="AF319" s="81"/>
      <c r="AG319" s="81"/>
      <c r="AH319" s="81"/>
      <c r="AI319" s="81"/>
      <c r="AJ319" s="81"/>
      <c r="AK319" s="81"/>
      <c r="AL319" s="81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  <c r="BA319" s="81"/>
      <c r="BB319" s="81"/>
      <c r="BC319" s="81"/>
      <c r="BD319" s="81"/>
      <c r="BE319" s="81"/>
      <c r="BF319" s="81"/>
      <c r="BG319" s="81"/>
      <c r="BH319" s="81"/>
      <c r="BI319" s="81"/>
      <c r="BJ319" s="81"/>
      <c r="BK319" s="81"/>
      <c r="BL319" s="81"/>
      <c r="BM319" s="81"/>
      <c r="BN319" s="81"/>
      <c r="BO319" s="81"/>
      <c r="BP319" s="81"/>
      <c r="BQ319" s="81"/>
      <c r="BR319" s="81"/>
      <c r="BS319" s="81"/>
      <c r="BT319" s="81"/>
      <c r="BU319" s="81"/>
      <c r="BV319" s="81"/>
      <c r="BW319" s="81"/>
      <c r="BX319" s="81"/>
      <c r="BY319" s="81"/>
      <c r="BZ319" s="81"/>
      <c r="CA319" s="81"/>
      <c r="CB319" s="81"/>
      <c r="CC319" s="81"/>
      <c r="CD319" s="81"/>
      <c r="CE319" s="81"/>
      <c r="CF319" s="81"/>
      <c r="CG319" s="81"/>
      <c r="CH319" s="81"/>
      <c r="CI319" s="81"/>
      <c r="CJ319" s="81"/>
      <c r="CK319" s="81"/>
      <c r="CL319" s="81"/>
      <c r="CM319" s="81"/>
      <c r="CN319" s="81"/>
      <c r="CO319" s="81"/>
      <c r="CP319" s="81"/>
      <c r="CQ319" s="81"/>
      <c r="CR319" s="81"/>
      <c r="CS319" s="81"/>
      <c r="CT319" s="81"/>
      <c r="CU319" s="81"/>
      <c r="CV319" s="81"/>
      <c r="CW319" s="81"/>
      <c r="CX319" s="81"/>
      <c r="CY319" s="81"/>
      <c r="CZ319" s="81"/>
      <c r="DA319" s="81"/>
      <c r="DB319" s="81"/>
      <c r="DC319" s="81"/>
      <c r="DD319" s="81"/>
      <c r="DE319" s="81"/>
      <c r="DF319" s="81"/>
      <c r="DG319" s="81"/>
      <c r="DH319" s="81"/>
      <c r="DI319" s="81"/>
      <c r="DJ319" s="81"/>
      <c r="DK319" s="81"/>
      <c r="DL319" s="81"/>
      <c r="DM319" s="81"/>
      <c r="DN319" s="81"/>
      <c r="DO319" s="81"/>
      <c r="DP319" s="81"/>
      <c r="DQ319" s="81"/>
      <c r="DR319" s="81"/>
      <c r="DS319" s="81"/>
      <c r="DT319" s="81"/>
      <c r="DU319" s="81"/>
      <c r="DV319" s="81"/>
      <c r="DW319" s="121"/>
    </row>
    <row r="320" spans="1:127" x14ac:dyDescent="0.25">
      <c r="A320" s="2">
        <f>COUNTIF($D$2:D320,'Reporte de Nomina'!$E$2)</f>
        <v>0</v>
      </c>
      <c r="B320" s="125">
        <f>Lista!A319</f>
        <v>0</v>
      </c>
      <c r="C320" s="125">
        <f>Lista!B319</f>
        <v>0</v>
      </c>
      <c r="D320" s="125">
        <f>Lista!C319</f>
        <v>0</v>
      </c>
      <c r="E320" s="125">
        <f>Lista!D319</f>
        <v>0</v>
      </c>
      <c r="F320" s="125">
        <f>Lista!E319</f>
        <v>0</v>
      </c>
      <c r="G320" s="125">
        <f>Lista!F319</f>
        <v>0</v>
      </c>
      <c r="H320" s="125">
        <f>Lista!G319</f>
        <v>0</v>
      </c>
      <c r="I320" s="125">
        <f>Lista!H319</f>
        <v>0</v>
      </c>
      <c r="J320" s="125">
        <f>Lista!I319</f>
        <v>0</v>
      </c>
      <c r="K320" s="125">
        <f>Lista!J319</f>
        <v>0</v>
      </c>
      <c r="L320" s="125">
        <f>Lista!K319</f>
        <v>0</v>
      </c>
      <c r="M320" s="125">
        <f>Lista!L319</f>
        <v>0</v>
      </c>
      <c r="N320" s="125">
        <f>Lista!M319</f>
        <v>0</v>
      </c>
      <c r="O320" s="125">
        <f>Lista!N319</f>
        <v>0</v>
      </c>
      <c r="P320" s="125">
        <f>Lista!O319</f>
        <v>0</v>
      </c>
      <c r="Q320" s="125">
        <f>Lista!P319</f>
        <v>0</v>
      </c>
      <c r="R320" s="125">
        <f>Lista!Q319</f>
        <v>0</v>
      </c>
      <c r="S320" s="125">
        <f>Lista!R319</f>
        <v>0</v>
      </c>
      <c r="T320" s="81"/>
      <c r="U320" s="81"/>
      <c r="V320" s="81"/>
      <c r="W320" s="81"/>
      <c r="X320" s="81"/>
      <c r="Y320" s="81"/>
      <c r="Z320" s="81"/>
      <c r="AA320" s="81"/>
      <c r="AB320" s="81"/>
      <c r="AC320" s="81"/>
      <c r="AD320" s="81"/>
      <c r="AE320" s="81"/>
      <c r="AF320" s="81"/>
      <c r="AG320" s="81"/>
      <c r="AH320" s="81"/>
      <c r="AI320" s="81"/>
      <c r="AJ320" s="81"/>
      <c r="AK320" s="81"/>
      <c r="AL320" s="81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  <c r="BA320" s="81"/>
      <c r="BB320" s="81"/>
      <c r="BC320" s="81"/>
      <c r="BD320" s="81"/>
      <c r="BE320" s="81"/>
      <c r="BF320" s="81"/>
      <c r="BG320" s="81"/>
      <c r="BH320" s="81"/>
      <c r="BI320" s="81"/>
      <c r="BJ320" s="81"/>
      <c r="BK320" s="81"/>
      <c r="BL320" s="81"/>
      <c r="BM320" s="81"/>
      <c r="BN320" s="81"/>
      <c r="BO320" s="81"/>
      <c r="BP320" s="81"/>
      <c r="BQ320" s="81"/>
      <c r="BR320" s="81"/>
      <c r="BS320" s="81"/>
      <c r="BT320" s="81"/>
      <c r="BU320" s="81"/>
      <c r="BV320" s="81"/>
      <c r="BW320" s="81"/>
      <c r="BX320" s="81"/>
      <c r="BY320" s="81"/>
      <c r="BZ320" s="81"/>
      <c r="CA320" s="81"/>
      <c r="CB320" s="81"/>
      <c r="CC320" s="81"/>
      <c r="CD320" s="81"/>
      <c r="CE320" s="81"/>
      <c r="CF320" s="81"/>
      <c r="CG320" s="81"/>
      <c r="CH320" s="81"/>
      <c r="CI320" s="81"/>
      <c r="CJ320" s="81"/>
      <c r="CK320" s="81"/>
      <c r="CL320" s="81"/>
      <c r="CM320" s="81"/>
      <c r="CN320" s="81"/>
      <c r="CO320" s="81"/>
      <c r="CP320" s="81"/>
      <c r="CQ320" s="81"/>
      <c r="CR320" s="81"/>
      <c r="CS320" s="81"/>
      <c r="CT320" s="81"/>
      <c r="CU320" s="81"/>
      <c r="CV320" s="81"/>
      <c r="CW320" s="81"/>
      <c r="CX320" s="81"/>
      <c r="CY320" s="81"/>
      <c r="CZ320" s="81"/>
      <c r="DA320" s="81"/>
      <c r="DB320" s="81"/>
      <c r="DC320" s="81"/>
      <c r="DD320" s="81"/>
      <c r="DE320" s="81"/>
      <c r="DF320" s="81"/>
      <c r="DG320" s="81"/>
      <c r="DH320" s="81"/>
      <c r="DI320" s="81"/>
      <c r="DJ320" s="81"/>
      <c r="DK320" s="81"/>
      <c r="DL320" s="81"/>
      <c r="DM320" s="81"/>
      <c r="DN320" s="81"/>
      <c r="DO320" s="81"/>
      <c r="DP320" s="81"/>
      <c r="DQ320" s="81"/>
      <c r="DR320" s="81"/>
      <c r="DS320" s="81"/>
      <c r="DT320" s="81"/>
      <c r="DU320" s="81"/>
      <c r="DV320" s="81"/>
      <c r="DW320" s="121"/>
    </row>
    <row r="321" spans="1:127" x14ac:dyDescent="0.25">
      <c r="A321" s="2">
        <f>COUNTIF($D$2:D321,'Reporte de Nomina'!$E$2)</f>
        <v>0</v>
      </c>
      <c r="B321" s="125">
        <f>Lista!A320</f>
        <v>0</v>
      </c>
      <c r="C321" s="125">
        <f>Lista!B320</f>
        <v>0</v>
      </c>
      <c r="D321" s="125">
        <f>Lista!C320</f>
        <v>0</v>
      </c>
      <c r="E321" s="125">
        <f>Lista!D320</f>
        <v>0</v>
      </c>
      <c r="F321" s="125">
        <f>Lista!E320</f>
        <v>0</v>
      </c>
      <c r="G321" s="125">
        <f>Lista!F320</f>
        <v>0</v>
      </c>
      <c r="H321" s="125">
        <f>Lista!G320</f>
        <v>0</v>
      </c>
      <c r="I321" s="125">
        <f>Lista!H320</f>
        <v>0</v>
      </c>
      <c r="J321" s="125">
        <f>Lista!I320</f>
        <v>0</v>
      </c>
      <c r="K321" s="125">
        <f>Lista!J320</f>
        <v>0</v>
      </c>
      <c r="L321" s="125">
        <f>Lista!K320</f>
        <v>0</v>
      </c>
      <c r="M321" s="125">
        <f>Lista!L320</f>
        <v>0</v>
      </c>
      <c r="N321" s="125">
        <f>Lista!M320</f>
        <v>0</v>
      </c>
      <c r="O321" s="125">
        <f>Lista!N320</f>
        <v>0</v>
      </c>
      <c r="P321" s="125">
        <f>Lista!O320</f>
        <v>0</v>
      </c>
      <c r="Q321" s="125">
        <f>Lista!P320</f>
        <v>0</v>
      </c>
      <c r="R321" s="125">
        <f>Lista!Q320</f>
        <v>0</v>
      </c>
      <c r="S321" s="125">
        <f>Lista!R320</f>
        <v>0</v>
      </c>
      <c r="T321" s="81"/>
      <c r="U321" s="81"/>
      <c r="V321" s="81"/>
      <c r="W321" s="81"/>
      <c r="X321" s="81"/>
      <c r="Y321" s="81"/>
      <c r="Z321" s="81"/>
      <c r="AA321" s="81"/>
      <c r="AB321" s="81"/>
      <c r="AC321" s="81"/>
      <c r="AD321" s="81"/>
      <c r="AE321" s="81"/>
      <c r="AF321" s="81"/>
      <c r="AG321" s="81"/>
      <c r="AH321" s="81"/>
      <c r="AI321" s="81"/>
      <c r="AJ321" s="81"/>
      <c r="AK321" s="81"/>
      <c r="AL321" s="81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  <c r="BA321" s="81"/>
      <c r="BB321" s="81"/>
      <c r="BC321" s="81"/>
      <c r="BD321" s="81"/>
      <c r="BE321" s="81"/>
      <c r="BF321" s="81"/>
      <c r="BG321" s="81"/>
      <c r="BH321" s="81"/>
      <c r="BI321" s="81"/>
      <c r="BJ321" s="81"/>
      <c r="BK321" s="81"/>
      <c r="BL321" s="81"/>
      <c r="BM321" s="81"/>
      <c r="BN321" s="81"/>
      <c r="BO321" s="81"/>
      <c r="BP321" s="81"/>
      <c r="BQ321" s="81"/>
      <c r="BR321" s="81"/>
      <c r="BS321" s="81"/>
      <c r="BT321" s="81"/>
      <c r="BU321" s="81"/>
      <c r="BV321" s="81"/>
      <c r="BW321" s="81"/>
      <c r="BX321" s="81"/>
      <c r="BY321" s="81"/>
      <c r="BZ321" s="81"/>
      <c r="CA321" s="81"/>
      <c r="CB321" s="81"/>
      <c r="CC321" s="81"/>
      <c r="CD321" s="81"/>
      <c r="CE321" s="81"/>
      <c r="CF321" s="81"/>
      <c r="CG321" s="81"/>
      <c r="CH321" s="81"/>
      <c r="CI321" s="81"/>
      <c r="CJ321" s="81"/>
      <c r="CK321" s="81"/>
      <c r="CL321" s="81"/>
      <c r="CM321" s="81"/>
      <c r="CN321" s="81"/>
      <c r="CO321" s="81"/>
      <c r="CP321" s="81"/>
      <c r="CQ321" s="81"/>
      <c r="CR321" s="81"/>
      <c r="CS321" s="81"/>
      <c r="CT321" s="81"/>
      <c r="CU321" s="81"/>
      <c r="CV321" s="81"/>
      <c r="CW321" s="81"/>
      <c r="CX321" s="81"/>
      <c r="CY321" s="81"/>
      <c r="CZ321" s="81"/>
      <c r="DA321" s="81"/>
      <c r="DB321" s="81"/>
      <c r="DC321" s="81"/>
      <c r="DD321" s="81"/>
      <c r="DE321" s="81"/>
      <c r="DF321" s="81"/>
      <c r="DG321" s="81"/>
      <c r="DH321" s="81"/>
      <c r="DI321" s="81"/>
      <c r="DJ321" s="81"/>
      <c r="DK321" s="81"/>
      <c r="DL321" s="81"/>
      <c r="DM321" s="81"/>
      <c r="DN321" s="81"/>
      <c r="DO321" s="81"/>
      <c r="DP321" s="81"/>
      <c r="DQ321" s="81"/>
      <c r="DR321" s="81"/>
      <c r="DS321" s="81"/>
      <c r="DT321" s="81"/>
      <c r="DU321" s="81"/>
      <c r="DV321" s="81"/>
      <c r="DW321" s="121"/>
    </row>
    <row r="322" spans="1:127" x14ac:dyDescent="0.25">
      <c r="A322" s="2">
        <f>COUNTIF($D$2:D322,'Reporte de Nomina'!$E$2)</f>
        <v>0</v>
      </c>
      <c r="B322" s="125">
        <f>Lista!A321</f>
        <v>0</v>
      </c>
      <c r="C322" s="125">
        <f>Lista!B321</f>
        <v>0</v>
      </c>
      <c r="D322" s="125">
        <f>Lista!C321</f>
        <v>0</v>
      </c>
      <c r="E322" s="125">
        <f>Lista!D321</f>
        <v>0</v>
      </c>
      <c r="F322" s="125">
        <f>Lista!E321</f>
        <v>0</v>
      </c>
      <c r="G322" s="125">
        <f>Lista!F321</f>
        <v>0</v>
      </c>
      <c r="H322" s="125">
        <f>Lista!G321</f>
        <v>0</v>
      </c>
      <c r="I322" s="125">
        <f>Lista!H321</f>
        <v>0</v>
      </c>
      <c r="J322" s="125">
        <f>Lista!I321</f>
        <v>0</v>
      </c>
      <c r="K322" s="125">
        <f>Lista!J321</f>
        <v>0</v>
      </c>
      <c r="L322" s="125">
        <f>Lista!K321</f>
        <v>0</v>
      </c>
      <c r="M322" s="125">
        <f>Lista!L321</f>
        <v>0</v>
      </c>
      <c r="N322" s="125">
        <f>Lista!M321</f>
        <v>0</v>
      </c>
      <c r="O322" s="125">
        <f>Lista!N321</f>
        <v>0</v>
      </c>
      <c r="P322" s="125">
        <f>Lista!O321</f>
        <v>0</v>
      </c>
      <c r="Q322" s="125">
        <f>Lista!P321</f>
        <v>0</v>
      </c>
      <c r="R322" s="125">
        <f>Lista!Q321</f>
        <v>0</v>
      </c>
      <c r="S322" s="125">
        <f>Lista!R321</f>
        <v>0</v>
      </c>
      <c r="T322" s="81"/>
      <c r="U322" s="81"/>
      <c r="V322" s="81"/>
      <c r="W322" s="81"/>
      <c r="X322" s="81"/>
      <c r="Y322" s="81"/>
      <c r="Z322" s="81"/>
      <c r="AA322" s="81"/>
      <c r="AB322" s="81"/>
      <c r="AC322" s="81"/>
      <c r="AD322" s="81"/>
      <c r="AE322" s="81"/>
      <c r="AF322" s="81"/>
      <c r="AG322" s="81"/>
      <c r="AH322" s="81"/>
      <c r="AI322" s="81"/>
      <c r="AJ322" s="81"/>
      <c r="AK322" s="81"/>
      <c r="AL322" s="81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  <c r="BA322" s="81"/>
      <c r="BB322" s="81"/>
      <c r="BC322" s="81"/>
      <c r="BD322" s="81"/>
      <c r="BE322" s="81"/>
      <c r="BF322" s="81"/>
      <c r="BG322" s="81"/>
      <c r="BH322" s="81"/>
      <c r="BI322" s="81"/>
      <c r="BJ322" s="81"/>
      <c r="BK322" s="81"/>
      <c r="BL322" s="81"/>
      <c r="BM322" s="81"/>
      <c r="BN322" s="81"/>
      <c r="BO322" s="81"/>
      <c r="BP322" s="81"/>
      <c r="BQ322" s="81"/>
      <c r="BR322" s="81"/>
      <c r="BS322" s="81"/>
      <c r="BT322" s="81"/>
      <c r="BU322" s="81"/>
      <c r="BV322" s="81"/>
      <c r="BW322" s="81"/>
      <c r="BX322" s="81"/>
      <c r="BY322" s="81"/>
      <c r="BZ322" s="81"/>
      <c r="CA322" s="81"/>
      <c r="CB322" s="81"/>
      <c r="CC322" s="81"/>
      <c r="CD322" s="81"/>
      <c r="CE322" s="81"/>
      <c r="CF322" s="81"/>
      <c r="CG322" s="81"/>
      <c r="CH322" s="81"/>
      <c r="CI322" s="81"/>
      <c r="CJ322" s="81"/>
      <c r="CK322" s="81"/>
      <c r="CL322" s="81"/>
      <c r="CM322" s="81"/>
      <c r="CN322" s="81"/>
      <c r="CO322" s="81"/>
      <c r="CP322" s="81"/>
      <c r="CQ322" s="81"/>
      <c r="CR322" s="81"/>
      <c r="CS322" s="81"/>
      <c r="CT322" s="81"/>
      <c r="CU322" s="81"/>
      <c r="CV322" s="81"/>
      <c r="CW322" s="81"/>
      <c r="CX322" s="81"/>
      <c r="CY322" s="81"/>
      <c r="CZ322" s="81"/>
      <c r="DA322" s="81"/>
      <c r="DB322" s="81"/>
      <c r="DC322" s="81"/>
      <c r="DD322" s="81"/>
      <c r="DE322" s="81"/>
      <c r="DF322" s="81"/>
      <c r="DG322" s="81"/>
      <c r="DH322" s="81"/>
      <c r="DI322" s="81"/>
      <c r="DJ322" s="81"/>
      <c r="DK322" s="81"/>
      <c r="DL322" s="81"/>
      <c r="DM322" s="81"/>
      <c r="DN322" s="81"/>
      <c r="DO322" s="81"/>
      <c r="DP322" s="81"/>
      <c r="DQ322" s="81"/>
      <c r="DR322" s="81"/>
      <c r="DS322" s="81"/>
      <c r="DT322" s="81"/>
      <c r="DU322" s="81"/>
      <c r="DV322" s="81"/>
      <c r="DW322" s="121"/>
    </row>
    <row r="323" spans="1:127" x14ac:dyDescent="0.25">
      <c r="A323" s="2">
        <f>COUNTIF($D$2:D323,'Reporte de Nomina'!$E$2)</f>
        <v>0</v>
      </c>
      <c r="B323" s="125">
        <f>Lista!A322</f>
        <v>0</v>
      </c>
      <c r="C323" s="125">
        <f>Lista!B322</f>
        <v>0</v>
      </c>
      <c r="D323" s="125">
        <f>Lista!C322</f>
        <v>0</v>
      </c>
      <c r="E323" s="125">
        <f>Lista!D322</f>
        <v>0</v>
      </c>
      <c r="F323" s="125">
        <f>Lista!E322</f>
        <v>0</v>
      </c>
      <c r="G323" s="125">
        <f>Lista!F322</f>
        <v>0</v>
      </c>
      <c r="H323" s="125">
        <f>Lista!G322</f>
        <v>0</v>
      </c>
      <c r="I323" s="125">
        <f>Lista!H322</f>
        <v>0</v>
      </c>
      <c r="J323" s="125">
        <f>Lista!I322</f>
        <v>0</v>
      </c>
      <c r="K323" s="125">
        <f>Lista!J322</f>
        <v>0</v>
      </c>
      <c r="L323" s="125">
        <f>Lista!K322</f>
        <v>0</v>
      </c>
      <c r="M323" s="125">
        <f>Lista!L322</f>
        <v>0</v>
      </c>
      <c r="N323" s="125">
        <f>Lista!M322</f>
        <v>0</v>
      </c>
      <c r="O323" s="125">
        <f>Lista!N322</f>
        <v>0</v>
      </c>
      <c r="P323" s="125">
        <f>Lista!O322</f>
        <v>0</v>
      </c>
      <c r="Q323" s="125">
        <f>Lista!P322</f>
        <v>0</v>
      </c>
      <c r="R323" s="125">
        <f>Lista!Q322</f>
        <v>0</v>
      </c>
      <c r="S323" s="125">
        <f>Lista!R322</f>
        <v>0</v>
      </c>
      <c r="T323" s="81"/>
      <c r="U323" s="81"/>
      <c r="V323" s="81"/>
      <c r="W323" s="81"/>
      <c r="X323" s="81"/>
      <c r="Y323" s="81"/>
      <c r="Z323" s="81"/>
      <c r="AA323" s="81"/>
      <c r="AB323" s="81"/>
      <c r="AC323" s="81"/>
      <c r="AD323" s="81"/>
      <c r="AE323" s="81"/>
      <c r="AF323" s="81"/>
      <c r="AG323" s="81"/>
      <c r="AH323" s="81"/>
      <c r="AI323" s="81"/>
      <c r="AJ323" s="81"/>
      <c r="AK323" s="81"/>
      <c r="AL323" s="81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  <c r="BA323" s="81"/>
      <c r="BB323" s="81"/>
      <c r="BC323" s="81"/>
      <c r="BD323" s="81"/>
      <c r="BE323" s="81"/>
      <c r="BF323" s="81"/>
      <c r="BG323" s="81"/>
      <c r="BH323" s="81"/>
      <c r="BI323" s="81"/>
      <c r="BJ323" s="81"/>
      <c r="BK323" s="81"/>
      <c r="BL323" s="81"/>
      <c r="BM323" s="81"/>
      <c r="BN323" s="81"/>
      <c r="BO323" s="81"/>
      <c r="BP323" s="81"/>
      <c r="BQ323" s="81"/>
      <c r="BR323" s="81"/>
      <c r="BS323" s="81"/>
      <c r="BT323" s="81"/>
      <c r="BU323" s="81"/>
      <c r="BV323" s="81"/>
      <c r="BW323" s="81"/>
      <c r="BX323" s="81"/>
      <c r="BY323" s="81"/>
      <c r="BZ323" s="81"/>
      <c r="CA323" s="81"/>
      <c r="CB323" s="81"/>
      <c r="CC323" s="81"/>
      <c r="CD323" s="81"/>
      <c r="CE323" s="81"/>
      <c r="CF323" s="81"/>
      <c r="CG323" s="81"/>
      <c r="CH323" s="81"/>
      <c r="CI323" s="81"/>
      <c r="CJ323" s="81"/>
      <c r="CK323" s="81"/>
      <c r="CL323" s="81"/>
      <c r="CM323" s="81"/>
      <c r="CN323" s="81"/>
      <c r="CO323" s="81"/>
      <c r="CP323" s="81"/>
      <c r="CQ323" s="81"/>
      <c r="CR323" s="81"/>
      <c r="CS323" s="81"/>
      <c r="CT323" s="81"/>
      <c r="CU323" s="81"/>
      <c r="CV323" s="81"/>
      <c r="CW323" s="81"/>
      <c r="CX323" s="81"/>
      <c r="CY323" s="81"/>
      <c r="CZ323" s="81"/>
      <c r="DA323" s="81"/>
      <c r="DB323" s="81"/>
      <c r="DC323" s="81"/>
      <c r="DD323" s="81"/>
      <c r="DE323" s="81"/>
      <c r="DF323" s="81"/>
      <c r="DG323" s="81"/>
      <c r="DH323" s="81"/>
      <c r="DI323" s="81"/>
      <c r="DJ323" s="81"/>
      <c r="DK323" s="81"/>
      <c r="DL323" s="81"/>
      <c r="DM323" s="81"/>
      <c r="DN323" s="81"/>
      <c r="DO323" s="81"/>
      <c r="DP323" s="81"/>
      <c r="DQ323" s="81"/>
      <c r="DR323" s="81"/>
      <c r="DS323" s="81"/>
      <c r="DT323" s="81"/>
      <c r="DU323" s="81"/>
      <c r="DV323" s="81"/>
      <c r="DW323" s="121"/>
    </row>
    <row r="324" spans="1:127" x14ac:dyDescent="0.25">
      <c r="A324" s="2">
        <f>COUNTIF($D$2:D324,'Reporte de Nomina'!$E$2)</f>
        <v>0</v>
      </c>
      <c r="B324" s="125">
        <f>Lista!A323</f>
        <v>0</v>
      </c>
      <c r="C324" s="125">
        <f>Lista!B323</f>
        <v>0</v>
      </c>
      <c r="D324" s="125">
        <f>Lista!C323</f>
        <v>0</v>
      </c>
      <c r="E324" s="125">
        <f>Lista!D323</f>
        <v>0</v>
      </c>
      <c r="F324" s="125">
        <f>Lista!E323</f>
        <v>0</v>
      </c>
      <c r="G324" s="125">
        <f>Lista!F323</f>
        <v>0</v>
      </c>
      <c r="H324" s="125">
        <f>Lista!G323</f>
        <v>0</v>
      </c>
      <c r="I324" s="125">
        <f>Lista!H323</f>
        <v>0</v>
      </c>
      <c r="J324" s="125">
        <f>Lista!I323</f>
        <v>0</v>
      </c>
      <c r="K324" s="125">
        <f>Lista!J323</f>
        <v>0</v>
      </c>
      <c r="L324" s="125">
        <f>Lista!K323</f>
        <v>0</v>
      </c>
      <c r="M324" s="125">
        <f>Lista!L323</f>
        <v>0</v>
      </c>
      <c r="N324" s="125">
        <f>Lista!M323</f>
        <v>0</v>
      </c>
      <c r="O324" s="125">
        <f>Lista!N323</f>
        <v>0</v>
      </c>
      <c r="P324" s="125">
        <f>Lista!O323</f>
        <v>0</v>
      </c>
      <c r="Q324" s="125">
        <f>Lista!P323</f>
        <v>0</v>
      </c>
      <c r="R324" s="125">
        <f>Lista!Q323</f>
        <v>0</v>
      </c>
      <c r="S324" s="125">
        <f>Lista!R323</f>
        <v>0</v>
      </c>
      <c r="T324" s="81"/>
      <c r="U324" s="81"/>
      <c r="V324" s="81"/>
      <c r="W324" s="81"/>
      <c r="X324" s="81"/>
      <c r="Y324" s="81"/>
      <c r="Z324" s="81"/>
      <c r="AA324" s="81"/>
      <c r="AB324" s="81"/>
      <c r="AC324" s="81"/>
      <c r="AD324" s="81"/>
      <c r="AE324" s="81"/>
      <c r="AF324" s="81"/>
      <c r="AG324" s="81"/>
      <c r="AH324" s="81"/>
      <c r="AI324" s="81"/>
      <c r="AJ324" s="81"/>
      <c r="AK324" s="81"/>
      <c r="AL324" s="81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  <c r="BA324" s="81"/>
      <c r="BB324" s="81"/>
      <c r="BC324" s="81"/>
      <c r="BD324" s="81"/>
      <c r="BE324" s="81"/>
      <c r="BF324" s="81"/>
      <c r="BG324" s="81"/>
      <c r="BH324" s="81"/>
      <c r="BI324" s="81"/>
      <c r="BJ324" s="81"/>
      <c r="BK324" s="81"/>
      <c r="BL324" s="81"/>
      <c r="BM324" s="81"/>
      <c r="BN324" s="81"/>
      <c r="BO324" s="81"/>
      <c r="BP324" s="81"/>
      <c r="BQ324" s="81"/>
      <c r="BR324" s="81"/>
      <c r="BS324" s="81"/>
      <c r="BT324" s="81"/>
      <c r="BU324" s="81"/>
      <c r="BV324" s="81"/>
      <c r="BW324" s="81"/>
      <c r="BX324" s="81"/>
      <c r="BY324" s="81"/>
      <c r="BZ324" s="81"/>
      <c r="CA324" s="81"/>
      <c r="CB324" s="81"/>
      <c r="CC324" s="81"/>
      <c r="CD324" s="81"/>
      <c r="CE324" s="81"/>
      <c r="CF324" s="81"/>
      <c r="CG324" s="81"/>
      <c r="CH324" s="81"/>
      <c r="CI324" s="81"/>
      <c r="CJ324" s="81"/>
      <c r="CK324" s="81"/>
      <c r="CL324" s="81"/>
      <c r="CM324" s="81"/>
      <c r="CN324" s="81"/>
      <c r="CO324" s="81"/>
      <c r="CP324" s="81"/>
      <c r="CQ324" s="81"/>
      <c r="CR324" s="81"/>
      <c r="CS324" s="81"/>
      <c r="CT324" s="81"/>
      <c r="CU324" s="81"/>
      <c r="CV324" s="81"/>
      <c r="CW324" s="81"/>
      <c r="CX324" s="81"/>
      <c r="CY324" s="81"/>
      <c r="CZ324" s="81"/>
      <c r="DA324" s="81"/>
      <c r="DB324" s="81"/>
      <c r="DC324" s="81"/>
      <c r="DD324" s="81"/>
      <c r="DE324" s="81"/>
      <c r="DF324" s="81"/>
      <c r="DG324" s="81"/>
      <c r="DH324" s="81"/>
      <c r="DI324" s="81"/>
      <c r="DJ324" s="81"/>
      <c r="DK324" s="81"/>
      <c r="DL324" s="81"/>
      <c r="DM324" s="81"/>
      <c r="DN324" s="81"/>
      <c r="DO324" s="81"/>
      <c r="DP324" s="81"/>
      <c r="DQ324" s="81"/>
      <c r="DR324" s="81"/>
      <c r="DS324" s="81"/>
      <c r="DT324" s="81"/>
      <c r="DU324" s="81"/>
      <c r="DV324" s="81"/>
      <c r="DW324" s="121"/>
    </row>
    <row r="325" spans="1:127" x14ac:dyDescent="0.25">
      <c r="A325" s="2">
        <f>COUNTIF($D$2:D325,'Reporte de Nomina'!$E$2)</f>
        <v>0</v>
      </c>
      <c r="B325" s="125">
        <f>Lista!A324</f>
        <v>0</v>
      </c>
      <c r="C325" s="125">
        <f>Lista!B324</f>
        <v>0</v>
      </c>
      <c r="D325" s="125">
        <f>Lista!C324</f>
        <v>0</v>
      </c>
      <c r="E325" s="125">
        <f>Lista!D324</f>
        <v>0</v>
      </c>
      <c r="F325" s="125">
        <f>Lista!E324</f>
        <v>0</v>
      </c>
      <c r="G325" s="125">
        <f>Lista!F324</f>
        <v>0</v>
      </c>
      <c r="H325" s="125">
        <f>Lista!G324</f>
        <v>0</v>
      </c>
      <c r="I325" s="125">
        <f>Lista!H324</f>
        <v>0</v>
      </c>
      <c r="J325" s="125">
        <f>Lista!I324</f>
        <v>0</v>
      </c>
      <c r="K325" s="125">
        <f>Lista!J324</f>
        <v>0</v>
      </c>
      <c r="L325" s="125">
        <f>Lista!K324</f>
        <v>0</v>
      </c>
      <c r="M325" s="125">
        <f>Lista!L324</f>
        <v>0</v>
      </c>
      <c r="N325" s="125">
        <f>Lista!M324</f>
        <v>0</v>
      </c>
      <c r="O325" s="125">
        <f>Lista!N324</f>
        <v>0</v>
      </c>
      <c r="P325" s="125">
        <f>Lista!O324</f>
        <v>0</v>
      </c>
      <c r="Q325" s="125">
        <f>Lista!P324</f>
        <v>0</v>
      </c>
      <c r="R325" s="125">
        <f>Lista!Q324</f>
        <v>0</v>
      </c>
      <c r="S325" s="125">
        <f>Lista!R324</f>
        <v>0</v>
      </c>
      <c r="T325" s="81"/>
      <c r="U325" s="81"/>
      <c r="V325" s="81"/>
      <c r="W325" s="81"/>
      <c r="X325" s="81"/>
      <c r="Y325" s="81"/>
      <c r="Z325" s="81"/>
      <c r="AA325" s="81"/>
      <c r="AB325" s="81"/>
      <c r="AC325" s="81"/>
      <c r="AD325" s="81"/>
      <c r="AE325" s="81"/>
      <c r="AF325" s="81"/>
      <c r="AG325" s="81"/>
      <c r="AH325" s="81"/>
      <c r="AI325" s="81"/>
      <c r="AJ325" s="81"/>
      <c r="AK325" s="81"/>
      <c r="AL325" s="81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  <c r="BA325" s="81"/>
      <c r="BB325" s="81"/>
      <c r="BC325" s="81"/>
      <c r="BD325" s="81"/>
      <c r="BE325" s="81"/>
      <c r="BF325" s="81"/>
      <c r="BG325" s="81"/>
      <c r="BH325" s="81"/>
      <c r="BI325" s="81"/>
      <c r="BJ325" s="81"/>
      <c r="BK325" s="81"/>
      <c r="BL325" s="81"/>
      <c r="BM325" s="81"/>
      <c r="BN325" s="81"/>
      <c r="BO325" s="81"/>
      <c r="BP325" s="81"/>
      <c r="BQ325" s="81"/>
      <c r="BR325" s="81"/>
      <c r="BS325" s="81"/>
      <c r="BT325" s="81"/>
      <c r="BU325" s="81"/>
      <c r="BV325" s="81"/>
      <c r="BW325" s="81"/>
      <c r="BX325" s="81"/>
      <c r="BY325" s="81"/>
      <c r="BZ325" s="81"/>
      <c r="CA325" s="81"/>
      <c r="CB325" s="81"/>
      <c r="CC325" s="81"/>
      <c r="CD325" s="81"/>
      <c r="CE325" s="81"/>
      <c r="CF325" s="81"/>
      <c r="CG325" s="81"/>
      <c r="CH325" s="81"/>
      <c r="CI325" s="81"/>
      <c r="CJ325" s="81"/>
      <c r="CK325" s="81"/>
      <c r="CL325" s="81"/>
      <c r="CM325" s="81"/>
      <c r="CN325" s="81"/>
      <c r="CO325" s="81"/>
      <c r="CP325" s="81"/>
      <c r="CQ325" s="81"/>
      <c r="CR325" s="81"/>
      <c r="CS325" s="81"/>
      <c r="CT325" s="81"/>
      <c r="CU325" s="81"/>
      <c r="CV325" s="81"/>
      <c r="CW325" s="81"/>
      <c r="CX325" s="81"/>
      <c r="CY325" s="81"/>
      <c r="CZ325" s="81"/>
      <c r="DA325" s="81"/>
      <c r="DB325" s="81"/>
      <c r="DC325" s="81"/>
      <c r="DD325" s="81"/>
      <c r="DE325" s="81"/>
      <c r="DF325" s="81"/>
      <c r="DG325" s="81"/>
      <c r="DH325" s="81"/>
      <c r="DI325" s="81"/>
      <c r="DJ325" s="81"/>
      <c r="DK325" s="81"/>
      <c r="DL325" s="81"/>
      <c r="DM325" s="81"/>
      <c r="DN325" s="81"/>
      <c r="DO325" s="81"/>
      <c r="DP325" s="81"/>
      <c r="DQ325" s="81"/>
      <c r="DR325" s="81"/>
      <c r="DS325" s="81"/>
      <c r="DT325" s="81"/>
      <c r="DU325" s="81"/>
      <c r="DV325" s="81"/>
      <c r="DW325" s="121"/>
    </row>
    <row r="326" spans="1:127" x14ac:dyDescent="0.25">
      <c r="A326" s="2">
        <f>COUNTIF($D$2:D326,'Reporte de Nomina'!$E$2)</f>
        <v>0</v>
      </c>
      <c r="B326" s="125">
        <f>Lista!A325</f>
        <v>0</v>
      </c>
      <c r="C326" s="125">
        <f>Lista!B325</f>
        <v>0</v>
      </c>
      <c r="D326" s="125">
        <f>Lista!C325</f>
        <v>0</v>
      </c>
      <c r="E326" s="125">
        <f>Lista!D325</f>
        <v>0</v>
      </c>
      <c r="F326" s="125">
        <f>Lista!E325</f>
        <v>0</v>
      </c>
      <c r="G326" s="125">
        <f>Lista!F325</f>
        <v>0</v>
      </c>
      <c r="H326" s="125">
        <f>Lista!G325</f>
        <v>0</v>
      </c>
      <c r="I326" s="125">
        <f>Lista!H325</f>
        <v>0</v>
      </c>
      <c r="J326" s="125">
        <f>Lista!I325</f>
        <v>0</v>
      </c>
      <c r="K326" s="125">
        <f>Lista!J325</f>
        <v>0</v>
      </c>
      <c r="L326" s="125">
        <f>Lista!K325</f>
        <v>0</v>
      </c>
      <c r="M326" s="125">
        <f>Lista!L325</f>
        <v>0</v>
      </c>
      <c r="N326" s="125">
        <f>Lista!M325</f>
        <v>0</v>
      </c>
      <c r="O326" s="125">
        <f>Lista!N325</f>
        <v>0</v>
      </c>
      <c r="P326" s="125">
        <f>Lista!O325</f>
        <v>0</v>
      </c>
      <c r="Q326" s="125">
        <f>Lista!P325</f>
        <v>0</v>
      </c>
      <c r="R326" s="125">
        <f>Lista!Q325</f>
        <v>0</v>
      </c>
      <c r="S326" s="125">
        <f>Lista!R325</f>
        <v>0</v>
      </c>
      <c r="T326" s="81"/>
      <c r="U326" s="81"/>
      <c r="V326" s="81"/>
      <c r="W326" s="81"/>
      <c r="X326" s="81"/>
      <c r="Y326" s="81"/>
      <c r="Z326" s="81"/>
      <c r="AA326" s="81"/>
      <c r="AB326" s="81"/>
      <c r="AC326" s="81"/>
      <c r="AD326" s="81"/>
      <c r="AE326" s="81"/>
      <c r="AF326" s="81"/>
      <c r="AG326" s="81"/>
      <c r="AH326" s="81"/>
      <c r="AI326" s="81"/>
      <c r="AJ326" s="81"/>
      <c r="AK326" s="81"/>
      <c r="AL326" s="81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  <c r="BA326" s="81"/>
      <c r="BB326" s="81"/>
      <c r="BC326" s="81"/>
      <c r="BD326" s="81"/>
      <c r="BE326" s="81"/>
      <c r="BF326" s="81"/>
      <c r="BG326" s="81"/>
      <c r="BH326" s="81"/>
      <c r="BI326" s="81"/>
      <c r="BJ326" s="81"/>
      <c r="BK326" s="81"/>
      <c r="BL326" s="81"/>
      <c r="BM326" s="81"/>
      <c r="BN326" s="81"/>
      <c r="BO326" s="81"/>
      <c r="BP326" s="81"/>
      <c r="BQ326" s="81"/>
      <c r="BR326" s="81"/>
      <c r="BS326" s="81"/>
      <c r="BT326" s="81"/>
      <c r="BU326" s="81"/>
      <c r="BV326" s="81"/>
      <c r="BW326" s="81"/>
      <c r="BX326" s="81"/>
      <c r="BY326" s="81"/>
      <c r="BZ326" s="81"/>
      <c r="CA326" s="81"/>
      <c r="CB326" s="81"/>
      <c r="CC326" s="81"/>
      <c r="CD326" s="81"/>
      <c r="CE326" s="81"/>
      <c r="CF326" s="81"/>
      <c r="CG326" s="81"/>
      <c r="CH326" s="81"/>
      <c r="CI326" s="81"/>
      <c r="CJ326" s="81"/>
      <c r="CK326" s="81"/>
      <c r="CL326" s="81"/>
      <c r="CM326" s="81"/>
      <c r="CN326" s="81"/>
      <c r="CO326" s="81"/>
      <c r="CP326" s="81"/>
      <c r="CQ326" s="81"/>
      <c r="CR326" s="81"/>
      <c r="CS326" s="81"/>
      <c r="CT326" s="81"/>
      <c r="CU326" s="81"/>
      <c r="CV326" s="81"/>
      <c r="CW326" s="81"/>
      <c r="CX326" s="81"/>
      <c r="CY326" s="81"/>
      <c r="CZ326" s="81"/>
      <c r="DA326" s="81"/>
      <c r="DB326" s="81"/>
      <c r="DC326" s="81"/>
      <c r="DD326" s="81"/>
      <c r="DE326" s="81"/>
      <c r="DF326" s="81"/>
      <c r="DG326" s="81"/>
      <c r="DH326" s="81"/>
      <c r="DI326" s="81"/>
      <c r="DJ326" s="81"/>
      <c r="DK326" s="81"/>
      <c r="DL326" s="81"/>
      <c r="DM326" s="81"/>
      <c r="DN326" s="81"/>
      <c r="DO326" s="81"/>
      <c r="DP326" s="81"/>
      <c r="DQ326" s="81"/>
      <c r="DR326" s="81"/>
      <c r="DS326" s="81"/>
      <c r="DT326" s="81"/>
      <c r="DU326" s="81"/>
      <c r="DV326" s="81"/>
      <c r="DW326" s="121"/>
    </row>
    <row r="327" spans="1:127" x14ac:dyDescent="0.25">
      <c r="A327" s="2">
        <f>COUNTIF($D$2:D327,'Reporte de Nomina'!$E$2)</f>
        <v>0</v>
      </c>
      <c r="B327" s="125">
        <f>Lista!A326</f>
        <v>0</v>
      </c>
      <c r="C327" s="125">
        <f>Lista!B326</f>
        <v>0</v>
      </c>
      <c r="D327" s="125">
        <f>Lista!C326</f>
        <v>0</v>
      </c>
      <c r="E327" s="125">
        <f>Lista!D326</f>
        <v>0</v>
      </c>
      <c r="F327" s="125">
        <f>Lista!E326</f>
        <v>0</v>
      </c>
      <c r="G327" s="125">
        <f>Lista!F326</f>
        <v>0</v>
      </c>
      <c r="H327" s="125">
        <f>Lista!G326</f>
        <v>0</v>
      </c>
      <c r="I327" s="125">
        <f>Lista!H326</f>
        <v>0</v>
      </c>
      <c r="J327" s="125">
        <f>Lista!I326</f>
        <v>0</v>
      </c>
      <c r="K327" s="125">
        <f>Lista!J326</f>
        <v>0</v>
      </c>
      <c r="L327" s="125">
        <f>Lista!K326</f>
        <v>0</v>
      </c>
      <c r="M327" s="125">
        <f>Lista!L326</f>
        <v>0</v>
      </c>
      <c r="N327" s="125">
        <f>Lista!M326</f>
        <v>0</v>
      </c>
      <c r="O327" s="125">
        <f>Lista!N326</f>
        <v>0</v>
      </c>
      <c r="P327" s="125">
        <f>Lista!O326</f>
        <v>0</v>
      </c>
      <c r="Q327" s="125">
        <f>Lista!P326</f>
        <v>0</v>
      </c>
      <c r="R327" s="125">
        <f>Lista!Q326</f>
        <v>0</v>
      </c>
      <c r="S327" s="125">
        <f>Lista!R326</f>
        <v>0</v>
      </c>
      <c r="T327" s="81"/>
      <c r="U327" s="81"/>
      <c r="V327" s="81"/>
      <c r="W327" s="81"/>
      <c r="X327" s="81"/>
      <c r="Y327" s="81"/>
      <c r="Z327" s="81"/>
      <c r="AA327" s="81"/>
      <c r="AB327" s="81"/>
      <c r="AC327" s="81"/>
      <c r="AD327" s="81"/>
      <c r="AE327" s="81"/>
      <c r="AF327" s="81"/>
      <c r="AG327" s="81"/>
      <c r="AH327" s="81"/>
      <c r="AI327" s="81"/>
      <c r="AJ327" s="81"/>
      <c r="AK327" s="81"/>
      <c r="AL327" s="81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  <c r="BA327" s="81"/>
      <c r="BB327" s="81"/>
      <c r="BC327" s="81"/>
      <c r="BD327" s="81"/>
      <c r="BE327" s="81"/>
      <c r="BF327" s="81"/>
      <c r="BG327" s="81"/>
      <c r="BH327" s="81"/>
      <c r="BI327" s="81"/>
      <c r="BJ327" s="81"/>
      <c r="BK327" s="81"/>
      <c r="BL327" s="81"/>
      <c r="BM327" s="81"/>
      <c r="BN327" s="81"/>
      <c r="BO327" s="81"/>
      <c r="BP327" s="81"/>
      <c r="BQ327" s="81"/>
      <c r="BR327" s="81"/>
      <c r="BS327" s="81"/>
      <c r="BT327" s="81"/>
      <c r="BU327" s="81"/>
      <c r="BV327" s="81"/>
      <c r="BW327" s="81"/>
      <c r="BX327" s="81"/>
      <c r="BY327" s="81"/>
      <c r="BZ327" s="81"/>
      <c r="CA327" s="81"/>
      <c r="CB327" s="81"/>
      <c r="CC327" s="81"/>
      <c r="CD327" s="81"/>
      <c r="CE327" s="81"/>
      <c r="CF327" s="81"/>
      <c r="CG327" s="81"/>
      <c r="CH327" s="81"/>
      <c r="CI327" s="81"/>
      <c r="CJ327" s="81"/>
      <c r="CK327" s="81"/>
      <c r="CL327" s="81"/>
      <c r="CM327" s="81"/>
      <c r="CN327" s="81"/>
      <c r="CO327" s="81"/>
      <c r="CP327" s="81"/>
      <c r="CQ327" s="81"/>
      <c r="CR327" s="81"/>
      <c r="CS327" s="81"/>
      <c r="CT327" s="81"/>
      <c r="CU327" s="81"/>
      <c r="CV327" s="81"/>
      <c r="CW327" s="81"/>
      <c r="CX327" s="81"/>
      <c r="CY327" s="81"/>
      <c r="CZ327" s="81"/>
      <c r="DA327" s="81"/>
      <c r="DB327" s="81"/>
      <c r="DC327" s="81"/>
      <c r="DD327" s="81"/>
      <c r="DE327" s="81"/>
      <c r="DF327" s="81"/>
      <c r="DG327" s="81"/>
      <c r="DH327" s="81"/>
      <c r="DI327" s="81"/>
      <c r="DJ327" s="81"/>
      <c r="DK327" s="81"/>
      <c r="DL327" s="81"/>
      <c r="DM327" s="81"/>
      <c r="DN327" s="81"/>
      <c r="DO327" s="81"/>
      <c r="DP327" s="81"/>
      <c r="DQ327" s="81"/>
      <c r="DR327" s="81"/>
      <c r="DS327" s="81"/>
      <c r="DT327" s="81"/>
      <c r="DU327" s="81"/>
      <c r="DV327" s="81"/>
      <c r="DW327" s="121"/>
    </row>
    <row r="328" spans="1:127" x14ac:dyDescent="0.25">
      <c r="A328" s="2">
        <f>COUNTIF($D$2:D328,'Reporte de Nomina'!$E$2)</f>
        <v>0</v>
      </c>
      <c r="B328" s="125">
        <f>Lista!A327</f>
        <v>0</v>
      </c>
      <c r="C328" s="125">
        <f>Lista!B327</f>
        <v>0</v>
      </c>
      <c r="D328" s="125">
        <f>Lista!C327</f>
        <v>0</v>
      </c>
      <c r="E328" s="125">
        <f>Lista!D327</f>
        <v>0</v>
      </c>
      <c r="F328" s="125">
        <f>Lista!E327</f>
        <v>0</v>
      </c>
      <c r="G328" s="125">
        <f>Lista!F327</f>
        <v>0</v>
      </c>
      <c r="H328" s="125">
        <f>Lista!G327</f>
        <v>0</v>
      </c>
      <c r="I328" s="125">
        <f>Lista!H327</f>
        <v>0</v>
      </c>
      <c r="J328" s="125">
        <f>Lista!I327</f>
        <v>0</v>
      </c>
      <c r="K328" s="125">
        <f>Lista!J327</f>
        <v>0</v>
      </c>
      <c r="L328" s="125">
        <f>Lista!K327</f>
        <v>0</v>
      </c>
      <c r="M328" s="125">
        <f>Lista!L327</f>
        <v>0</v>
      </c>
      <c r="N328" s="125">
        <f>Lista!M327</f>
        <v>0</v>
      </c>
      <c r="O328" s="125">
        <f>Lista!N327</f>
        <v>0</v>
      </c>
      <c r="P328" s="125">
        <f>Lista!O327</f>
        <v>0</v>
      </c>
      <c r="Q328" s="125">
        <f>Lista!P327</f>
        <v>0</v>
      </c>
      <c r="R328" s="125">
        <f>Lista!Q327</f>
        <v>0</v>
      </c>
      <c r="S328" s="125">
        <f>Lista!R327</f>
        <v>0</v>
      </c>
      <c r="T328" s="81"/>
      <c r="U328" s="81"/>
      <c r="V328" s="81"/>
      <c r="W328" s="81"/>
      <c r="X328" s="81"/>
      <c r="Y328" s="81"/>
      <c r="Z328" s="81"/>
      <c r="AA328" s="81"/>
      <c r="AB328" s="81"/>
      <c r="AC328" s="81"/>
      <c r="AD328" s="81"/>
      <c r="AE328" s="81"/>
      <c r="AF328" s="81"/>
      <c r="AG328" s="81"/>
      <c r="AH328" s="81"/>
      <c r="AI328" s="81"/>
      <c r="AJ328" s="81"/>
      <c r="AK328" s="81"/>
      <c r="AL328" s="81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  <c r="BA328" s="81"/>
      <c r="BB328" s="81"/>
      <c r="BC328" s="81"/>
      <c r="BD328" s="81"/>
      <c r="BE328" s="81"/>
      <c r="BF328" s="81"/>
      <c r="BG328" s="81"/>
      <c r="BH328" s="81"/>
      <c r="BI328" s="81"/>
      <c r="BJ328" s="81"/>
      <c r="BK328" s="81"/>
      <c r="BL328" s="81"/>
      <c r="BM328" s="81"/>
      <c r="BN328" s="81"/>
      <c r="BO328" s="81"/>
      <c r="BP328" s="81"/>
      <c r="BQ328" s="81"/>
      <c r="BR328" s="81"/>
      <c r="BS328" s="81"/>
      <c r="BT328" s="81"/>
      <c r="BU328" s="81"/>
      <c r="BV328" s="81"/>
      <c r="BW328" s="81"/>
      <c r="BX328" s="81"/>
      <c r="BY328" s="81"/>
      <c r="BZ328" s="81"/>
      <c r="CA328" s="81"/>
      <c r="CB328" s="81"/>
      <c r="CC328" s="81"/>
      <c r="CD328" s="81"/>
      <c r="CE328" s="81"/>
      <c r="CF328" s="81"/>
      <c r="CG328" s="81"/>
      <c r="CH328" s="81"/>
      <c r="CI328" s="81"/>
      <c r="CJ328" s="81"/>
      <c r="CK328" s="81"/>
      <c r="CL328" s="81"/>
      <c r="CM328" s="81"/>
      <c r="CN328" s="81"/>
      <c r="CO328" s="81"/>
      <c r="CP328" s="81"/>
      <c r="CQ328" s="81"/>
      <c r="CR328" s="81"/>
      <c r="CS328" s="81"/>
      <c r="CT328" s="81"/>
      <c r="CU328" s="81"/>
      <c r="CV328" s="81"/>
      <c r="CW328" s="81"/>
      <c r="CX328" s="81"/>
      <c r="CY328" s="81"/>
      <c r="CZ328" s="81"/>
      <c r="DA328" s="81"/>
      <c r="DB328" s="81"/>
      <c r="DC328" s="81"/>
      <c r="DD328" s="81"/>
      <c r="DE328" s="81"/>
      <c r="DF328" s="81"/>
      <c r="DG328" s="81"/>
      <c r="DH328" s="81"/>
      <c r="DI328" s="81"/>
      <c r="DJ328" s="81"/>
      <c r="DK328" s="81"/>
      <c r="DL328" s="81"/>
      <c r="DM328" s="81"/>
      <c r="DN328" s="81"/>
      <c r="DO328" s="81"/>
      <c r="DP328" s="81"/>
      <c r="DQ328" s="81"/>
      <c r="DR328" s="81"/>
      <c r="DS328" s="81"/>
      <c r="DT328" s="81"/>
      <c r="DU328" s="81"/>
      <c r="DV328" s="81"/>
      <c r="DW328" s="121"/>
    </row>
    <row r="329" spans="1:127" x14ac:dyDescent="0.25">
      <c r="A329" s="2">
        <f>COUNTIF($D$2:D329,'Reporte de Nomina'!$E$2)</f>
        <v>0</v>
      </c>
      <c r="B329" s="125">
        <f>Lista!A328</f>
        <v>0</v>
      </c>
      <c r="C329" s="125">
        <f>Lista!B328</f>
        <v>0</v>
      </c>
      <c r="D329" s="125">
        <f>Lista!C328</f>
        <v>0</v>
      </c>
      <c r="E329" s="125">
        <f>Lista!D328</f>
        <v>0</v>
      </c>
      <c r="F329" s="125">
        <f>Lista!E328</f>
        <v>0</v>
      </c>
      <c r="G329" s="125">
        <f>Lista!F328</f>
        <v>0</v>
      </c>
      <c r="H329" s="125">
        <f>Lista!G328</f>
        <v>0</v>
      </c>
      <c r="I329" s="125">
        <f>Lista!H328</f>
        <v>0</v>
      </c>
      <c r="J329" s="125">
        <f>Lista!I328</f>
        <v>0</v>
      </c>
      <c r="K329" s="125">
        <f>Lista!J328</f>
        <v>0</v>
      </c>
      <c r="L329" s="125">
        <f>Lista!K328</f>
        <v>0</v>
      </c>
      <c r="M329" s="125">
        <f>Lista!L328</f>
        <v>0</v>
      </c>
      <c r="N329" s="125">
        <f>Lista!M328</f>
        <v>0</v>
      </c>
      <c r="O329" s="125">
        <f>Lista!N328</f>
        <v>0</v>
      </c>
      <c r="P329" s="125">
        <f>Lista!O328</f>
        <v>0</v>
      </c>
      <c r="Q329" s="125">
        <f>Lista!P328</f>
        <v>0</v>
      </c>
      <c r="R329" s="125">
        <f>Lista!Q328</f>
        <v>0</v>
      </c>
      <c r="S329" s="125">
        <f>Lista!R328</f>
        <v>0</v>
      </c>
      <c r="T329" s="81"/>
      <c r="U329" s="81"/>
      <c r="V329" s="81"/>
      <c r="W329" s="81"/>
      <c r="X329" s="81"/>
      <c r="Y329" s="81"/>
      <c r="Z329" s="81"/>
      <c r="AA329" s="81"/>
      <c r="AB329" s="81"/>
      <c r="AC329" s="81"/>
      <c r="AD329" s="81"/>
      <c r="AE329" s="81"/>
      <c r="AF329" s="81"/>
      <c r="AG329" s="81"/>
      <c r="AH329" s="81"/>
      <c r="AI329" s="81"/>
      <c r="AJ329" s="81"/>
      <c r="AK329" s="81"/>
      <c r="AL329" s="81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  <c r="BA329" s="81"/>
      <c r="BB329" s="81"/>
      <c r="BC329" s="81"/>
      <c r="BD329" s="81"/>
      <c r="BE329" s="81"/>
      <c r="BF329" s="81"/>
      <c r="BG329" s="81"/>
      <c r="BH329" s="81"/>
      <c r="BI329" s="81"/>
      <c r="BJ329" s="81"/>
      <c r="BK329" s="81"/>
      <c r="BL329" s="81"/>
      <c r="BM329" s="81"/>
      <c r="BN329" s="81"/>
      <c r="BO329" s="81"/>
      <c r="BP329" s="81"/>
      <c r="BQ329" s="81"/>
      <c r="BR329" s="81"/>
      <c r="BS329" s="81"/>
      <c r="BT329" s="81"/>
      <c r="BU329" s="81"/>
      <c r="BV329" s="81"/>
      <c r="BW329" s="81"/>
      <c r="BX329" s="81"/>
      <c r="BY329" s="81"/>
      <c r="BZ329" s="81"/>
      <c r="CA329" s="81"/>
      <c r="CB329" s="81"/>
      <c r="CC329" s="81"/>
      <c r="CD329" s="81"/>
      <c r="CE329" s="81"/>
      <c r="CF329" s="81"/>
      <c r="CG329" s="81"/>
      <c r="CH329" s="81"/>
      <c r="CI329" s="81"/>
      <c r="CJ329" s="81"/>
      <c r="CK329" s="81"/>
      <c r="CL329" s="81"/>
      <c r="CM329" s="81"/>
      <c r="CN329" s="81"/>
      <c r="CO329" s="81"/>
      <c r="CP329" s="81"/>
      <c r="CQ329" s="81"/>
      <c r="CR329" s="81"/>
      <c r="CS329" s="81"/>
      <c r="CT329" s="81"/>
      <c r="CU329" s="81"/>
      <c r="CV329" s="81"/>
      <c r="CW329" s="81"/>
      <c r="CX329" s="81"/>
      <c r="CY329" s="81"/>
      <c r="CZ329" s="81"/>
      <c r="DA329" s="81"/>
      <c r="DB329" s="81"/>
      <c r="DC329" s="81"/>
      <c r="DD329" s="81"/>
      <c r="DE329" s="81"/>
      <c r="DF329" s="81"/>
      <c r="DG329" s="81"/>
      <c r="DH329" s="81"/>
      <c r="DI329" s="81"/>
      <c r="DJ329" s="81"/>
      <c r="DK329" s="81"/>
      <c r="DL329" s="81"/>
      <c r="DM329" s="81"/>
      <c r="DN329" s="81"/>
      <c r="DO329" s="81"/>
      <c r="DP329" s="81"/>
      <c r="DQ329" s="81"/>
      <c r="DR329" s="81"/>
      <c r="DS329" s="81"/>
      <c r="DT329" s="81"/>
      <c r="DU329" s="81"/>
      <c r="DV329" s="81"/>
      <c r="DW329" s="121"/>
    </row>
    <row r="330" spans="1:127" x14ac:dyDescent="0.25">
      <c r="A330" s="2">
        <f>COUNTIF($D$2:D330,'Reporte de Nomina'!$E$2)</f>
        <v>0</v>
      </c>
      <c r="B330" s="125">
        <f>Lista!A329</f>
        <v>0</v>
      </c>
      <c r="C330" s="125">
        <f>Lista!B329</f>
        <v>0</v>
      </c>
      <c r="D330" s="125">
        <f>Lista!C329</f>
        <v>0</v>
      </c>
      <c r="E330" s="125">
        <f>Lista!D329</f>
        <v>0</v>
      </c>
      <c r="F330" s="125">
        <f>Lista!E329</f>
        <v>0</v>
      </c>
      <c r="G330" s="125">
        <f>Lista!F329</f>
        <v>0</v>
      </c>
      <c r="H330" s="125">
        <f>Lista!G329</f>
        <v>0</v>
      </c>
      <c r="I330" s="125">
        <f>Lista!H329</f>
        <v>0</v>
      </c>
      <c r="J330" s="125">
        <f>Lista!I329</f>
        <v>0</v>
      </c>
      <c r="K330" s="125">
        <f>Lista!J329</f>
        <v>0</v>
      </c>
      <c r="L330" s="125">
        <f>Lista!K329</f>
        <v>0</v>
      </c>
      <c r="M330" s="125">
        <f>Lista!L329</f>
        <v>0</v>
      </c>
      <c r="N330" s="125">
        <f>Lista!M329</f>
        <v>0</v>
      </c>
      <c r="O330" s="125">
        <f>Lista!N329</f>
        <v>0</v>
      </c>
      <c r="P330" s="125">
        <f>Lista!O329</f>
        <v>0</v>
      </c>
      <c r="Q330" s="125">
        <f>Lista!P329</f>
        <v>0</v>
      </c>
      <c r="R330" s="125">
        <f>Lista!Q329</f>
        <v>0</v>
      </c>
      <c r="S330" s="125">
        <f>Lista!R329</f>
        <v>0</v>
      </c>
      <c r="T330" s="81"/>
      <c r="U330" s="81"/>
      <c r="V330" s="81"/>
      <c r="W330" s="81"/>
      <c r="X330" s="81"/>
      <c r="Y330" s="81"/>
      <c r="Z330" s="81"/>
      <c r="AA330" s="81"/>
      <c r="AB330" s="81"/>
      <c r="AC330" s="81"/>
      <c r="AD330" s="81"/>
      <c r="AE330" s="81"/>
      <c r="AF330" s="81"/>
      <c r="AG330" s="81"/>
      <c r="AH330" s="81"/>
      <c r="AI330" s="81"/>
      <c r="AJ330" s="81"/>
      <c r="AK330" s="81"/>
      <c r="AL330" s="81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  <c r="BA330" s="81"/>
      <c r="BB330" s="81"/>
      <c r="BC330" s="81"/>
      <c r="BD330" s="81"/>
      <c r="BE330" s="81"/>
      <c r="BF330" s="81"/>
      <c r="BG330" s="81"/>
      <c r="BH330" s="81"/>
      <c r="BI330" s="81"/>
      <c r="BJ330" s="81"/>
      <c r="BK330" s="81"/>
      <c r="BL330" s="81"/>
      <c r="BM330" s="81"/>
      <c r="BN330" s="81"/>
      <c r="BO330" s="81"/>
      <c r="BP330" s="81"/>
      <c r="BQ330" s="81"/>
      <c r="BR330" s="81"/>
      <c r="BS330" s="81"/>
      <c r="BT330" s="81"/>
      <c r="BU330" s="81"/>
      <c r="BV330" s="81"/>
      <c r="BW330" s="81"/>
      <c r="BX330" s="81"/>
      <c r="BY330" s="81"/>
      <c r="BZ330" s="81"/>
      <c r="CA330" s="81"/>
      <c r="CB330" s="81"/>
      <c r="CC330" s="81"/>
      <c r="CD330" s="81"/>
      <c r="CE330" s="81"/>
      <c r="CF330" s="81"/>
      <c r="CG330" s="81"/>
      <c r="CH330" s="81"/>
      <c r="CI330" s="81"/>
      <c r="CJ330" s="81"/>
      <c r="CK330" s="81"/>
      <c r="CL330" s="81"/>
      <c r="CM330" s="81"/>
      <c r="CN330" s="81"/>
      <c r="CO330" s="81"/>
      <c r="CP330" s="81"/>
      <c r="CQ330" s="81"/>
      <c r="CR330" s="81"/>
      <c r="CS330" s="81"/>
      <c r="CT330" s="81"/>
      <c r="CU330" s="81"/>
      <c r="CV330" s="81"/>
      <c r="CW330" s="81"/>
      <c r="CX330" s="81"/>
      <c r="CY330" s="81"/>
      <c r="CZ330" s="81"/>
      <c r="DA330" s="81"/>
      <c r="DB330" s="81"/>
      <c r="DC330" s="81"/>
      <c r="DD330" s="81"/>
      <c r="DE330" s="81"/>
      <c r="DF330" s="81"/>
      <c r="DG330" s="81"/>
      <c r="DH330" s="81"/>
      <c r="DI330" s="81"/>
      <c r="DJ330" s="81"/>
      <c r="DK330" s="81"/>
      <c r="DL330" s="81"/>
      <c r="DM330" s="81"/>
      <c r="DN330" s="81"/>
      <c r="DO330" s="81"/>
      <c r="DP330" s="81"/>
      <c r="DQ330" s="81"/>
      <c r="DR330" s="81"/>
      <c r="DS330" s="81"/>
      <c r="DT330" s="81"/>
      <c r="DU330" s="81"/>
      <c r="DV330" s="81"/>
      <c r="DW330" s="121"/>
    </row>
    <row r="331" spans="1:127" x14ac:dyDescent="0.25">
      <c r="A331" s="2">
        <f>COUNTIF($D$2:D331,'Reporte de Nomina'!$E$2)</f>
        <v>0</v>
      </c>
      <c r="B331" s="125">
        <f>Lista!A330</f>
        <v>0</v>
      </c>
      <c r="C331" s="125">
        <f>Lista!B330</f>
        <v>0</v>
      </c>
      <c r="D331" s="125">
        <f>Lista!C330</f>
        <v>0</v>
      </c>
      <c r="E331" s="125">
        <f>Lista!D330</f>
        <v>0</v>
      </c>
      <c r="F331" s="125">
        <f>Lista!E330</f>
        <v>0</v>
      </c>
      <c r="G331" s="125">
        <f>Lista!F330</f>
        <v>0</v>
      </c>
      <c r="H331" s="125">
        <f>Lista!G330</f>
        <v>0</v>
      </c>
      <c r="I331" s="125">
        <f>Lista!H330</f>
        <v>0</v>
      </c>
      <c r="J331" s="125">
        <f>Lista!I330</f>
        <v>0</v>
      </c>
      <c r="K331" s="125">
        <f>Lista!J330</f>
        <v>0</v>
      </c>
      <c r="L331" s="125">
        <f>Lista!K330</f>
        <v>0</v>
      </c>
      <c r="M331" s="125">
        <f>Lista!L330</f>
        <v>0</v>
      </c>
      <c r="N331" s="125">
        <f>Lista!M330</f>
        <v>0</v>
      </c>
      <c r="O331" s="125">
        <f>Lista!N330</f>
        <v>0</v>
      </c>
      <c r="P331" s="125">
        <f>Lista!O330</f>
        <v>0</v>
      </c>
      <c r="Q331" s="125">
        <f>Lista!P330</f>
        <v>0</v>
      </c>
      <c r="R331" s="125">
        <f>Lista!Q330</f>
        <v>0</v>
      </c>
      <c r="S331" s="125">
        <f>Lista!R330</f>
        <v>0</v>
      </c>
      <c r="T331" s="81"/>
      <c r="U331" s="81"/>
      <c r="V331" s="81"/>
      <c r="W331" s="81"/>
      <c r="X331" s="81"/>
      <c r="Y331" s="81"/>
      <c r="Z331" s="81"/>
      <c r="AA331" s="81"/>
      <c r="AB331" s="81"/>
      <c r="AC331" s="81"/>
      <c r="AD331" s="81"/>
      <c r="AE331" s="81"/>
      <c r="AF331" s="81"/>
      <c r="AG331" s="81"/>
      <c r="AH331" s="81"/>
      <c r="AI331" s="81"/>
      <c r="AJ331" s="81"/>
      <c r="AK331" s="81"/>
      <c r="AL331" s="81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  <c r="BA331" s="81"/>
      <c r="BB331" s="81"/>
      <c r="BC331" s="81"/>
      <c r="BD331" s="81"/>
      <c r="BE331" s="81"/>
      <c r="BF331" s="81"/>
      <c r="BG331" s="81"/>
      <c r="BH331" s="81"/>
      <c r="BI331" s="81"/>
      <c r="BJ331" s="81"/>
      <c r="BK331" s="81"/>
      <c r="BL331" s="81"/>
      <c r="BM331" s="81"/>
      <c r="BN331" s="81"/>
      <c r="BO331" s="81"/>
      <c r="BP331" s="81"/>
      <c r="BQ331" s="81"/>
      <c r="BR331" s="81"/>
      <c r="BS331" s="81"/>
      <c r="BT331" s="81"/>
      <c r="BU331" s="81"/>
      <c r="BV331" s="81"/>
      <c r="BW331" s="81"/>
      <c r="BX331" s="81"/>
      <c r="BY331" s="81"/>
      <c r="BZ331" s="81"/>
      <c r="CA331" s="81"/>
      <c r="CB331" s="81"/>
      <c r="CC331" s="81"/>
      <c r="CD331" s="81"/>
      <c r="CE331" s="81"/>
      <c r="CF331" s="81"/>
      <c r="CG331" s="81"/>
      <c r="CH331" s="81"/>
      <c r="CI331" s="81"/>
      <c r="CJ331" s="81"/>
      <c r="CK331" s="81"/>
      <c r="CL331" s="81"/>
      <c r="CM331" s="81"/>
      <c r="CN331" s="81"/>
      <c r="CO331" s="81"/>
      <c r="CP331" s="81"/>
      <c r="CQ331" s="81"/>
      <c r="CR331" s="81"/>
      <c r="CS331" s="81"/>
      <c r="CT331" s="81"/>
      <c r="CU331" s="81"/>
      <c r="CV331" s="81"/>
      <c r="CW331" s="81"/>
      <c r="CX331" s="81"/>
      <c r="CY331" s="81"/>
      <c r="CZ331" s="81"/>
      <c r="DA331" s="81"/>
      <c r="DB331" s="81"/>
      <c r="DC331" s="81"/>
      <c r="DD331" s="81"/>
      <c r="DE331" s="81"/>
      <c r="DF331" s="81"/>
      <c r="DG331" s="81"/>
      <c r="DH331" s="81"/>
      <c r="DI331" s="81"/>
      <c r="DJ331" s="81"/>
      <c r="DK331" s="81"/>
      <c r="DL331" s="81"/>
      <c r="DM331" s="81"/>
      <c r="DN331" s="81"/>
      <c r="DO331" s="81"/>
      <c r="DP331" s="81"/>
      <c r="DQ331" s="81"/>
      <c r="DR331" s="81"/>
      <c r="DS331" s="81"/>
      <c r="DT331" s="81"/>
      <c r="DU331" s="81"/>
      <c r="DV331" s="81"/>
      <c r="DW331" s="121"/>
    </row>
    <row r="332" spans="1:127" x14ac:dyDescent="0.25">
      <c r="A332" s="2">
        <f>COUNTIF($D$2:D332,'Reporte de Nomina'!$E$2)</f>
        <v>0</v>
      </c>
      <c r="B332" s="125">
        <f>Lista!A331</f>
        <v>0</v>
      </c>
      <c r="C332" s="125">
        <f>Lista!B331</f>
        <v>0</v>
      </c>
      <c r="D332" s="125">
        <f>Lista!C331</f>
        <v>0</v>
      </c>
      <c r="E332" s="125">
        <f>Lista!D331</f>
        <v>0</v>
      </c>
      <c r="F332" s="125">
        <f>Lista!E331</f>
        <v>0</v>
      </c>
      <c r="G332" s="125">
        <f>Lista!F331</f>
        <v>0</v>
      </c>
      <c r="H332" s="125">
        <f>Lista!G331</f>
        <v>0</v>
      </c>
      <c r="I332" s="125">
        <f>Lista!H331</f>
        <v>0</v>
      </c>
      <c r="J332" s="125">
        <f>Lista!I331</f>
        <v>0</v>
      </c>
      <c r="K332" s="125">
        <f>Lista!J331</f>
        <v>0</v>
      </c>
      <c r="L332" s="125">
        <f>Lista!K331</f>
        <v>0</v>
      </c>
      <c r="M332" s="125">
        <f>Lista!L331</f>
        <v>0</v>
      </c>
      <c r="N332" s="125">
        <f>Lista!M331</f>
        <v>0</v>
      </c>
      <c r="O332" s="125">
        <f>Lista!N331</f>
        <v>0</v>
      </c>
      <c r="P332" s="125">
        <f>Lista!O331</f>
        <v>0</v>
      </c>
      <c r="Q332" s="125">
        <f>Lista!P331</f>
        <v>0</v>
      </c>
      <c r="R332" s="125">
        <f>Lista!Q331</f>
        <v>0</v>
      </c>
      <c r="S332" s="125">
        <f>Lista!R331</f>
        <v>0</v>
      </c>
      <c r="T332" s="81"/>
      <c r="U332" s="81"/>
      <c r="V332" s="81"/>
      <c r="W332" s="81"/>
      <c r="X332" s="81"/>
      <c r="Y332" s="81"/>
      <c r="Z332" s="81"/>
      <c r="AA332" s="81"/>
      <c r="AB332" s="81"/>
      <c r="AC332" s="81"/>
      <c r="AD332" s="81"/>
      <c r="AE332" s="81"/>
      <c r="AF332" s="81"/>
      <c r="AG332" s="81"/>
      <c r="AH332" s="81"/>
      <c r="AI332" s="81"/>
      <c r="AJ332" s="81"/>
      <c r="AK332" s="81"/>
      <c r="AL332" s="81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  <c r="BA332" s="81"/>
      <c r="BB332" s="81"/>
      <c r="BC332" s="81"/>
      <c r="BD332" s="81"/>
      <c r="BE332" s="81"/>
      <c r="BF332" s="81"/>
      <c r="BG332" s="81"/>
      <c r="BH332" s="81"/>
      <c r="BI332" s="81"/>
      <c r="BJ332" s="81"/>
      <c r="BK332" s="81"/>
      <c r="BL332" s="81"/>
      <c r="BM332" s="81"/>
      <c r="BN332" s="81"/>
      <c r="BO332" s="81"/>
      <c r="BP332" s="81"/>
      <c r="BQ332" s="81"/>
      <c r="BR332" s="81"/>
      <c r="BS332" s="81"/>
      <c r="BT332" s="81"/>
      <c r="BU332" s="81"/>
      <c r="BV332" s="81"/>
      <c r="BW332" s="81"/>
      <c r="BX332" s="81"/>
      <c r="BY332" s="81"/>
      <c r="BZ332" s="81"/>
      <c r="CA332" s="81"/>
      <c r="CB332" s="81"/>
      <c r="CC332" s="81"/>
      <c r="CD332" s="81"/>
      <c r="CE332" s="81"/>
      <c r="CF332" s="81"/>
      <c r="CG332" s="81"/>
      <c r="CH332" s="81"/>
      <c r="CI332" s="81"/>
      <c r="CJ332" s="81"/>
      <c r="CK332" s="81"/>
      <c r="CL332" s="81"/>
      <c r="CM332" s="81"/>
      <c r="CN332" s="81"/>
      <c r="CO332" s="81"/>
      <c r="CP332" s="81"/>
      <c r="CQ332" s="81"/>
      <c r="CR332" s="81"/>
      <c r="CS332" s="81"/>
      <c r="CT332" s="81"/>
      <c r="CU332" s="81"/>
      <c r="CV332" s="81"/>
      <c r="CW332" s="81"/>
      <c r="CX332" s="81"/>
      <c r="CY332" s="81"/>
      <c r="CZ332" s="81"/>
      <c r="DA332" s="81"/>
      <c r="DB332" s="81"/>
      <c r="DC332" s="81"/>
      <c r="DD332" s="81"/>
      <c r="DE332" s="81"/>
      <c r="DF332" s="81"/>
      <c r="DG332" s="81"/>
      <c r="DH332" s="81"/>
      <c r="DI332" s="81"/>
      <c r="DJ332" s="81"/>
      <c r="DK332" s="81"/>
      <c r="DL332" s="81"/>
      <c r="DM332" s="81"/>
      <c r="DN332" s="81"/>
      <c r="DO332" s="81"/>
      <c r="DP332" s="81"/>
      <c r="DQ332" s="81"/>
      <c r="DR332" s="81"/>
      <c r="DS332" s="81"/>
      <c r="DT332" s="81"/>
      <c r="DU332" s="81"/>
      <c r="DV332" s="81"/>
      <c r="DW332" s="121"/>
    </row>
    <row r="333" spans="1:127" x14ac:dyDescent="0.25">
      <c r="A333" s="2">
        <f>COUNTIF($D$2:D333,'Reporte de Nomina'!$E$2)</f>
        <v>0</v>
      </c>
      <c r="B333" s="125">
        <f>Lista!A332</f>
        <v>0</v>
      </c>
      <c r="C333" s="125">
        <f>Lista!B332</f>
        <v>0</v>
      </c>
      <c r="D333" s="125">
        <f>Lista!C332</f>
        <v>0</v>
      </c>
      <c r="E333" s="125">
        <f>Lista!D332</f>
        <v>0</v>
      </c>
      <c r="F333" s="125">
        <f>Lista!E332</f>
        <v>0</v>
      </c>
      <c r="G333" s="125">
        <f>Lista!F332</f>
        <v>0</v>
      </c>
      <c r="H333" s="125">
        <f>Lista!G332</f>
        <v>0</v>
      </c>
      <c r="I333" s="125">
        <f>Lista!H332</f>
        <v>0</v>
      </c>
      <c r="J333" s="125">
        <f>Lista!I332</f>
        <v>0</v>
      </c>
      <c r="K333" s="125">
        <f>Lista!J332</f>
        <v>0</v>
      </c>
      <c r="L333" s="125">
        <f>Lista!K332</f>
        <v>0</v>
      </c>
      <c r="M333" s="125">
        <f>Lista!L332</f>
        <v>0</v>
      </c>
      <c r="N333" s="125">
        <f>Lista!M332</f>
        <v>0</v>
      </c>
      <c r="O333" s="125">
        <f>Lista!N332</f>
        <v>0</v>
      </c>
      <c r="P333" s="125">
        <f>Lista!O332</f>
        <v>0</v>
      </c>
      <c r="Q333" s="125">
        <f>Lista!P332</f>
        <v>0</v>
      </c>
      <c r="R333" s="125">
        <f>Lista!Q332</f>
        <v>0</v>
      </c>
      <c r="S333" s="125">
        <f>Lista!R332</f>
        <v>0</v>
      </c>
      <c r="T333" s="81"/>
      <c r="U333" s="81"/>
      <c r="V333" s="81"/>
      <c r="W333" s="81"/>
      <c r="X333" s="81"/>
      <c r="Y333" s="81"/>
      <c r="Z333" s="81"/>
      <c r="AA333" s="81"/>
      <c r="AB333" s="81"/>
      <c r="AC333" s="81"/>
      <c r="AD333" s="81"/>
      <c r="AE333" s="81"/>
      <c r="AF333" s="81"/>
      <c r="AG333" s="81"/>
      <c r="AH333" s="81"/>
      <c r="AI333" s="81"/>
      <c r="AJ333" s="81"/>
      <c r="AK333" s="81"/>
      <c r="AL333" s="81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  <c r="BA333" s="81"/>
      <c r="BB333" s="81"/>
      <c r="BC333" s="81"/>
      <c r="BD333" s="81"/>
      <c r="BE333" s="81"/>
      <c r="BF333" s="81"/>
      <c r="BG333" s="81"/>
      <c r="BH333" s="81"/>
      <c r="BI333" s="81"/>
      <c r="BJ333" s="81"/>
      <c r="BK333" s="81"/>
      <c r="BL333" s="81"/>
      <c r="BM333" s="81"/>
      <c r="BN333" s="81"/>
      <c r="BO333" s="81"/>
      <c r="BP333" s="81"/>
      <c r="BQ333" s="81"/>
      <c r="BR333" s="81"/>
      <c r="BS333" s="81"/>
      <c r="BT333" s="81"/>
      <c r="BU333" s="81"/>
      <c r="BV333" s="81"/>
      <c r="BW333" s="81"/>
      <c r="BX333" s="81"/>
      <c r="BY333" s="81"/>
      <c r="BZ333" s="81"/>
      <c r="CA333" s="81"/>
      <c r="CB333" s="81"/>
      <c r="CC333" s="81"/>
      <c r="CD333" s="81"/>
      <c r="CE333" s="81"/>
      <c r="CF333" s="81"/>
      <c r="CG333" s="81"/>
      <c r="CH333" s="81"/>
      <c r="CI333" s="81"/>
      <c r="CJ333" s="81"/>
      <c r="CK333" s="81"/>
      <c r="CL333" s="81"/>
      <c r="CM333" s="81"/>
      <c r="CN333" s="81"/>
      <c r="CO333" s="81"/>
      <c r="CP333" s="81"/>
      <c r="CQ333" s="81"/>
      <c r="CR333" s="81"/>
      <c r="CS333" s="81"/>
      <c r="CT333" s="81"/>
      <c r="CU333" s="81"/>
      <c r="CV333" s="81"/>
      <c r="CW333" s="81"/>
      <c r="CX333" s="81"/>
      <c r="CY333" s="81"/>
      <c r="CZ333" s="81"/>
      <c r="DA333" s="81"/>
      <c r="DB333" s="81"/>
      <c r="DC333" s="81"/>
      <c r="DD333" s="81"/>
      <c r="DE333" s="81"/>
      <c r="DF333" s="81"/>
      <c r="DG333" s="81"/>
      <c r="DH333" s="81"/>
      <c r="DI333" s="81"/>
      <c r="DJ333" s="81"/>
      <c r="DK333" s="81"/>
      <c r="DL333" s="81"/>
      <c r="DM333" s="81"/>
      <c r="DN333" s="81"/>
      <c r="DO333" s="81"/>
      <c r="DP333" s="81"/>
      <c r="DQ333" s="81"/>
      <c r="DR333" s="81"/>
      <c r="DS333" s="81"/>
      <c r="DT333" s="81"/>
      <c r="DU333" s="81"/>
      <c r="DV333" s="81"/>
      <c r="DW333" s="121"/>
    </row>
    <row r="334" spans="1:127" x14ac:dyDescent="0.25">
      <c r="A334" s="2">
        <f>COUNTIF($D$2:D334,'Reporte de Nomina'!$E$2)</f>
        <v>0</v>
      </c>
      <c r="B334" s="125">
        <f>Lista!A333</f>
        <v>0</v>
      </c>
      <c r="C334" s="125">
        <f>Lista!B333</f>
        <v>0</v>
      </c>
      <c r="D334" s="125">
        <f>Lista!C333</f>
        <v>0</v>
      </c>
      <c r="E334" s="125">
        <f>Lista!D333</f>
        <v>0</v>
      </c>
      <c r="F334" s="125">
        <f>Lista!E333</f>
        <v>0</v>
      </c>
      <c r="G334" s="125">
        <f>Lista!F333</f>
        <v>0</v>
      </c>
      <c r="H334" s="125">
        <f>Lista!G333</f>
        <v>0</v>
      </c>
      <c r="I334" s="125">
        <f>Lista!H333</f>
        <v>0</v>
      </c>
      <c r="J334" s="125">
        <f>Lista!I333</f>
        <v>0</v>
      </c>
      <c r="K334" s="125">
        <f>Lista!J333</f>
        <v>0</v>
      </c>
      <c r="L334" s="125">
        <f>Lista!K333</f>
        <v>0</v>
      </c>
      <c r="M334" s="125">
        <f>Lista!L333</f>
        <v>0</v>
      </c>
      <c r="N334" s="125">
        <f>Lista!M333</f>
        <v>0</v>
      </c>
      <c r="O334" s="125">
        <f>Lista!N333</f>
        <v>0</v>
      </c>
      <c r="P334" s="125">
        <f>Lista!O333</f>
        <v>0</v>
      </c>
      <c r="Q334" s="125">
        <f>Lista!P333</f>
        <v>0</v>
      </c>
      <c r="R334" s="125">
        <f>Lista!Q333</f>
        <v>0</v>
      </c>
      <c r="S334" s="125">
        <f>Lista!R333</f>
        <v>0</v>
      </c>
      <c r="T334" s="81"/>
      <c r="U334" s="81"/>
      <c r="V334" s="81"/>
      <c r="W334" s="81"/>
      <c r="X334" s="81"/>
      <c r="Y334" s="81"/>
      <c r="Z334" s="81"/>
      <c r="AA334" s="81"/>
      <c r="AB334" s="81"/>
      <c r="AC334" s="81"/>
      <c r="AD334" s="81"/>
      <c r="AE334" s="81"/>
      <c r="AF334" s="81"/>
      <c r="AG334" s="81"/>
      <c r="AH334" s="81"/>
      <c r="AI334" s="81"/>
      <c r="AJ334" s="81"/>
      <c r="AK334" s="81"/>
      <c r="AL334" s="81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  <c r="BA334" s="81"/>
      <c r="BB334" s="81"/>
      <c r="BC334" s="81"/>
      <c r="BD334" s="81"/>
      <c r="BE334" s="81"/>
      <c r="BF334" s="81"/>
      <c r="BG334" s="81"/>
      <c r="BH334" s="81"/>
      <c r="BI334" s="81"/>
      <c r="BJ334" s="81"/>
      <c r="BK334" s="81"/>
      <c r="BL334" s="81"/>
      <c r="BM334" s="81"/>
      <c r="BN334" s="81"/>
      <c r="BO334" s="81"/>
      <c r="BP334" s="81"/>
      <c r="BQ334" s="81"/>
      <c r="BR334" s="81"/>
      <c r="BS334" s="81"/>
      <c r="BT334" s="81"/>
      <c r="BU334" s="81"/>
      <c r="BV334" s="81"/>
      <c r="BW334" s="81"/>
      <c r="BX334" s="81"/>
      <c r="BY334" s="81"/>
      <c r="BZ334" s="81"/>
      <c r="CA334" s="81"/>
      <c r="CB334" s="81"/>
      <c r="CC334" s="81"/>
      <c r="CD334" s="81"/>
      <c r="CE334" s="81"/>
      <c r="CF334" s="81"/>
      <c r="CG334" s="81"/>
      <c r="CH334" s="81"/>
      <c r="CI334" s="81"/>
      <c r="CJ334" s="81"/>
      <c r="CK334" s="81"/>
      <c r="CL334" s="81"/>
      <c r="CM334" s="81"/>
      <c r="CN334" s="81"/>
      <c r="CO334" s="81"/>
      <c r="CP334" s="81"/>
      <c r="CQ334" s="81"/>
      <c r="CR334" s="81"/>
      <c r="CS334" s="81"/>
      <c r="CT334" s="81"/>
      <c r="CU334" s="81"/>
      <c r="CV334" s="81"/>
      <c r="CW334" s="81"/>
      <c r="CX334" s="81"/>
      <c r="CY334" s="81"/>
      <c r="CZ334" s="81"/>
      <c r="DA334" s="81"/>
      <c r="DB334" s="81"/>
      <c r="DC334" s="81"/>
      <c r="DD334" s="81"/>
      <c r="DE334" s="81"/>
      <c r="DF334" s="81"/>
      <c r="DG334" s="81"/>
      <c r="DH334" s="81"/>
      <c r="DI334" s="81"/>
      <c r="DJ334" s="81"/>
      <c r="DK334" s="81"/>
      <c r="DL334" s="81"/>
      <c r="DM334" s="81"/>
      <c r="DN334" s="81"/>
      <c r="DO334" s="81"/>
      <c r="DP334" s="81"/>
      <c r="DQ334" s="81"/>
      <c r="DR334" s="81"/>
      <c r="DS334" s="81"/>
      <c r="DT334" s="81"/>
      <c r="DU334" s="81"/>
      <c r="DV334" s="81"/>
      <c r="DW334" s="121"/>
    </row>
    <row r="335" spans="1:127" x14ac:dyDescent="0.25">
      <c r="A335" s="2">
        <f>COUNTIF($D$2:D335,'Reporte de Nomina'!$E$2)</f>
        <v>0</v>
      </c>
      <c r="B335" s="125">
        <f>Lista!A334</f>
        <v>0</v>
      </c>
      <c r="C335" s="125">
        <f>Lista!B334</f>
        <v>0</v>
      </c>
      <c r="D335" s="125">
        <f>Lista!C334</f>
        <v>0</v>
      </c>
      <c r="E335" s="125">
        <f>Lista!D334</f>
        <v>0</v>
      </c>
      <c r="F335" s="125">
        <f>Lista!E334</f>
        <v>0</v>
      </c>
      <c r="G335" s="125">
        <f>Lista!F334</f>
        <v>0</v>
      </c>
      <c r="H335" s="125">
        <f>Lista!G334</f>
        <v>0</v>
      </c>
      <c r="I335" s="125">
        <f>Lista!H334</f>
        <v>0</v>
      </c>
      <c r="J335" s="125">
        <f>Lista!I334</f>
        <v>0</v>
      </c>
      <c r="K335" s="125">
        <f>Lista!J334</f>
        <v>0</v>
      </c>
      <c r="L335" s="125">
        <f>Lista!K334</f>
        <v>0</v>
      </c>
      <c r="M335" s="125">
        <f>Lista!L334</f>
        <v>0</v>
      </c>
      <c r="N335" s="125">
        <f>Lista!M334</f>
        <v>0</v>
      </c>
      <c r="O335" s="125">
        <f>Lista!N334</f>
        <v>0</v>
      </c>
      <c r="P335" s="125">
        <f>Lista!O334</f>
        <v>0</v>
      </c>
      <c r="Q335" s="125">
        <f>Lista!P334</f>
        <v>0</v>
      </c>
      <c r="R335" s="125">
        <f>Lista!Q334</f>
        <v>0</v>
      </c>
      <c r="S335" s="125">
        <f>Lista!R334</f>
        <v>0</v>
      </c>
      <c r="T335" s="81"/>
      <c r="U335" s="81"/>
      <c r="V335" s="81"/>
      <c r="W335" s="81"/>
      <c r="X335" s="81"/>
      <c r="Y335" s="81"/>
      <c r="Z335" s="81"/>
      <c r="AA335" s="81"/>
      <c r="AB335" s="81"/>
      <c r="AC335" s="81"/>
      <c r="AD335" s="81"/>
      <c r="AE335" s="81"/>
      <c r="AF335" s="81"/>
      <c r="AG335" s="81"/>
      <c r="AH335" s="81"/>
      <c r="AI335" s="81"/>
      <c r="AJ335" s="81"/>
      <c r="AK335" s="81"/>
      <c r="AL335" s="81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  <c r="BA335" s="81"/>
      <c r="BB335" s="81"/>
      <c r="BC335" s="81"/>
      <c r="BD335" s="81"/>
      <c r="BE335" s="81"/>
      <c r="BF335" s="81"/>
      <c r="BG335" s="81"/>
      <c r="BH335" s="81"/>
      <c r="BI335" s="81"/>
      <c r="BJ335" s="81"/>
      <c r="BK335" s="81"/>
      <c r="BL335" s="81"/>
      <c r="BM335" s="81"/>
      <c r="BN335" s="81"/>
      <c r="BO335" s="81"/>
      <c r="BP335" s="81"/>
      <c r="BQ335" s="81"/>
      <c r="BR335" s="81"/>
      <c r="BS335" s="81"/>
      <c r="BT335" s="81"/>
      <c r="BU335" s="81"/>
      <c r="BV335" s="81"/>
      <c r="BW335" s="81"/>
      <c r="BX335" s="81"/>
      <c r="BY335" s="81"/>
      <c r="BZ335" s="81"/>
      <c r="CA335" s="81"/>
      <c r="CB335" s="81"/>
      <c r="CC335" s="81"/>
      <c r="CD335" s="81"/>
      <c r="CE335" s="81"/>
      <c r="CF335" s="81"/>
      <c r="CG335" s="81"/>
      <c r="CH335" s="81"/>
      <c r="CI335" s="81"/>
      <c r="CJ335" s="81"/>
      <c r="CK335" s="81"/>
      <c r="CL335" s="81"/>
      <c r="CM335" s="81"/>
      <c r="CN335" s="81"/>
      <c r="CO335" s="81"/>
      <c r="CP335" s="81"/>
      <c r="CQ335" s="81"/>
      <c r="CR335" s="81"/>
      <c r="CS335" s="81"/>
      <c r="CT335" s="81"/>
      <c r="CU335" s="81"/>
      <c r="CV335" s="81"/>
      <c r="CW335" s="81"/>
      <c r="CX335" s="81"/>
      <c r="CY335" s="81"/>
      <c r="CZ335" s="81"/>
      <c r="DA335" s="81"/>
      <c r="DB335" s="81"/>
      <c r="DC335" s="81"/>
      <c r="DD335" s="81"/>
      <c r="DE335" s="81"/>
      <c r="DF335" s="81"/>
      <c r="DG335" s="81"/>
      <c r="DH335" s="81"/>
      <c r="DI335" s="81"/>
      <c r="DJ335" s="81"/>
      <c r="DK335" s="81"/>
      <c r="DL335" s="81"/>
      <c r="DM335" s="81"/>
      <c r="DN335" s="81"/>
      <c r="DO335" s="81"/>
      <c r="DP335" s="81"/>
      <c r="DQ335" s="81"/>
      <c r="DR335" s="81"/>
      <c r="DS335" s="81"/>
      <c r="DT335" s="81"/>
      <c r="DU335" s="81"/>
      <c r="DV335" s="81"/>
      <c r="DW335" s="121"/>
    </row>
    <row r="336" spans="1:127" x14ac:dyDescent="0.25">
      <c r="A336" s="2">
        <f>COUNTIF($D$2:D336,'Reporte de Nomina'!$E$2)</f>
        <v>0</v>
      </c>
      <c r="B336" s="125">
        <f>Lista!A335</f>
        <v>0</v>
      </c>
      <c r="C336" s="125">
        <f>Lista!B335</f>
        <v>0</v>
      </c>
      <c r="D336" s="125">
        <f>Lista!C335</f>
        <v>0</v>
      </c>
      <c r="E336" s="125">
        <f>Lista!D335</f>
        <v>0</v>
      </c>
      <c r="F336" s="125">
        <f>Lista!E335</f>
        <v>0</v>
      </c>
      <c r="G336" s="125">
        <f>Lista!F335</f>
        <v>0</v>
      </c>
      <c r="H336" s="125">
        <f>Lista!G335</f>
        <v>0</v>
      </c>
      <c r="I336" s="125">
        <f>Lista!H335</f>
        <v>0</v>
      </c>
      <c r="J336" s="125">
        <f>Lista!I335</f>
        <v>0</v>
      </c>
      <c r="K336" s="125">
        <f>Lista!J335</f>
        <v>0</v>
      </c>
      <c r="L336" s="125">
        <f>Lista!K335</f>
        <v>0</v>
      </c>
      <c r="M336" s="125">
        <f>Lista!L335</f>
        <v>0</v>
      </c>
      <c r="N336" s="125">
        <f>Lista!M335</f>
        <v>0</v>
      </c>
      <c r="O336" s="125">
        <f>Lista!N335</f>
        <v>0</v>
      </c>
      <c r="P336" s="125">
        <f>Lista!O335</f>
        <v>0</v>
      </c>
      <c r="Q336" s="125">
        <f>Lista!P335</f>
        <v>0</v>
      </c>
      <c r="R336" s="125">
        <f>Lista!Q335</f>
        <v>0</v>
      </c>
      <c r="S336" s="125">
        <f>Lista!R335</f>
        <v>0</v>
      </c>
      <c r="T336" s="81"/>
      <c r="U336" s="81"/>
      <c r="V336" s="81"/>
      <c r="W336" s="81"/>
      <c r="X336" s="81"/>
      <c r="Y336" s="81"/>
      <c r="Z336" s="81"/>
      <c r="AA336" s="81"/>
      <c r="AB336" s="81"/>
      <c r="AC336" s="81"/>
      <c r="AD336" s="81"/>
      <c r="AE336" s="81"/>
      <c r="AF336" s="81"/>
      <c r="AG336" s="81"/>
      <c r="AH336" s="81"/>
      <c r="AI336" s="81"/>
      <c r="AJ336" s="81"/>
      <c r="AK336" s="81"/>
      <c r="AL336" s="81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  <c r="BA336" s="81"/>
      <c r="BB336" s="81"/>
      <c r="BC336" s="81"/>
      <c r="BD336" s="81"/>
      <c r="BE336" s="81"/>
      <c r="BF336" s="81"/>
      <c r="BG336" s="81"/>
      <c r="BH336" s="81"/>
      <c r="BI336" s="81"/>
      <c r="BJ336" s="81"/>
      <c r="BK336" s="81"/>
      <c r="BL336" s="81"/>
      <c r="BM336" s="81"/>
      <c r="BN336" s="81"/>
      <c r="BO336" s="81"/>
      <c r="BP336" s="81"/>
      <c r="BQ336" s="81"/>
      <c r="BR336" s="81"/>
      <c r="BS336" s="81"/>
      <c r="BT336" s="81"/>
      <c r="BU336" s="81"/>
      <c r="BV336" s="81"/>
      <c r="BW336" s="81"/>
      <c r="BX336" s="81"/>
      <c r="BY336" s="81"/>
      <c r="BZ336" s="81"/>
      <c r="CA336" s="81"/>
      <c r="CB336" s="81"/>
      <c r="CC336" s="81"/>
      <c r="CD336" s="81"/>
      <c r="CE336" s="81"/>
      <c r="CF336" s="81"/>
      <c r="CG336" s="81"/>
      <c r="CH336" s="81"/>
      <c r="CI336" s="81"/>
      <c r="CJ336" s="81"/>
      <c r="CK336" s="81"/>
      <c r="CL336" s="81"/>
      <c r="CM336" s="81"/>
      <c r="CN336" s="81"/>
      <c r="CO336" s="81"/>
      <c r="CP336" s="81"/>
      <c r="CQ336" s="81"/>
      <c r="CR336" s="81"/>
      <c r="CS336" s="81"/>
      <c r="CT336" s="81"/>
      <c r="CU336" s="81"/>
      <c r="CV336" s="81"/>
      <c r="CW336" s="81"/>
      <c r="CX336" s="81"/>
      <c r="CY336" s="81"/>
      <c r="CZ336" s="81"/>
      <c r="DA336" s="81"/>
      <c r="DB336" s="81"/>
      <c r="DC336" s="81"/>
      <c r="DD336" s="81"/>
      <c r="DE336" s="81"/>
      <c r="DF336" s="81"/>
      <c r="DG336" s="81"/>
      <c r="DH336" s="81"/>
      <c r="DI336" s="81"/>
      <c r="DJ336" s="81"/>
      <c r="DK336" s="81"/>
      <c r="DL336" s="81"/>
      <c r="DM336" s="81"/>
      <c r="DN336" s="81"/>
      <c r="DO336" s="81"/>
      <c r="DP336" s="81"/>
      <c r="DQ336" s="81"/>
      <c r="DR336" s="81"/>
      <c r="DS336" s="81"/>
      <c r="DT336" s="81"/>
      <c r="DU336" s="81"/>
      <c r="DV336" s="81"/>
      <c r="DW336" s="121"/>
    </row>
    <row r="337" spans="1:127" x14ac:dyDescent="0.25">
      <c r="A337" s="2">
        <f>COUNTIF($D$2:D337,'Reporte de Nomina'!$E$2)</f>
        <v>0</v>
      </c>
      <c r="B337" s="125">
        <f>Lista!A336</f>
        <v>0</v>
      </c>
      <c r="C337" s="125">
        <f>Lista!B336</f>
        <v>0</v>
      </c>
      <c r="D337" s="125">
        <f>Lista!C336</f>
        <v>0</v>
      </c>
      <c r="E337" s="125">
        <f>Lista!D336</f>
        <v>0</v>
      </c>
      <c r="F337" s="125">
        <f>Lista!E336</f>
        <v>0</v>
      </c>
      <c r="G337" s="125">
        <f>Lista!F336</f>
        <v>0</v>
      </c>
      <c r="H337" s="125">
        <f>Lista!G336</f>
        <v>0</v>
      </c>
      <c r="I337" s="125">
        <f>Lista!H336</f>
        <v>0</v>
      </c>
      <c r="J337" s="125">
        <f>Lista!I336</f>
        <v>0</v>
      </c>
      <c r="K337" s="125">
        <f>Lista!J336</f>
        <v>0</v>
      </c>
      <c r="L337" s="125">
        <f>Lista!K336</f>
        <v>0</v>
      </c>
      <c r="M337" s="125">
        <f>Lista!L336</f>
        <v>0</v>
      </c>
      <c r="N337" s="125">
        <f>Lista!M336</f>
        <v>0</v>
      </c>
      <c r="O337" s="125">
        <f>Lista!N336</f>
        <v>0</v>
      </c>
      <c r="P337" s="125">
        <f>Lista!O336</f>
        <v>0</v>
      </c>
      <c r="Q337" s="125">
        <f>Lista!P336</f>
        <v>0</v>
      </c>
      <c r="R337" s="125">
        <f>Lista!Q336</f>
        <v>0</v>
      </c>
      <c r="S337" s="125">
        <f>Lista!R336</f>
        <v>0</v>
      </c>
      <c r="T337" s="81"/>
      <c r="U337" s="81"/>
      <c r="V337" s="81"/>
      <c r="W337" s="81"/>
      <c r="X337" s="81"/>
      <c r="Y337" s="81"/>
      <c r="Z337" s="81"/>
      <c r="AA337" s="81"/>
      <c r="AB337" s="81"/>
      <c r="AC337" s="81"/>
      <c r="AD337" s="81"/>
      <c r="AE337" s="81"/>
      <c r="AF337" s="81"/>
      <c r="AG337" s="81"/>
      <c r="AH337" s="81"/>
      <c r="AI337" s="81"/>
      <c r="AJ337" s="81"/>
      <c r="AK337" s="81"/>
      <c r="AL337" s="81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  <c r="BA337" s="81"/>
      <c r="BB337" s="81"/>
      <c r="BC337" s="81"/>
      <c r="BD337" s="81"/>
      <c r="BE337" s="81"/>
      <c r="BF337" s="81"/>
      <c r="BG337" s="81"/>
      <c r="BH337" s="81"/>
      <c r="BI337" s="81"/>
      <c r="BJ337" s="81"/>
      <c r="BK337" s="81"/>
      <c r="BL337" s="81"/>
      <c r="BM337" s="81"/>
      <c r="BN337" s="81"/>
      <c r="BO337" s="81"/>
      <c r="BP337" s="81"/>
      <c r="BQ337" s="81"/>
      <c r="BR337" s="81"/>
      <c r="BS337" s="81"/>
      <c r="BT337" s="81"/>
      <c r="BU337" s="81"/>
      <c r="BV337" s="81"/>
      <c r="BW337" s="81"/>
      <c r="BX337" s="81"/>
      <c r="BY337" s="81"/>
      <c r="BZ337" s="81"/>
      <c r="CA337" s="81"/>
      <c r="CB337" s="81"/>
      <c r="CC337" s="81"/>
      <c r="CD337" s="81"/>
      <c r="CE337" s="81"/>
      <c r="CF337" s="81"/>
      <c r="CG337" s="81"/>
      <c r="CH337" s="81"/>
      <c r="CI337" s="81"/>
      <c r="CJ337" s="81"/>
      <c r="CK337" s="81"/>
      <c r="CL337" s="81"/>
      <c r="CM337" s="81"/>
      <c r="CN337" s="81"/>
      <c r="CO337" s="81"/>
      <c r="CP337" s="81"/>
      <c r="CQ337" s="81"/>
      <c r="CR337" s="81"/>
      <c r="CS337" s="81"/>
      <c r="CT337" s="81"/>
      <c r="CU337" s="81"/>
      <c r="CV337" s="81"/>
      <c r="CW337" s="81"/>
      <c r="CX337" s="81"/>
      <c r="CY337" s="81"/>
      <c r="CZ337" s="81"/>
      <c r="DA337" s="81"/>
      <c r="DB337" s="81"/>
      <c r="DC337" s="81"/>
      <c r="DD337" s="81"/>
      <c r="DE337" s="81"/>
      <c r="DF337" s="81"/>
      <c r="DG337" s="81"/>
      <c r="DH337" s="81"/>
      <c r="DI337" s="81"/>
      <c r="DJ337" s="81"/>
      <c r="DK337" s="81"/>
      <c r="DL337" s="81"/>
      <c r="DM337" s="81"/>
      <c r="DN337" s="81"/>
      <c r="DO337" s="81"/>
      <c r="DP337" s="81"/>
      <c r="DQ337" s="81"/>
      <c r="DR337" s="81"/>
      <c r="DS337" s="81"/>
      <c r="DT337" s="81"/>
      <c r="DU337" s="81"/>
      <c r="DV337" s="81"/>
      <c r="DW337" s="121"/>
    </row>
    <row r="338" spans="1:127" x14ac:dyDescent="0.25">
      <c r="A338" s="2">
        <f>COUNTIF($D$2:D338,'Reporte de Nomina'!$E$2)</f>
        <v>0</v>
      </c>
      <c r="B338" s="125">
        <f>Lista!A337</f>
        <v>0</v>
      </c>
      <c r="C338" s="125">
        <f>Lista!B337</f>
        <v>0</v>
      </c>
      <c r="D338" s="125">
        <f>Lista!C337</f>
        <v>0</v>
      </c>
      <c r="E338" s="125">
        <f>Lista!D337</f>
        <v>0</v>
      </c>
      <c r="F338" s="125">
        <f>Lista!E337</f>
        <v>0</v>
      </c>
      <c r="G338" s="125">
        <f>Lista!F337</f>
        <v>0</v>
      </c>
      <c r="H338" s="125">
        <f>Lista!G337</f>
        <v>0</v>
      </c>
      <c r="I338" s="125">
        <f>Lista!H337</f>
        <v>0</v>
      </c>
      <c r="J338" s="125">
        <f>Lista!I337</f>
        <v>0</v>
      </c>
      <c r="K338" s="125">
        <f>Lista!J337</f>
        <v>0</v>
      </c>
      <c r="L338" s="125">
        <f>Lista!K337</f>
        <v>0</v>
      </c>
      <c r="M338" s="125">
        <f>Lista!L337</f>
        <v>0</v>
      </c>
      <c r="N338" s="125">
        <f>Lista!M337</f>
        <v>0</v>
      </c>
      <c r="O338" s="125">
        <f>Lista!N337</f>
        <v>0</v>
      </c>
      <c r="P338" s="125">
        <f>Lista!O337</f>
        <v>0</v>
      </c>
      <c r="Q338" s="125">
        <f>Lista!P337</f>
        <v>0</v>
      </c>
      <c r="R338" s="125">
        <f>Lista!Q337</f>
        <v>0</v>
      </c>
      <c r="S338" s="125">
        <f>Lista!R337</f>
        <v>0</v>
      </c>
      <c r="T338" s="81"/>
      <c r="U338" s="81"/>
      <c r="V338" s="81"/>
      <c r="W338" s="81"/>
      <c r="X338" s="81"/>
      <c r="Y338" s="81"/>
      <c r="Z338" s="81"/>
      <c r="AA338" s="81"/>
      <c r="AB338" s="81"/>
      <c r="AC338" s="81"/>
      <c r="AD338" s="81"/>
      <c r="AE338" s="81"/>
      <c r="AF338" s="81"/>
      <c r="AG338" s="81"/>
      <c r="AH338" s="81"/>
      <c r="AI338" s="81"/>
      <c r="AJ338" s="81"/>
      <c r="AK338" s="81"/>
      <c r="AL338" s="81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  <c r="BA338" s="81"/>
      <c r="BB338" s="81"/>
      <c r="BC338" s="81"/>
      <c r="BD338" s="81"/>
      <c r="BE338" s="81"/>
      <c r="BF338" s="81"/>
      <c r="BG338" s="81"/>
      <c r="BH338" s="81"/>
      <c r="BI338" s="81"/>
      <c r="BJ338" s="81"/>
      <c r="BK338" s="81"/>
      <c r="BL338" s="81"/>
      <c r="BM338" s="81"/>
      <c r="BN338" s="81"/>
      <c r="BO338" s="81"/>
      <c r="BP338" s="81"/>
      <c r="BQ338" s="81"/>
      <c r="BR338" s="81"/>
      <c r="BS338" s="81"/>
      <c r="BT338" s="81"/>
      <c r="BU338" s="81"/>
      <c r="BV338" s="81"/>
      <c r="BW338" s="81"/>
      <c r="BX338" s="81"/>
      <c r="BY338" s="81"/>
      <c r="BZ338" s="81"/>
      <c r="CA338" s="81"/>
      <c r="CB338" s="81"/>
      <c r="CC338" s="81"/>
      <c r="CD338" s="81"/>
      <c r="CE338" s="81"/>
      <c r="CF338" s="81"/>
      <c r="CG338" s="81"/>
      <c r="CH338" s="81"/>
      <c r="CI338" s="81"/>
      <c r="CJ338" s="81"/>
      <c r="CK338" s="81"/>
      <c r="CL338" s="81"/>
      <c r="CM338" s="81"/>
      <c r="CN338" s="81"/>
      <c r="CO338" s="81"/>
      <c r="CP338" s="81"/>
      <c r="CQ338" s="81"/>
      <c r="CR338" s="81"/>
      <c r="CS338" s="81"/>
      <c r="CT338" s="81"/>
      <c r="CU338" s="81"/>
      <c r="CV338" s="81"/>
      <c r="CW338" s="81"/>
      <c r="CX338" s="81"/>
      <c r="CY338" s="81"/>
      <c r="CZ338" s="81"/>
      <c r="DA338" s="81"/>
      <c r="DB338" s="81"/>
      <c r="DC338" s="81"/>
      <c r="DD338" s="81"/>
      <c r="DE338" s="81"/>
      <c r="DF338" s="81"/>
      <c r="DG338" s="81"/>
      <c r="DH338" s="81"/>
      <c r="DI338" s="81"/>
      <c r="DJ338" s="81"/>
      <c r="DK338" s="81"/>
      <c r="DL338" s="81"/>
      <c r="DM338" s="81"/>
      <c r="DN338" s="81"/>
      <c r="DO338" s="81"/>
      <c r="DP338" s="81"/>
      <c r="DQ338" s="81"/>
      <c r="DR338" s="81"/>
      <c r="DS338" s="81"/>
      <c r="DT338" s="81"/>
      <c r="DU338" s="81"/>
      <c r="DV338" s="81"/>
      <c r="DW338" s="121"/>
    </row>
    <row r="339" spans="1:127" x14ac:dyDescent="0.25">
      <c r="A339" s="2">
        <f>COUNTIF($D$2:D339,'Reporte de Nomina'!$E$2)</f>
        <v>0</v>
      </c>
      <c r="B339" s="125">
        <f>Lista!A338</f>
        <v>0</v>
      </c>
      <c r="C339" s="125">
        <f>Lista!B338</f>
        <v>0</v>
      </c>
      <c r="D339" s="125">
        <f>Lista!C338</f>
        <v>0</v>
      </c>
      <c r="E339" s="125">
        <f>Lista!D338</f>
        <v>0</v>
      </c>
      <c r="F339" s="125">
        <f>Lista!E338</f>
        <v>0</v>
      </c>
      <c r="G339" s="125">
        <f>Lista!F338</f>
        <v>0</v>
      </c>
      <c r="H339" s="125">
        <f>Lista!G338</f>
        <v>0</v>
      </c>
      <c r="I339" s="125">
        <f>Lista!H338</f>
        <v>0</v>
      </c>
      <c r="J339" s="125">
        <f>Lista!I338</f>
        <v>0</v>
      </c>
      <c r="K339" s="125">
        <f>Lista!J338</f>
        <v>0</v>
      </c>
      <c r="L339" s="125">
        <f>Lista!K338</f>
        <v>0</v>
      </c>
      <c r="M339" s="125">
        <f>Lista!L338</f>
        <v>0</v>
      </c>
      <c r="N339" s="125">
        <f>Lista!M338</f>
        <v>0</v>
      </c>
      <c r="O339" s="125">
        <f>Lista!N338</f>
        <v>0</v>
      </c>
      <c r="P339" s="125">
        <f>Lista!O338</f>
        <v>0</v>
      </c>
      <c r="Q339" s="125">
        <f>Lista!P338</f>
        <v>0</v>
      </c>
      <c r="R339" s="125">
        <f>Lista!Q338</f>
        <v>0</v>
      </c>
      <c r="S339" s="125">
        <f>Lista!R338</f>
        <v>0</v>
      </c>
      <c r="T339" s="81"/>
      <c r="U339" s="81"/>
      <c r="V339" s="81"/>
      <c r="W339" s="81"/>
      <c r="X339" s="81"/>
      <c r="Y339" s="81"/>
      <c r="Z339" s="81"/>
      <c r="AA339" s="81"/>
      <c r="AB339" s="81"/>
      <c r="AC339" s="81"/>
      <c r="AD339" s="81"/>
      <c r="AE339" s="81"/>
      <c r="AF339" s="81"/>
      <c r="AG339" s="81"/>
      <c r="AH339" s="81"/>
      <c r="AI339" s="81"/>
      <c r="AJ339" s="81"/>
      <c r="AK339" s="81"/>
      <c r="AL339" s="81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  <c r="BA339" s="81"/>
      <c r="BB339" s="81"/>
      <c r="BC339" s="81"/>
      <c r="BD339" s="81"/>
      <c r="BE339" s="81"/>
      <c r="BF339" s="81"/>
      <c r="BG339" s="81"/>
      <c r="BH339" s="81"/>
      <c r="BI339" s="81"/>
      <c r="BJ339" s="81"/>
      <c r="BK339" s="81"/>
      <c r="BL339" s="81"/>
      <c r="BM339" s="81"/>
      <c r="BN339" s="81"/>
      <c r="BO339" s="81"/>
      <c r="BP339" s="81"/>
      <c r="BQ339" s="81"/>
      <c r="BR339" s="81"/>
      <c r="BS339" s="81"/>
      <c r="BT339" s="81"/>
      <c r="BU339" s="81"/>
      <c r="BV339" s="81"/>
      <c r="BW339" s="81"/>
      <c r="BX339" s="81"/>
      <c r="BY339" s="81"/>
      <c r="BZ339" s="81"/>
      <c r="CA339" s="81"/>
      <c r="CB339" s="81"/>
      <c r="CC339" s="81"/>
      <c r="CD339" s="81"/>
      <c r="CE339" s="81"/>
      <c r="CF339" s="81"/>
      <c r="CG339" s="81"/>
      <c r="CH339" s="81"/>
      <c r="CI339" s="81"/>
      <c r="CJ339" s="81"/>
      <c r="CK339" s="81"/>
      <c r="CL339" s="81"/>
      <c r="CM339" s="81"/>
      <c r="CN339" s="81"/>
      <c r="CO339" s="81"/>
      <c r="CP339" s="81"/>
      <c r="CQ339" s="81"/>
      <c r="CR339" s="81"/>
      <c r="CS339" s="81"/>
      <c r="CT339" s="81"/>
      <c r="CU339" s="81"/>
      <c r="CV339" s="81"/>
      <c r="CW339" s="81"/>
      <c r="CX339" s="81"/>
      <c r="CY339" s="81"/>
      <c r="CZ339" s="81"/>
      <c r="DA339" s="81"/>
      <c r="DB339" s="81"/>
      <c r="DC339" s="81"/>
      <c r="DD339" s="81"/>
      <c r="DE339" s="81"/>
      <c r="DF339" s="81"/>
      <c r="DG339" s="81"/>
      <c r="DH339" s="81"/>
      <c r="DI339" s="81"/>
      <c r="DJ339" s="81"/>
      <c r="DK339" s="81"/>
      <c r="DL339" s="81"/>
      <c r="DM339" s="81"/>
      <c r="DN339" s="81"/>
      <c r="DO339" s="81"/>
      <c r="DP339" s="81"/>
      <c r="DQ339" s="81"/>
      <c r="DR339" s="81"/>
      <c r="DS339" s="81"/>
      <c r="DT339" s="81"/>
      <c r="DU339" s="81"/>
      <c r="DV339" s="81"/>
      <c r="DW339" s="121"/>
    </row>
    <row r="340" spans="1:127" x14ac:dyDescent="0.25">
      <c r="A340" s="2">
        <f>COUNTIF($D$2:D340,'Reporte de Nomina'!$E$2)</f>
        <v>0</v>
      </c>
      <c r="B340" s="125">
        <f>Lista!A339</f>
        <v>0</v>
      </c>
      <c r="C340" s="125">
        <f>Lista!B339</f>
        <v>0</v>
      </c>
      <c r="D340" s="125">
        <f>Lista!C339</f>
        <v>0</v>
      </c>
      <c r="E340" s="125">
        <f>Lista!D339</f>
        <v>0</v>
      </c>
      <c r="F340" s="125">
        <f>Lista!E339</f>
        <v>0</v>
      </c>
      <c r="G340" s="125">
        <f>Lista!F339</f>
        <v>0</v>
      </c>
      <c r="H340" s="125">
        <f>Lista!G339</f>
        <v>0</v>
      </c>
      <c r="I340" s="125">
        <f>Lista!H339</f>
        <v>0</v>
      </c>
      <c r="J340" s="125">
        <f>Lista!I339</f>
        <v>0</v>
      </c>
      <c r="K340" s="125">
        <f>Lista!J339</f>
        <v>0</v>
      </c>
      <c r="L340" s="125">
        <f>Lista!K339</f>
        <v>0</v>
      </c>
      <c r="M340" s="125">
        <f>Lista!L339</f>
        <v>0</v>
      </c>
      <c r="N340" s="125">
        <f>Lista!M339</f>
        <v>0</v>
      </c>
      <c r="O340" s="125">
        <f>Lista!N339</f>
        <v>0</v>
      </c>
      <c r="P340" s="125">
        <f>Lista!O339</f>
        <v>0</v>
      </c>
      <c r="Q340" s="125">
        <f>Lista!P339</f>
        <v>0</v>
      </c>
      <c r="R340" s="125">
        <f>Lista!Q339</f>
        <v>0</v>
      </c>
      <c r="S340" s="125">
        <f>Lista!R339</f>
        <v>0</v>
      </c>
      <c r="T340" s="81"/>
      <c r="U340" s="81"/>
      <c r="V340" s="81"/>
      <c r="W340" s="81"/>
      <c r="X340" s="81"/>
      <c r="Y340" s="81"/>
      <c r="Z340" s="81"/>
      <c r="AA340" s="81"/>
      <c r="AB340" s="81"/>
      <c r="AC340" s="81"/>
      <c r="AD340" s="81"/>
      <c r="AE340" s="81"/>
      <c r="AF340" s="81"/>
      <c r="AG340" s="81"/>
      <c r="AH340" s="81"/>
      <c r="AI340" s="81"/>
      <c r="AJ340" s="81"/>
      <c r="AK340" s="81"/>
      <c r="AL340" s="81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  <c r="BA340" s="81"/>
      <c r="BB340" s="81"/>
      <c r="BC340" s="81"/>
      <c r="BD340" s="81"/>
      <c r="BE340" s="81"/>
      <c r="BF340" s="81"/>
      <c r="BG340" s="81"/>
      <c r="BH340" s="81"/>
      <c r="BI340" s="81"/>
      <c r="BJ340" s="81"/>
      <c r="BK340" s="81"/>
      <c r="BL340" s="81"/>
      <c r="BM340" s="81"/>
      <c r="BN340" s="81"/>
      <c r="BO340" s="81"/>
      <c r="BP340" s="81"/>
      <c r="BQ340" s="81"/>
      <c r="BR340" s="81"/>
      <c r="BS340" s="81"/>
      <c r="BT340" s="81"/>
      <c r="BU340" s="81"/>
      <c r="BV340" s="81"/>
      <c r="BW340" s="81"/>
      <c r="BX340" s="81"/>
      <c r="BY340" s="81"/>
      <c r="BZ340" s="81"/>
      <c r="CA340" s="81"/>
      <c r="CB340" s="81"/>
      <c r="CC340" s="81"/>
      <c r="CD340" s="81"/>
      <c r="CE340" s="81"/>
      <c r="CF340" s="81"/>
      <c r="CG340" s="81"/>
      <c r="CH340" s="81"/>
      <c r="CI340" s="81"/>
      <c r="CJ340" s="81"/>
      <c r="CK340" s="81"/>
      <c r="CL340" s="81"/>
      <c r="CM340" s="81"/>
      <c r="CN340" s="81"/>
      <c r="CO340" s="81"/>
      <c r="CP340" s="81"/>
      <c r="CQ340" s="81"/>
      <c r="CR340" s="81"/>
      <c r="CS340" s="81"/>
      <c r="CT340" s="81"/>
      <c r="CU340" s="81"/>
      <c r="CV340" s="81"/>
      <c r="CW340" s="81"/>
      <c r="CX340" s="81"/>
      <c r="CY340" s="81"/>
      <c r="CZ340" s="81"/>
      <c r="DA340" s="81"/>
      <c r="DB340" s="81"/>
      <c r="DC340" s="81"/>
      <c r="DD340" s="81"/>
      <c r="DE340" s="81"/>
      <c r="DF340" s="81"/>
      <c r="DG340" s="81"/>
      <c r="DH340" s="81"/>
      <c r="DI340" s="81"/>
      <c r="DJ340" s="81"/>
      <c r="DK340" s="81"/>
      <c r="DL340" s="81"/>
      <c r="DM340" s="81"/>
      <c r="DN340" s="81"/>
      <c r="DO340" s="81"/>
      <c r="DP340" s="81"/>
      <c r="DQ340" s="81"/>
      <c r="DR340" s="81"/>
      <c r="DS340" s="81"/>
      <c r="DT340" s="81"/>
      <c r="DU340" s="81"/>
      <c r="DV340" s="81"/>
      <c r="DW340" s="121"/>
    </row>
    <row r="341" spans="1:127" x14ac:dyDescent="0.25">
      <c r="A341" s="2">
        <f>COUNTIF($D$2:D341,'Reporte de Nomina'!$E$2)</f>
        <v>0</v>
      </c>
      <c r="B341" s="125">
        <f>Lista!A340</f>
        <v>0</v>
      </c>
      <c r="C341" s="125">
        <f>Lista!B340</f>
        <v>0</v>
      </c>
      <c r="D341" s="125">
        <f>Lista!C340</f>
        <v>0</v>
      </c>
      <c r="E341" s="125">
        <f>Lista!D340</f>
        <v>0</v>
      </c>
      <c r="F341" s="125">
        <f>Lista!E340</f>
        <v>0</v>
      </c>
      <c r="G341" s="125">
        <f>Lista!F340</f>
        <v>0</v>
      </c>
      <c r="H341" s="125">
        <f>Lista!G340</f>
        <v>0</v>
      </c>
      <c r="I341" s="125">
        <f>Lista!H340</f>
        <v>0</v>
      </c>
      <c r="J341" s="125">
        <f>Lista!I340</f>
        <v>0</v>
      </c>
      <c r="K341" s="125">
        <f>Lista!J340</f>
        <v>0</v>
      </c>
      <c r="L341" s="125">
        <f>Lista!K340</f>
        <v>0</v>
      </c>
      <c r="M341" s="125">
        <f>Lista!L340</f>
        <v>0</v>
      </c>
      <c r="N341" s="125">
        <f>Lista!M340</f>
        <v>0</v>
      </c>
      <c r="O341" s="125">
        <f>Lista!N340</f>
        <v>0</v>
      </c>
      <c r="P341" s="125">
        <f>Lista!O340</f>
        <v>0</v>
      </c>
      <c r="Q341" s="125">
        <f>Lista!P340</f>
        <v>0</v>
      </c>
      <c r="R341" s="125">
        <f>Lista!Q340</f>
        <v>0</v>
      </c>
      <c r="S341" s="125">
        <f>Lista!R340</f>
        <v>0</v>
      </c>
      <c r="T341" s="81"/>
      <c r="U341" s="81"/>
      <c r="V341" s="81"/>
      <c r="W341" s="81"/>
      <c r="X341" s="81"/>
      <c r="Y341" s="81"/>
      <c r="Z341" s="81"/>
      <c r="AA341" s="81"/>
      <c r="AB341" s="81"/>
      <c r="AC341" s="81"/>
      <c r="AD341" s="81"/>
      <c r="AE341" s="81"/>
      <c r="AF341" s="81"/>
      <c r="AG341" s="81"/>
      <c r="AH341" s="81"/>
      <c r="AI341" s="81"/>
      <c r="AJ341" s="81"/>
      <c r="AK341" s="81"/>
      <c r="AL341" s="81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  <c r="BA341" s="81"/>
      <c r="BB341" s="81"/>
      <c r="BC341" s="81"/>
      <c r="BD341" s="81"/>
      <c r="BE341" s="81"/>
      <c r="BF341" s="81"/>
      <c r="BG341" s="81"/>
      <c r="BH341" s="81"/>
      <c r="BI341" s="81"/>
      <c r="BJ341" s="81"/>
      <c r="BK341" s="81"/>
      <c r="BL341" s="81"/>
      <c r="BM341" s="81"/>
      <c r="BN341" s="81"/>
      <c r="BO341" s="81"/>
      <c r="BP341" s="81"/>
      <c r="BQ341" s="81"/>
      <c r="BR341" s="81"/>
      <c r="BS341" s="81"/>
      <c r="BT341" s="81"/>
      <c r="BU341" s="81"/>
      <c r="BV341" s="81"/>
      <c r="BW341" s="81"/>
      <c r="BX341" s="81"/>
      <c r="BY341" s="81"/>
      <c r="BZ341" s="81"/>
      <c r="CA341" s="81"/>
      <c r="CB341" s="81"/>
      <c r="CC341" s="81"/>
      <c r="CD341" s="81"/>
      <c r="CE341" s="81"/>
      <c r="CF341" s="81"/>
      <c r="CG341" s="81"/>
      <c r="CH341" s="81"/>
      <c r="CI341" s="81"/>
      <c r="CJ341" s="81"/>
      <c r="CK341" s="81"/>
      <c r="CL341" s="81"/>
      <c r="CM341" s="81"/>
      <c r="CN341" s="81"/>
      <c r="CO341" s="81"/>
      <c r="CP341" s="81"/>
      <c r="CQ341" s="81"/>
      <c r="CR341" s="81"/>
      <c r="CS341" s="81"/>
      <c r="CT341" s="81"/>
      <c r="CU341" s="81"/>
      <c r="CV341" s="81"/>
      <c r="CW341" s="81"/>
      <c r="CX341" s="81"/>
      <c r="CY341" s="81"/>
      <c r="CZ341" s="81"/>
      <c r="DA341" s="81"/>
      <c r="DB341" s="81"/>
      <c r="DC341" s="81"/>
      <c r="DD341" s="81"/>
      <c r="DE341" s="81"/>
      <c r="DF341" s="81"/>
      <c r="DG341" s="81"/>
      <c r="DH341" s="81"/>
      <c r="DI341" s="81"/>
      <c r="DJ341" s="81"/>
      <c r="DK341" s="81"/>
      <c r="DL341" s="81"/>
      <c r="DM341" s="81"/>
      <c r="DN341" s="81"/>
      <c r="DO341" s="81"/>
      <c r="DP341" s="81"/>
      <c r="DQ341" s="81"/>
      <c r="DR341" s="81"/>
      <c r="DS341" s="81"/>
      <c r="DT341" s="81"/>
      <c r="DU341" s="81"/>
      <c r="DV341" s="81"/>
      <c r="DW341" s="121"/>
    </row>
    <row r="342" spans="1:127" x14ac:dyDescent="0.25">
      <c r="A342" s="2">
        <f>COUNTIF($D$2:D342,'Reporte de Nomina'!$E$2)</f>
        <v>0</v>
      </c>
      <c r="B342" s="125">
        <f>Lista!A341</f>
        <v>0</v>
      </c>
      <c r="C342" s="125">
        <f>Lista!B341</f>
        <v>0</v>
      </c>
      <c r="D342" s="125">
        <f>Lista!C341</f>
        <v>0</v>
      </c>
      <c r="E342" s="125">
        <f>Lista!D341</f>
        <v>0</v>
      </c>
      <c r="F342" s="125">
        <f>Lista!E341</f>
        <v>0</v>
      </c>
      <c r="G342" s="125">
        <f>Lista!F341</f>
        <v>0</v>
      </c>
      <c r="H342" s="125">
        <f>Lista!G341</f>
        <v>0</v>
      </c>
      <c r="I342" s="125">
        <f>Lista!H341</f>
        <v>0</v>
      </c>
      <c r="J342" s="125">
        <f>Lista!I341</f>
        <v>0</v>
      </c>
      <c r="K342" s="125">
        <f>Lista!J341</f>
        <v>0</v>
      </c>
      <c r="L342" s="125">
        <f>Lista!K341</f>
        <v>0</v>
      </c>
      <c r="M342" s="125">
        <f>Lista!L341</f>
        <v>0</v>
      </c>
      <c r="N342" s="125">
        <f>Lista!M341</f>
        <v>0</v>
      </c>
      <c r="O342" s="125">
        <f>Lista!N341</f>
        <v>0</v>
      </c>
      <c r="P342" s="125">
        <f>Lista!O341</f>
        <v>0</v>
      </c>
      <c r="Q342" s="125">
        <f>Lista!P341</f>
        <v>0</v>
      </c>
      <c r="R342" s="125">
        <f>Lista!Q341</f>
        <v>0</v>
      </c>
      <c r="S342" s="125">
        <f>Lista!R341</f>
        <v>0</v>
      </c>
      <c r="T342" s="81"/>
      <c r="U342" s="81"/>
      <c r="V342" s="81"/>
      <c r="W342" s="81"/>
      <c r="X342" s="81"/>
      <c r="Y342" s="81"/>
      <c r="Z342" s="81"/>
      <c r="AA342" s="81"/>
      <c r="AB342" s="81"/>
      <c r="AC342" s="81"/>
      <c r="AD342" s="81"/>
      <c r="AE342" s="81"/>
      <c r="AF342" s="81"/>
      <c r="AG342" s="81"/>
      <c r="AH342" s="81"/>
      <c r="AI342" s="81"/>
      <c r="AJ342" s="81"/>
      <c r="AK342" s="81"/>
      <c r="AL342" s="81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  <c r="BA342" s="81"/>
      <c r="BB342" s="81"/>
      <c r="BC342" s="81"/>
      <c r="BD342" s="81"/>
      <c r="BE342" s="81"/>
      <c r="BF342" s="81"/>
      <c r="BG342" s="81"/>
      <c r="BH342" s="81"/>
      <c r="BI342" s="81"/>
      <c r="BJ342" s="81"/>
      <c r="BK342" s="81"/>
      <c r="BL342" s="81"/>
      <c r="BM342" s="81"/>
      <c r="BN342" s="81"/>
      <c r="BO342" s="81"/>
      <c r="BP342" s="81"/>
      <c r="BQ342" s="81"/>
      <c r="BR342" s="81"/>
      <c r="BS342" s="81"/>
      <c r="BT342" s="81"/>
      <c r="BU342" s="81"/>
      <c r="BV342" s="81"/>
      <c r="BW342" s="81"/>
      <c r="BX342" s="81"/>
      <c r="BY342" s="81"/>
      <c r="BZ342" s="81"/>
      <c r="CA342" s="81"/>
      <c r="CB342" s="81"/>
      <c r="CC342" s="81"/>
      <c r="CD342" s="81"/>
      <c r="CE342" s="81"/>
      <c r="CF342" s="81"/>
      <c r="CG342" s="81"/>
      <c r="CH342" s="81"/>
      <c r="CI342" s="81"/>
      <c r="CJ342" s="81"/>
      <c r="CK342" s="81"/>
      <c r="CL342" s="81"/>
      <c r="CM342" s="81"/>
      <c r="CN342" s="81"/>
      <c r="CO342" s="81"/>
      <c r="CP342" s="81"/>
      <c r="CQ342" s="81"/>
      <c r="CR342" s="81"/>
      <c r="CS342" s="81"/>
      <c r="CT342" s="81"/>
      <c r="CU342" s="81"/>
      <c r="CV342" s="81"/>
      <c r="CW342" s="81"/>
      <c r="CX342" s="81"/>
      <c r="CY342" s="81"/>
      <c r="CZ342" s="81"/>
      <c r="DA342" s="81"/>
      <c r="DB342" s="81"/>
      <c r="DC342" s="81"/>
      <c r="DD342" s="81"/>
      <c r="DE342" s="81"/>
      <c r="DF342" s="81"/>
      <c r="DG342" s="81"/>
      <c r="DH342" s="81"/>
      <c r="DI342" s="81"/>
      <c r="DJ342" s="81"/>
      <c r="DK342" s="81"/>
      <c r="DL342" s="81"/>
      <c r="DM342" s="81"/>
      <c r="DN342" s="81"/>
      <c r="DO342" s="81"/>
      <c r="DP342" s="81"/>
      <c r="DQ342" s="81"/>
      <c r="DR342" s="81"/>
      <c r="DS342" s="81"/>
      <c r="DT342" s="81"/>
      <c r="DU342" s="81"/>
      <c r="DV342" s="81"/>
      <c r="DW342" s="121"/>
    </row>
    <row r="343" spans="1:127" x14ac:dyDescent="0.25">
      <c r="A343" s="2">
        <f>COUNTIF($D$2:D343,'Reporte de Nomina'!$E$2)</f>
        <v>0</v>
      </c>
      <c r="B343" s="125">
        <f>Lista!A342</f>
        <v>0</v>
      </c>
      <c r="C343" s="125">
        <f>Lista!B342</f>
        <v>0</v>
      </c>
      <c r="D343" s="125">
        <f>Lista!C342</f>
        <v>0</v>
      </c>
      <c r="E343" s="125">
        <f>Lista!D342</f>
        <v>0</v>
      </c>
      <c r="F343" s="125">
        <f>Lista!E342</f>
        <v>0</v>
      </c>
      <c r="G343" s="125">
        <f>Lista!F342</f>
        <v>0</v>
      </c>
      <c r="H343" s="125">
        <f>Lista!G342</f>
        <v>0</v>
      </c>
      <c r="I343" s="125">
        <f>Lista!H342</f>
        <v>0</v>
      </c>
      <c r="J343" s="125">
        <f>Lista!I342</f>
        <v>0</v>
      </c>
      <c r="K343" s="125">
        <f>Lista!J342</f>
        <v>0</v>
      </c>
      <c r="L343" s="125">
        <f>Lista!K342</f>
        <v>0</v>
      </c>
      <c r="M343" s="125">
        <f>Lista!L342</f>
        <v>0</v>
      </c>
      <c r="N343" s="125">
        <f>Lista!M342</f>
        <v>0</v>
      </c>
      <c r="O343" s="125">
        <f>Lista!N342</f>
        <v>0</v>
      </c>
      <c r="P343" s="125">
        <f>Lista!O342</f>
        <v>0</v>
      </c>
      <c r="Q343" s="125">
        <f>Lista!P342</f>
        <v>0</v>
      </c>
      <c r="R343" s="125">
        <f>Lista!Q342</f>
        <v>0</v>
      </c>
      <c r="S343" s="125">
        <f>Lista!R342</f>
        <v>0</v>
      </c>
      <c r="T343" s="81"/>
      <c r="U343" s="81"/>
      <c r="V343" s="81"/>
      <c r="W343" s="81"/>
      <c r="X343" s="81"/>
      <c r="Y343" s="81"/>
      <c r="Z343" s="81"/>
      <c r="AA343" s="81"/>
      <c r="AB343" s="81"/>
      <c r="AC343" s="81"/>
      <c r="AD343" s="81"/>
      <c r="AE343" s="81"/>
      <c r="AF343" s="81"/>
      <c r="AG343" s="81"/>
      <c r="AH343" s="81"/>
      <c r="AI343" s="81"/>
      <c r="AJ343" s="81"/>
      <c r="AK343" s="81"/>
      <c r="AL343" s="81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  <c r="BA343" s="81"/>
      <c r="BB343" s="81"/>
      <c r="BC343" s="81"/>
      <c r="BD343" s="81"/>
      <c r="BE343" s="81"/>
      <c r="BF343" s="81"/>
      <c r="BG343" s="81"/>
      <c r="BH343" s="81"/>
      <c r="BI343" s="81"/>
      <c r="BJ343" s="81"/>
      <c r="BK343" s="81"/>
      <c r="BL343" s="81"/>
      <c r="BM343" s="81"/>
      <c r="BN343" s="81"/>
      <c r="BO343" s="81"/>
      <c r="BP343" s="81"/>
      <c r="BQ343" s="81"/>
      <c r="BR343" s="81"/>
      <c r="BS343" s="81"/>
      <c r="BT343" s="81"/>
      <c r="BU343" s="81"/>
      <c r="BV343" s="81"/>
      <c r="BW343" s="81"/>
      <c r="BX343" s="81"/>
      <c r="BY343" s="81"/>
      <c r="BZ343" s="81"/>
      <c r="CA343" s="81"/>
      <c r="CB343" s="81"/>
      <c r="CC343" s="81"/>
      <c r="CD343" s="81"/>
      <c r="CE343" s="81"/>
      <c r="CF343" s="81"/>
      <c r="CG343" s="81"/>
      <c r="CH343" s="81"/>
      <c r="CI343" s="81"/>
      <c r="CJ343" s="81"/>
      <c r="CK343" s="81"/>
      <c r="CL343" s="81"/>
      <c r="CM343" s="81"/>
      <c r="CN343" s="81"/>
      <c r="CO343" s="81"/>
      <c r="CP343" s="81"/>
      <c r="CQ343" s="81"/>
      <c r="CR343" s="81"/>
      <c r="CS343" s="81"/>
      <c r="CT343" s="81"/>
      <c r="CU343" s="81"/>
      <c r="CV343" s="81"/>
      <c r="CW343" s="81"/>
      <c r="CX343" s="81"/>
      <c r="CY343" s="81"/>
      <c r="CZ343" s="81"/>
      <c r="DA343" s="81"/>
      <c r="DB343" s="81"/>
      <c r="DC343" s="81"/>
      <c r="DD343" s="81"/>
      <c r="DE343" s="81"/>
      <c r="DF343" s="81"/>
      <c r="DG343" s="81"/>
      <c r="DH343" s="81"/>
      <c r="DI343" s="81"/>
      <c r="DJ343" s="81"/>
      <c r="DK343" s="81"/>
      <c r="DL343" s="81"/>
      <c r="DM343" s="81"/>
      <c r="DN343" s="81"/>
      <c r="DO343" s="81"/>
      <c r="DP343" s="81"/>
      <c r="DQ343" s="81"/>
      <c r="DR343" s="81"/>
      <c r="DS343" s="81"/>
      <c r="DT343" s="81"/>
      <c r="DU343" s="81"/>
      <c r="DV343" s="81"/>
      <c r="DW343" s="121"/>
    </row>
    <row r="344" spans="1:127" x14ac:dyDescent="0.25">
      <c r="A344" s="2">
        <f>COUNTIF($D$2:D344,'Reporte de Nomina'!$E$2)</f>
        <v>0</v>
      </c>
      <c r="B344" s="125">
        <f>Lista!A343</f>
        <v>0</v>
      </c>
      <c r="C344" s="125">
        <f>Lista!B343</f>
        <v>0</v>
      </c>
      <c r="D344" s="125">
        <f>Lista!C343</f>
        <v>0</v>
      </c>
      <c r="E344" s="125">
        <f>Lista!D343</f>
        <v>0</v>
      </c>
      <c r="F344" s="125">
        <f>Lista!E343</f>
        <v>0</v>
      </c>
      <c r="G344" s="125">
        <f>Lista!F343</f>
        <v>0</v>
      </c>
      <c r="H344" s="125">
        <f>Lista!G343</f>
        <v>0</v>
      </c>
      <c r="I344" s="125">
        <f>Lista!H343</f>
        <v>0</v>
      </c>
      <c r="J344" s="125">
        <f>Lista!I343</f>
        <v>0</v>
      </c>
      <c r="K344" s="125">
        <f>Lista!J343</f>
        <v>0</v>
      </c>
      <c r="L344" s="125">
        <f>Lista!K343</f>
        <v>0</v>
      </c>
      <c r="M344" s="125">
        <f>Lista!L343</f>
        <v>0</v>
      </c>
      <c r="N344" s="125">
        <f>Lista!M343</f>
        <v>0</v>
      </c>
      <c r="O344" s="125">
        <f>Lista!N343</f>
        <v>0</v>
      </c>
      <c r="P344" s="125">
        <f>Lista!O343</f>
        <v>0</v>
      </c>
      <c r="Q344" s="125">
        <f>Lista!P343</f>
        <v>0</v>
      </c>
      <c r="R344" s="125">
        <f>Lista!Q343</f>
        <v>0</v>
      </c>
      <c r="S344" s="125">
        <f>Lista!R343</f>
        <v>0</v>
      </c>
      <c r="T344" s="81"/>
      <c r="U344" s="81"/>
      <c r="V344" s="81"/>
      <c r="W344" s="81"/>
      <c r="X344" s="81"/>
      <c r="Y344" s="81"/>
      <c r="Z344" s="81"/>
      <c r="AA344" s="81"/>
      <c r="AB344" s="81"/>
      <c r="AC344" s="81"/>
      <c r="AD344" s="81"/>
      <c r="AE344" s="81"/>
      <c r="AF344" s="81"/>
      <c r="AG344" s="81"/>
      <c r="AH344" s="81"/>
      <c r="AI344" s="81"/>
      <c r="AJ344" s="81"/>
      <c r="AK344" s="81"/>
      <c r="AL344" s="81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  <c r="BA344" s="81"/>
      <c r="BB344" s="81"/>
      <c r="BC344" s="81"/>
      <c r="BD344" s="81"/>
      <c r="BE344" s="81"/>
      <c r="BF344" s="81"/>
      <c r="BG344" s="81"/>
      <c r="BH344" s="81"/>
      <c r="BI344" s="81"/>
      <c r="BJ344" s="81"/>
      <c r="BK344" s="81"/>
      <c r="BL344" s="81"/>
      <c r="BM344" s="81"/>
      <c r="BN344" s="81"/>
      <c r="BO344" s="81"/>
      <c r="BP344" s="81"/>
      <c r="BQ344" s="81"/>
      <c r="BR344" s="81"/>
      <c r="BS344" s="81"/>
      <c r="BT344" s="81"/>
      <c r="BU344" s="81"/>
      <c r="BV344" s="81"/>
      <c r="BW344" s="81"/>
      <c r="BX344" s="81"/>
      <c r="BY344" s="81"/>
      <c r="BZ344" s="81"/>
      <c r="CA344" s="81"/>
      <c r="CB344" s="81"/>
      <c r="CC344" s="81"/>
      <c r="CD344" s="81"/>
      <c r="CE344" s="81"/>
      <c r="CF344" s="81"/>
      <c r="CG344" s="81"/>
      <c r="CH344" s="81"/>
      <c r="CI344" s="81"/>
      <c r="CJ344" s="81"/>
      <c r="CK344" s="81"/>
      <c r="CL344" s="81"/>
      <c r="CM344" s="81"/>
      <c r="CN344" s="81"/>
      <c r="CO344" s="81"/>
      <c r="CP344" s="81"/>
      <c r="CQ344" s="81"/>
      <c r="CR344" s="81"/>
      <c r="CS344" s="81"/>
      <c r="CT344" s="81"/>
      <c r="CU344" s="81"/>
      <c r="CV344" s="81"/>
      <c r="CW344" s="81"/>
      <c r="CX344" s="81"/>
      <c r="CY344" s="81"/>
      <c r="CZ344" s="81"/>
      <c r="DA344" s="81"/>
      <c r="DB344" s="81"/>
      <c r="DC344" s="81"/>
      <c r="DD344" s="81"/>
      <c r="DE344" s="81"/>
      <c r="DF344" s="81"/>
      <c r="DG344" s="81"/>
      <c r="DH344" s="81"/>
      <c r="DI344" s="81"/>
      <c r="DJ344" s="81"/>
      <c r="DK344" s="81"/>
      <c r="DL344" s="81"/>
      <c r="DM344" s="81"/>
      <c r="DN344" s="81"/>
      <c r="DO344" s="81"/>
      <c r="DP344" s="81"/>
      <c r="DQ344" s="81"/>
      <c r="DR344" s="81"/>
      <c r="DS344" s="81"/>
      <c r="DT344" s="81"/>
      <c r="DU344" s="81"/>
      <c r="DV344" s="81"/>
      <c r="DW344" s="121"/>
    </row>
    <row r="345" spans="1:127" x14ac:dyDescent="0.25">
      <c r="A345" s="2">
        <f>COUNTIF($D$2:D345,'Reporte de Nomina'!$E$2)</f>
        <v>0</v>
      </c>
      <c r="B345" s="125">
        <f>Lista!A344</f>
        <v>0</v>
      </c>
      <c r="C345" s="125">
        <f>Lista!B344</f>
        <v>0</v>
      </c>
      <c r="D345" s="125">
        <f>Lista!C344</f>
        <v>0</v>
      </c>
      <c r="E345" s="125">
        <f>Lista!D344</f>
        <v>0</v>
      </c>
      <c r="F345" s="125">
        <f>Lista!E344</f>
        <v>0</v>
      </c>
      <c r="G345" s="125">
        <f>Lista!F344</f>
        <v>0</v>
      </c>
      <c r="H345" s="125">
        <f>Lista!G344</f>
        <v>0</v>
      </c>
      <c r="I345" s="125">
        <f>Lista!H344</f>
        <v>0</v>
      </c>
      <c r="J345" s="125">
        <f>Lista!I344</f>
        <v>0</v>
      </c>
      <c r="K345" s="125">
        <f>Lista!J344</f>
        <v>0</v>
      </c>
      <c r="L345" s="125">
        <f>Lista!K344</f>
        <v>0</v>
      </c>
      <c r="M345" s="125">
        <f>Lista!L344</f>
        <v>0</v>
      </c>
      <c r="N345" s="125">
        <f>Lista!M344</f>
        <v>0</v>
      </c>
      <c r="O345" s="125">
        <f>Lista!N344</f>
        <v>0</v>
      </c>
      <c r="P345" s="125">
        <f>Lista!O344</f>
        <v>0</v>
      </c>
      <c r="Q345" s="125">
        <f>Lista!P344</f>
        <v>0</v>
      </c>
      <c r="R345" s="125">
        <f>Lista!Q344</f>
        <v>0</v>
      </c>
      <c r="S345" s="125">
        <f>Lista!R344</f>
        <v>0</v>
      </c>
      <c r="T345" s="81"/>
      <c r="U345" s="81"/>
      <c r="V345" s="81"/>
      <c r="W345" s="81"/>
      <c r="X345" s="81"/>
      <c r="Y345" s="81"/>
      <c r="Z345" s="81"/>
      <c r="AA345" s="81"/>
      <c r="AB345" s="81"/>
      <c r="AC345" s="81"/>
      <c r="AD345" s="81"/>
      <c r="AE345" s="81"/>
      <c r="AF345" s="81"/>
      <c r="AG345" s="81"/>
      <c r="AH345" s="81"/>
      <c r="AI345" s="81"/>
      <c r="AJ345" s="81"/>
      <c r="AK345" s="81"/>
      <c r="AL345" s="81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  <c r="BA345" s="81"/>
      <c r="BB345" s="81"/>
      <c r="BC345" s="81"/>
      <c r="BD345" s="81"/>
      <c r="BE345" s="81"/>
      <c r="BF345" s="81"/>
      <c r="BG345" s="81"/>
      <c r="BH345" s="81"/>
      <c r="BI345" s="81"/>
      <c r="BJ345" s="81"/>
      <c r="BK345" s="81"/>
      <c r="BL345" s="81"/>
      <c r="BM345" s="81"/>
      <c r="BN345" s="81"/>
      <c r="BO345" s="81"/>
      <c r="BP345" s="81"/>
      <c r="BQ345" s="81"/>
      <c r="BR345" s="81"/>
      <c r="BS345" s="81"/>
      <c r="BT345" s="81"/>
      <c r="BU345" s="81"/>
      <c r="BV345" s="81"/>
      <c r="BW345" s="81"/>
      <c r="BX345" s="81"/>
      <c r="BY345" s="81"/>
      <c r="BZ345" s="81"/>
      <c r="CA345" s="81"/>
      <c r="CB345" s="81"/>
      <c r="CC345" s="81"/>
      <c r="CD345" s="81"/>
      <c r="CE345" s="81"/>
      <c r="CF345" s="81"/>
      <c r="CG345" s="81"/>
      <c r="CH345" s="81"/>
      <c r="CI345" s="81"/>
      <c r="CJ345" s="81"/>
      <c r="CK345" s="81"/>
      <c r="CL345" s="81"/>
      <c r="CM345" s="81"/>
      <c r="CN345" s="81"/>
      <c r="CO345" s="81"/>
      <c r="CP345" s="81"/>
      <c r="CQ345" s="81"/>
      <c r="CR345" s="81"/>
      <c r="CS345" s="81"/>
      <c r="CT345" s="81"/>
      <c r="CU345" s="81"/>
      <c r="CV345" s="81"/>
      <c r="CW345" s="81"/>
      <c r="CX345" s="81"/>
      <c r="CY345" s="81"/>
      <c r="CZ345" s="81"/>
      <c r="DA345" s="81"/>
      <c r="DB345" s="81"/>
      <c r="DC345" s="81"/>
      <c r="DD345" s="81"/>
      <c r="DE345" s="81"/>
      <c r="DF345" s="81"/>
      <c r="DG345" s="81"/>
      <c r="DH345" s="81"/>
      <c r="DI345" s="81"/>
      <c r="DJ345" s="81"/>
      <c r="DK345" s="81"/>
      <c r="DL345" s="81"/>
      <c r="DM345" s="81"/>
      <c r="DN345" s="81"/>
      <c r="DO345" s="81"/>
      <c r="DP345" s="81"/>
      <c r="DQ345" s="81"/>
      <c r="DR345" s="81"/>
      <c r="DS345" s="81"/>
      <c r="DT345" s="81"/>
      <c r="DU345" s="81"/>
      <c r="DV345" s="81"/>
      <c r="DW345" s="121"/>
    </row>
    <row r="346" spans="1:127" x14ac:dyDescent="0.25">
      <c r="A346" s="2">
        <f>COUNTIF($D$2:D346,'Reporte de Nomina'!$E$2)</f>
        <v>0</v>
      </c>
      <c r="B346" s="125">
        <f>Lista!A345</f>
        <v>0</v>
      </c>
      <c r="C346" s="125">
        <f>Lista!B345</f>
        <v>0</v>
      </c>
      <c r="D346" s="125">
        <f>Lista!C345</f>
        <v>0</v>
      </c>
      <c r="E346" s="125">
        <f>Lista!D345</f>
        <v>0</v>
      </c>
      <c r="F346" s="125">
        <f>Lista!E345</f>
        <v>0</v>
      </c>
      <c r="G346" s="125">
        <f>Lista!F345</f>
        <v>0</v>
      </c>
      <c r="H346" s="125">
        <f>Lista!G345</f>
        <v>0</v>
      </c>
      <c r="I346" s="125">
        <f>Lista!H345</f>
        <v>0</v>
      </c>
      <c r="J346" s="125">
        <f>Lista!I345</f>
        <v>0</v>
      </c>
      <c r="K346" s="125">
        <f>Lista!J345</f>
        <v>0</v>
      </c>
      <c r="L346" s="125">
        <f>Lista!K345</f>
        <v>0</v>
      </c>
      <c r="M346" s="125">
        <f>Lista!L345</f>
        <v>0</v>
      </c>
      <c r="N346" s="125">
        <f>Lista!M345</f>
        <v>0</v>
      </c>
      <c r="O346" s="125">
        <f>Lista!N345</f>
        <v>0</v>
      </c>
      <c r="P346" s="125">
        <f>Lista!O345</f>
        <v>0</v>
      </c>
      <c r="Q346" s="125">
        <f>Lista!P345</f>
        <v>0</v>
      </c>
      <c r="R346" s="125">
        <f>Lista!Q345</f>
        <v>0</v>
      </c>
      <c r="S346" s="125">
        <f>Lista!R345</f>
        <v>0</v>
      </c>
      <c r="T346" s="81"/>
      <c r="U346" s="81"/>
      <c r="V346" s="81"/>
      <c r="W346" s="81"/>
      <c r="X346" s="81"/>
      <c r="Y346" s="81"/>
      <c r="Z346" s="81"/>
      <c r="AA346" s="81"/>
      <c r="AB346" s="81"/>
      <c r="AC346" s="81"/>
      <c r="AD346" s="81"/>
      <c r="AE346" s="81"/>
      <c r="AF346" s="81"/>
      <c r="AG346" s="81"/>
      <c r="AH346" s="81"/>
      <c r="AI346" s="81"/>
      <c r="AJ346" s="81"/>
      <c r="AK346" s="81"/>
      <c r="AL346" s="81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  <c r="BA346" s="81"/>
      <c r="BB346" s="81"/>
      <c r="BC346" s="81"/>
      <c r="BD346" s="81"/>
      <c r="BE346" s="81"/>
      <c r="BF346" s="81"/>
      <c r="BG346" s="81"/>
      <c r="BH346" s="81"/>
      <c r="BI346" s="81"/>
      <c r="BJ346" s="81"/>
      <c r="BK346" s="81"/>
      <c r="BL346" s="81"/>
      <c r="BM346" s="81"/>
      <c r="BN346" s="81"/>
      <c r="BO346" s="81"/>
      <c r="BP346" s="81"/>
      <c r="BQ346" s="81"/>
      <c r="BR346" s="81"/>
      <c r="BS346" s="81"/>
      <c r="BT346" s="81"/>
      <c r="BU346" s="81"/>
      <c r="BV346" s="81"/>
      <c r="BW346" s="81"/>
      <c r="BX346" s="81"/>
      <c r="BY346" s="81"/>
      <c r="BZ346" s="81"/>
      <c r="CA346" s="81"/>
      <c r="CB346" s="81"/>
      <c r="CC346" s="81"/>
      <c r="CD346" s="81"/>
      <c r="CE346" s="81"/>
      <c r="CF346" s="81"/>
      <c r="CG346" s="81"/>
      <c r="CH346" s="81"/>
      <c r="CI346" s="81"/>
      <c r="CJ346" s="81"/>
      <c r="CK346" s="81"/>
      <c r="CL346" s="81"/>
      <c r="CM346" s="81"/>
      <c r="CN346" s="81"/>
      <c r="CO346" s="81"/>
      <c r="CP346" s="81"/>
      <c r="CQ346" s="81"/>
      <c r="CR346" s="81"/>
      <c r="CS346" s="81"/>
      <c r="CT346" s="81"/>
      <c r="CU346" s="81"/>
      <c r="CV346" s="81"/>
      <c r="CW346" s="81"/>
      <c r="CX346" s="81"/>
      <c r="CY346" s="81"/>
      <c r="CZ346" s="81"/>
      <c r="DA346" s="81"/>
      <c r="DB346" s="81"/>
      <c r="DC346" s="81"/>
      <c r="DD346" s="81"/>
      <c r="DE346" s="81"/>
      <c r="DF346" s="81"/>
      <c r="DG346" s="81"/>
      <c r="DH346" s="81"/>
      <c r="DI346" s="81"/>
      <c r="DJ346" s="81"/>
      <c r="DK346" s="81"/>
      <c r="DL346" s="81"/>
      <c r="DM346" s="81"/>
      <c r="DN346" s="81"/>
      <c r="DO346" s="81"/>
      <c r="DP346" s="81"/>
      <c r="DQ346" s="81"/>
      <c r="DR346" s="81"/>
      <c r="DS346" s="81"/>
      <c r="DT346" s="81"/>
      <c r="DU346" s="81"/>
      <c r="DV346" s="81"/>
      <c r="DW346" s="121"/>
    </row>
    <row r="347" spans="1:127" x14ac:dyDescent="0.25">
      <c r="A347" s="2">
        <f>COUNTIF($D$2:D347,'Reporte de Nomina'!$E$2)</f>
        <v>0</v>
      </c>
      <c r="B347" s="125">
        <f>Lista!A346</f>
        <v>0</v>
      </c>
      <c r="C347" s="125">
        <f>Lista!B346</f>
        <v>0</v>
      </c>
      <c r="D347" s="125">
        <f>Lista!C346</f>
        <v>0</v>
      </c>
      <c r="E347" s="125">
        <f>Lista!D346</f>
        <v>0</v>
      </c>
      <c r="F347" s="125">
        <f>Lista!E346</f>
        <v>0</v>
      </c>
      <c r="G347" s="125">
        <f>Lista!F346</f>
        <v>0</v>
      </c>
      <c r="H347" s="125">
        <f>Lista!G346</f>
        <v>0</v>
      </c>
      <c r="I347" s="125">
        <f>Lista!H346</f>
        <v>0</v>
      </c>
      <c r="J347" s="125">
        <f>Lista!I346</f>
        <v>0</v>
      </c>
      <c r="K347" s="125">
        <f>Lista!J346</f>
        <v>0</v>
      </c>
      <c r="L347" s="125">
        <f>Lista!K346</f>
        <v>0</v>
      </c>
      <c r="M347" s="125">
        <f>Lista!L346</f>
        <v>0</v>
      </c>
      <c r="N347" s="125">
        <f>Lista!M346</f>
        <v>0</v>
      </c>
      <c r="O347" s="125">
        <f>Lista!N346</f>
        <v>0</v>
      </c>
      <c r="P347" s="125">
        <f>Lista!O346</f>
        <v>0</v>
      </c>
      <c r="Q347" s="125">
        <f>Lista!P346</f>
        <v>0</v>
      </c>
      <c r="R347" s="125">
        <f>Lista!Q346</f>
        <v>0</v>
      </c>
      <c r="S347" s="125">
        <f>Lista!R346</f>
        <v>0</v>
      </c>
      <c r="T347" s="81"/>
      <c r="U347" s="81"/>
      <c r="V347" s="81"/>
      <c r="W347" s="81"/>
      <c r="X347" s="81"/>
      <c r="Y347" s="81"/>
      <c r="Z347" s="81"/>
      <c r="AA347" s="81"/>
      <c r="AB347" s="81"/>
      <c r="AC347" s="81"/>
      <c r="AD347" s="81"/>
      <c r="AE347" s="81"/>
      <c r="AF347" s="81"/>
      <c r="AG347" s="81"/>
      <c r="AH347" s="81"/>
      <c r="AI347" s="81"/>
      <c r="AJ347" s="81"/>
      <c r="AK347" s="81"/>
      <c r="AL347" s="81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  <c r="BA347" s="81"/>
      <c r="BB347" s="81"/>
      <c r="BC347" s="81"/>
      <c r="BD347" s="81"/>
      <c r="BE347" s="81"/>
      <c r="BF347" s="81"/>
      <c r="BG347" s="81"/>
      <c r="BH347" s="81"/>
      <c r="BI347" s="81"/>
      <c r="BJ347" s="81"/>
      <c r="BK347" s="81"/>
      <c r="BL347" s="81"/>
      <c r="BM347" s="81"/>
      <c r="BN347" s="81"/>
      <c r="BO347" s="81"/>
      <c r="BP347" s="81"/>
      <c r="BQ347" s="81"/>
      <c r="BR347" s="81"/>
      <c r="BS347" s="81"/>
      <c r="BT347" s="81"/>
      <c r="BU347" s="81"/>
      <c r="BV347" s="81"/>
      <c r="BW347" s="81"/>
      <c r="BX347" s="81"/>
      <c r="BY347" s="81"/>
      <c r="BZ347" s="81"/>
      <c r="CA347" s="81"/>
      <c r="CB347" s="81"/>
      <c r="CC347" s="81"/>
      <c r="CD347" s="81"/>
      <c r="CE347" s="81"/>
      <c r="CF347" s="81"/>
      <c r="CG347" s="81"/>
      <c r="CH347" s="81"/>
      <c r="CI347" s="81"/>
      <c r="CJ347" s="81"/>
      <c r="CK347" s="81"/>
      <c r="CL347" s="81"/>
      <c r="CM347" s="81"/>
      <c r="CN347" s="81"/>
      <c r="CO347" s="81"/>
      <c r="CP347" s="81"/>
      <c r="CQ347" s="81"/>
      <c r="CR347" s="81"/>
      <c r="CS347" s="81"/>
      <c r="CT347" s="81"/>
      <c r="CU347" s="81"/>
      <c r="CV347" s="81"/>
      <c r="CW347" s="81"/>
      <c r="CX347" s="81"/>
      <c r="CY347" s="81"/>
      <c r="CZ347" s="81"/>
      <c r="DA347" s="81"/>
      <c r="DB347" s="81"/>
      <c r="DC347" s="81"/>
      <c r="DD347" s="81"/>
      <c r="DE347" s="81"/>
      <c r="DF347" s="81"/>
      <c r="DG347" s="81"/>
      <c r="DH347" s="81"/>
      <c r="DI347" s="81"/>
      <c r="DJ347" s="81"/>
      <c r="DK347" s="81"/>
      <c r="DL347" s="81"/>
      <c r="DM347" s="81"/>
      <c r="DN347" s="81"/>
      <c r="DO347" s="81"/>
      <c r="DP347" s="81"/>
      <c r="DQ347" s="81"/>
      <c r="DR347" s="81"/>
      <c r="DS347" s="81"/>
      <c r="DT347" s="81"/>
      <c r="DU347" s="81"/>
      <c r="DV347" s="81"/>
      <c r="DW347" s="121"/>
    </row>
    <row r="348" spans="1:127" x14ac:dyDescent="0.25">
      <c r="A348" s="2">
        <f>COUNTIF($D$2:D348,'Reporte de Nomina'!$E$2)</f>
        <v>0</v>
      </c>
      <c r="B348" s="125">
        <f>Lista!A347</f>
        <v>0</v>
      </c>
      <c r="C348" s="125">
        <f>Lista!B347</f>
        <v>0</v>
      </c>
      <c r="D348" s="125">
        <f>Lista!C347</f>
        <v>0</v>
      </c>
      <c r="E348" s="125">
        <f>Lista!D347</f>
        <v>0</v>
      </c>
      <c r="F348" s="125">
        <f>Lista!E347</f>
        <v>0</v>
      </c>
      <c r="G348" s="125">
        <f>Lista!F347</f>
        <v>0</v>
      </c>
      <c r="H348" s="125">
        <f>Lista!G347</f>
        <v>0</v>
      </c>
      <c r="I348" s="125">
        <f>Lista!H347</f>
        <v>0</v>
      </c>
      <c r="J348" s="125">
        <f>Lista!I347</f>
        <v>0</v>
      </c>
      <c r="K348" s="125">
        <f>Lista!J347</f>
        <v>0</v>
      </c>
      <c r="L348" s="125">
        <f>Lista!K347</f>
        <v>0</v>
      </c>
      <c r="M348" s="125">
        <f>Lista!L347</f>
        <v>0</v>
      </c>
      <c r="N348" s="125">
        <f>Lista!M347</f>
        <v>0</v>
      </c>
      <c r="O348" s="125">
        <f>Lista!N347</f>
        <v>0</v>
      </c>
      <c r="P348" s="125">
        <f>Lista!O347</f>
        <v>0</v>
      </c>
      <c r="Q348" s="125">
        <f>Lista!P347</f>
        <v>0</v>
      </c>
      <c r="R348" s="125">
        <f>Lista!Q347</f>
        <v>0</v>
      </c>
      <c r="S348" s="125">
        <f>Lista!R347</f>
        <v>0</v>
      </c>
      <c r="T348" s="81"/>
      <c r="U348" s="81"/>
      <c r="V348" s="81"/>
      <c r="W348" s="81"/>
      <c r="X348" s="81"/>
      <c r="Y348" s="81"/>
      <c r="Z348" s="81"/>
      <c r="AA348" s="81"/>
      <c r="AB348" s="81"/>
      <c r="AC348" s="81"/>
      <c r="AD348" s="81"/>
      <c r="AE348" s="81"/>
      <c r="AF348" s="81"/>
      <c r="AG348" s="81"/>
      <c r="AH348" s="81"/>
      <c r="AI348" s="81"/>
      <c r="AJ348" s="81"/>
      <c r="AK348" s="81"/>
      <c r="AL348" s="81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  <c r="BA348" s="81"/>
      <c r="BB348" s="81"/>
      <c r="BC348" s="81"/>
      <c r="BD348" s="81"/>
      <c r="BE348" s="81"/>
      <c r="BF348" s="81"/>
      <c r="BG348" s="81"/>
      <c r="BH348" s="81"/>
      <c r="BI348" s="81"/>
      <c r="BJ348" s="81"/>
      <c r="BK348" s="81"/>
      <c r="BL348" s="81"/>
      <c r="BM348" s="81"/>
      <c r="BN348" s="81"/>
      <c r="BO348" s="81"/>
      <c r="BP348" s="81"/>
      <c r="BQ348" s="81"/>
      <c r="BR348" s="81"/>
      <c r="BS348" s="81"/>
      <c r="BT348" s="81"/>
      <c r="BU348" s="81"/>
      <c r="BV348" s="81"/>
      <c r="BW348" s="81"/>
      <c r="BX348" s="81"/>
      <c r="BY348" s="81"/>
      <c r="BZ348" s="81"/>
      <c r="CA348" s="81"/>
      <c r="CB348" s="81"/>
      <c r="CC348" s="81"/>
      <c r="CD348" s="81"/>
      <c r="CE348" s="81"/>
      <c r="CF348" s="81"/>
      <c r="CG348" s="81"/>
      <c r="CH348" s="81"/>
      <c r="CI348" s="81"/>
      <c r="CJ348" s="81"/>
      <c r="CK348" s="81"/>
      <c r="CL348" s="81"/>
      <c r="CM348" s="81"/>
      <c r="CN348" s="81"/>
      <c r="CO348" s="81"/>
      <c r="CP348" s="81"/>
      <c r="CQ348" s="81"/>
      <c r="CR348" s="81"/>
      <c r="CS348" s="81"/>
      <c r="CT348" s="81"/>
      <c r="CU348" s="81"/>
      <c r="CV348" s="81"/>
      <c r="CW348" s="81"/>
      <c r="CX348" s="81"/>
      <c r="CY348" s="81"/>
      <c r="CZ348" s="81"/>
      <c r="DA348" s="81"/>
      <c r="DB348" s="81"/>
      <c r="DC348" s="81"/>
      <c r="DD348" s="81"/>
      <c r="DE348" s="81"/>
      <c r="DF348" s="81"/>
      <c r="DG348" s="81"/>
      <c r="DH348" s="81"/>
      <c r="DI348" s="81"/>
      <c r="DJ348" s="81"/>
      <c r="DK348" s="81"/>
      <c r="DL348" s="81"/>
      <c r="DM348" s="81"/>
      <c r="DN348" s="81"/>
      <c r="DO348" s="81"/>
      <c r="DP348" s="81"/>
      <c r="DQ348" s="81"/>
      <c r="DR348" s="81"/>
      <c r="DS348" s="81"/>
      <c r="DT348" s="81"/>
      <c r="DU348" s="81"/>
      <c r="DV348" s="81"/>
      <c r="DW348" s="121"/>
    </row>
    <row r="349" spans="1:127" x14ac:dyDescent="0.25">
      <c r="A349" s="2">
        <f>COUNTIF($D$2:D349,'Reporte de Nomina'!$E$2)</f>
        <v>0</v>
      </c>
      <c r="B349" s="125">
        <f>Lista!A348</f>
        <v>0</v>
      </c>
      <c r="C349" s="125">
        <f>Lista!B348</f>
        <v>0</v>
      </c>
      <c r="D349" s="125">
        <f>Lista!C348</f>
        <v>0</v>
      </c>
      <c r="E349" s="125">
        <f>Lista!D348</f>
        <v>0</v>
      </c>
      <c r="F349" s="125">
        <f>Lista!E348</f>
        <v>0</v>
      </c>
      <c r="G349" s="125">
        <f>Lista!F348</f>
        <v>0</v>
      </c>
      <c r="H349" s="125">
        <f>Lista!G348</f>
        <v>0</v>
      </c>
      <c r="I349" s="125">
        <f>Lista!H348</f>
        <v>0</v>
      </c>
      <c r="J349" s="125">
        <f>Lista!I348</f>
        <v>0</v>
      </c>
      <c r="K349" s="125">
        <f>Lista!J348</f>
        <v>0</v>
      </c>
      <c r="L349" s="125">
        <f>Lista!K348</f>
        <v>0</v>
      </c>
      <c r="M349" s="125">
        <f>Lista!L348</f>
        <v>0</v>
      </c>
      <c r="N349" s="125">
        <f>Lista!M348</f>
        <v>0</v>
      </c>
      <c r="O349" s="125">
        <f>Lista!N348</f>
        <v>0</v>
      </c>
      <c r="P349" s="125">
        <f>Lista!O348</f>
        <v>0</v>
      </c>
      <c r="Q349" s="125">
        <f>Lista!P348</f>
        <v>0</v>
      </c>
      <c r="R349" s="125">
        <f>Lista!Q348</f>
        <v>0</v>
      </c>
      <c r="S349" s="125">
        <f>Lista!R348</f>
        <v>0</v>
      </c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81"/>
      <c r="AE349" s="81"/>
      <c r="AF349" s="81"/>
      <c r="AG349" s="81"/>
      <c r="AH349" s="81"/>
      <c r="AI349" s="81"/>
      <c r="AJ349" s="81"/>
      <c r="AK349" s="81"/>
      <c r="AL349" s="81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  <c r="BA349" s="81"/>
      <c r="BB349" s="81"/>
      <c r="BC349" s="81"/>
      <c r="BD349" s="81"/>
      <c r="BE349" s="81"/>
      <c r="BF349" s="81"/>
      <c r="BG349" s="81"/>
      <c r="BH349" s="81"/>
      <c r="BI349" s="81"/>
      <c r="BJ349" s="81"/>
      <c r="BK349" s="81"/>
      <c r="BL349" s="81"/>
      <c r="BM349" s="81"/>
      <c r="BN349" s="81"/>
      <c r="BO349" s="81"/>
      <c r="BP349" s="81"/>
      <c r="BQ349" s="81"/>
      <c r="BR349" s="81"/>
      <c r="BS349" s="81"/>
      <c r="BT349" s="81"/>
      <c r="BU349" s="81"/>
      <c r="BV349" s="81"/>
      <c r="BW349" s="81"/>
      <c r="BX349" s="81"/>
      <c r="BY349" s="81"/>
      <c r="BZ349" s="81"/>
      <c r="CA349" s="81"/>
      <c r="CB349" s="81"/>
      <c r="CC349" s="81"/>
      <c r="CD349" s="81"/>
      <c r="CE349" s="81"/>
      <c r="CF349" s="81"/>
      <c r="CG349" s="81"/>
      <c r="CH349" s="81"/>
      <c r="CI349" s="81"/>
      <c r="CJ349" s="81"/>
      <c r="CK349" s="81"/>
      <c r="CL349" s="81"/>
      <c r="CM349" s="81"/>
      <c r="CN349" s="81"/>
      <c r="CO349" s="81"/>
      <c r="CP349" s="81"/>
      <c r="CQ349" s="81"/>
      <c r="CR349" s="81"/>
      <c r="CS349" s="81"/>
      <c r="CT349" s="81"/>
      <c r="CU349" s="81"/>
      <c r="CV349" s="81"/>
      <c r="CW349" s="81"/>
      <c r="CX349" s="81"/>
      <c r="CY349" s="81"/>
      <c r="CZ349" s="81"/>
      <c r="DA349" s="81"/>
      <c r="DB349" s="81"/>
      <c r="DC349" s="81"/>
      <c r="DD349" s="81"/>
      <c r="DE349" s="81"/>
      <c r="DF349" s="81"/>
      <c r="DG349" s="81"/>
      <c r="DH349" s="81"/>
      <c r="DI349" s="81"/>
      <c r="DJ349" s="81"/>
      <c r="DK349" s="81"/>
      <c r="DL349" s="81"/>
      <c r="DM349" s="81"/>
      <c r="DN349" s="81"/>
      <c r="DO349" s="81"/>
      <c r="DP349" s="81"/>
      <c r="DQ349" s="81"/>
      <c r="DR349" s="81"/>
      <c r="DS349" s="81"/>
      <c r="DT349" s="81"/>
      <c r="DU349" s="81"/>
      <c r="DV349" s="81"/>
      <c r="DW349" s="121"/>
    </row>
    <row r="350" spans="1:127" x14ac:dyDescent="0.25">
      <c r="A350" s="2">
        <f>COUNTIF($D$2:D350,'Reporte de Nomina'!$E$2)</f>
        <v>0</v>
      </c>
      <c r="B350" s="125">
        <f>Lista!A349</f>
        <v>0</v>
      </c>
      <c r="C350" s="125">
        <f>Lista!B349</f>
        <v>0</v>
      </c>
      <c r="D350" s="125">
        <f>Lista!C349</f>
        <v>0</v>
      </c>
      <c r="E350" s="125">
        <f>Lista!D349</f>
        <v>0</v>
      </c>
      <c r="F350" s="125">
        <f>Lista!E349</f>
        <v>0</v>
      </c>
      <c r="G350" s="125">
        <f>Lista!F349</f>
        <v>0</v>
      </c>
      <c r="H350" s="125">
        <f>Lista!G349</f>
        <v>0</v>
      </c>
      <c r="I350" s="125">
        <f>Lista!H349</f>
        <v>0</v>
      </c>
      <c r="J350" s="125">
        <f>Lista!I349</f>
        <v>0</v>
      </c>
      <c r="K350" s="125">
        <f>Lista!J349</f>
        <v>0</v>
      </c>
      <c r="L350" s="125">
        <f>Lista!K349</f>
        <v>0</v>
      </c>
      <c r="M350" s="125">
        <f>Lista!L349</f>
        <v>0</v>
      </c>
      <c r="N350" s="125">
        <f>Lista!M349</f>
        <v>0</v>
      </c>
      <c r="O350" s="125">
        <f>Lista!N349</f>
        <v>0</v>
      </c>
      <c r="P350" s="125">
        <f>Lista!O349</f>
        <v>0</v>
      </c>
      <c r="Q350" s="125">
        <f>Lista!P349</f>
        <v>0</v>
      </c>
      <c r="R350" s="125">
        <f>Lista!Q349</f>
        <v>0</v>
      </c>
      <c r="S350" s="125">
        <f>Lista!R349</f>
        <v>0</v>
      </c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81"/>
      <c r="AE350" s="81"/>
      <c r="AF350" s="81"/>
      <c r="AG350" s="81"/>
      <c r="AH350" s="81"/>
      <c r="AI350" s="81"/>
      <c r="AJ350" s="81"/>
      <c r="AK350" s="81"/>
      <c r="AL350" s="81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  <c r="BA350" s="81"/>
      <c r="BB350" s="81"/>
      <c r="BC350" s="81"/>
      <c r="BD350" s="81"/>
      <c r="BE350" s="81"/>
      <c r="BF350" s="81"/>
      <c r="BG350" s="81"/>
      <c r="BH350" s="81"/>
      <c r="BI350" s="81"/>
      <c r="BJ350" s="81"/>
      <c r="BK350" s="81"/>
      <c r="BL350" s="81"/>
      <c r="BM350" s="81"/>
      <c r="BN350" s="81"/>
      <c r="BO350" s="81"/>
      <c r="BP350" s="81"/>
      <c r="BQ350" s="81"/>
      <c r="BR350" s="81"/>
      <c r="BS350" s="81"/>
      <c r="BT350" s="81"/>
      <c r="BU350" s="81"/>
      <c r="BV350" s="81"/>
      <c r="BW350" s="81"/>
      <c r="BX350" s="81"/>
      <c r="BY350" s="81"/>
      <c r="BZ350" s="81"/>
      <c r="CA350" s="81"/>
      <c r="CB350" s="81"/>
      <c r="CC350" s="81"/>
      <c r="CD350" s="81"/>
      <c r="CE350" s="81"/>
      <c r="CF350" s="81"/>
      <c r="CG350" s="81"/>
      <c r="CH350" s="81"/>
      <c r="CI350" s="81"/>
      <c r="CJ350" s="81"/>
      <c r="CK350" s="81"/>
      <c r="CL350" s="81"/>
      <c r="CM350" s="81"/>
      <c r="CN350" s="81"/>
      <c r="CO350" s="81"/>
      <c r="CP350" s="81"/>
      <c r="CQ350" s="81"/>
      <c r="CR350" s="81"/>
      <c r="CS350" s="81"/>
      <c r="CT350" s="81"/>
      <c r="CU350" s="81"/>
      <c r="CV350" s="81"/>
      <c r="CW350" s="81"/>
      <c r="CX350" s="81"/>
      <c r="CY350" s="81"/>
      <c r="CZ350" s="81"/>
      <c r="DA350" s="81"/>
      <c r="DB350" s="81"/>
      <c r="DC350" s="81"/>
      <c r="DD350" s="81"/>
      <c r="DE350" s="81"/>
      <c r="DF350" s="81"/>
      <c r="DG350" s="81"/>
      <c r="DH350" s="81"/>
      <c r="DI350" s="81"/>
      <c r="DJ350" s="81"/>
      <c r="DK350" s="81"/>
      <c r="DL350" s="81"/>
      <c r="DM350" s="81"/>
      <c r="DN350" s="81"/>
      <c r="DO350" s="81"/>
      <c r="DP350" s="81"/>
      <c r="DQ350" s="81"/>
      <c r="DR350" s="81"/>
      <c r="DS350" s="81"/>
      <c r="DT350" s="81"/>
      <c r="DU350" s="81"/>
      <c r="DV350" s="81"/>
      <c r="DW350" s="121"/>
    </row>
    <row r="351" spans="1:127" x14ac:dyDescent="0.25">
      <c r="A351" s="2">
        <f>COUNTIF($D$2:D351,'Reporte de Nomina'!$E$2)</f>
        <v>0</v>
      </c>
      <c r="B351" s="125">
        <f>Lista!A350</f>
        <v>0</v>
      </c>
      <c r="C351" s="125">
        <f>Lista!B350</f>
        <v>0</v>
      </c>
      <c r="D351" s="125">
        <f>Lista!C350</f>
        <v>0</v>
      </c>
      <c r="E351" s="125">
        <f>Lista!D350</f>
        <v>0</v>
      </c>
      <c r="F351" s="125">
        <f>Lista!E350</f>
        <v>0</v>
      </c>
      <c r="G351" s="125">
        <f>Lista!F350</f>
        <v>0</v>
      </c>
      <c r="H351" s="125">
        <f>Lista!G350</f>
        <v>0</v>
      </c>
      <c r="I351" s="125">
        <f>Lista!H350</f>
        <v>0</v>
      </c>
      <c r="J351" s="125">
        <f>Lista!I350</f>
        <v>0</v>
      </c>
      <c r="K351" s="125">
        <f>Lista!J350</f>
        <v>0</v>
      </c>
      <c r="L351" s="125">
        <f>Lista!K350</f>
        <v>0</v>
      </c>
      <c r="M351" s="125">
        <f>Lista!L350</f>
        <v>0</v>
      </c>
      <c r="N351" s="125">
        <f>Lista!M350</f>
        <v>0</v>
      </c>
      <c r="O351" s="125">
        <f>Lista!N350</f>
        <v>0</v>
      </c>
      <c r="P351" s="125">
        <f>Lista!O350</f>
        <v>0</v>
      </c>
      <c r="Q351" s="125">
        <f>Lista!P350</f>
        <v>0</v>
      </c>
      <c r="R351" s="125">
        <f>Lista!Q350</f>
        <v>0</v>
      </c>
      <c r="S351" s="125">
        <f>Lista!R350</f>
        <v>0</v>
      </c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81"/>
      <c r="AE351" s="81"/>
      <c r="AF351" s="81"/>
      <c r="AG351" s="81"/>
      <c r="AH351" s="81"/>
      <c r="AI351" s="81"/>
      <c r="AJ351" s="81"/>
      <c r="AK351" s="81"/>
      <c r="AL351" s="81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  <c r="BA351" s="81"/>
      <c r="BB351" s="81"/>
      <c r="BC351" s="81"/>
      <c r="BD351" s="81"/>
      <c r="BE351" s="81"/>
      <c r="BF351" s="81"/>
      <c r="BG351" s="81"/>
      <c r="BH351" s="81"/>
      <c r="BI351" s="81"/>
      <c r="BJ351" s="81"/>
      <c r="BK351" s="81"/>
      <c r="BL351" s="81"/>
      <c r="BM351" s="81"/>
      <c r="BN351" s="81"/>
      <c r="BO351" s="81"/>
      <c r="BP351" s="81"/>
      <c r="BQ351" s="81"/>
      <c r="BR351" s="81"/>
      <c r="BS351" s="81"/>
      <c r="BT351" s="81"/>
      <c r="BU351" s="81"/>
      <c r="BV351" s="81"/>
      <c r="BW351" s="81"/>
      <c r="BX351" s="81"/>
      <c r="BY351" s="81"/>
      <c r="BZ351" s="81"/>
      <c r="CA351" s="81"/>
      <c r="CB351" s="81"/>
      <c r="CC351" s="81"/>
      <c r="CD351" s="81"/>
      <c r="CE351" s="81"/>
      <c r="CF351" s="81"/>
      <c r="CG351" s="81"/>
      <c r="CH351" s="81"/>
      <c r="CI351" s="81"/>
      <c r="CJ351" s="81"/>
      <c r="CK351" s="81"/>
      <c r="CL351" s="81"/>
      <c r="CM351" s="81"/>
      <c r="CN351" s="81"/>
      <c r="CO351" s="81"/>
      <c r="CP351" s="81"/>
      <c r="CQ351" s="81"/>
      <c r="CR351" s="81"/>
      <c r="CS351" s="81"/>
      <c r="CT351" s="81"/>
      <c r="CU351" s="81"/>
      <c r="CV351" s="81"/>
      <c r="CW351" s="81"/>
      <c r="CX351" s="81"/>
      <c r="CY351" s="81"/>
      <c r="CZ351" s="81"/>
      <c r="DA351" s="81"/>
      <c r="DB351" s="81"/>
      <c r="DC351" s="81"/>
      <c r="DD351" s="81"/>
      <c r="DE351" s="81"/>
      <c r="DF351" s="81"/>
      <c r="DG351" s="81"/>
      <c r="DH351" s="81"/>
      <c r="DI351" s="81"/>
      <c r="DJ351" s="81"/>
      <c r="DK351" s="81"/>
      <c r="DL351" s="81"/>
      <c r="DM351" s="81"/>
      <c r="DN351" s="81"/>
      <c r="DO351" s="81"/>
      <c r="DP351" s="81"/>
      <c r="DQ351" s="81"/>
      <c r="DR351" s="81"/>
      <c r="DS351" s="81"/>
      <c r="DT351" s="81"/>
      <c r="DU351" s="81"/>
      <c r="DV351" s="81"/>
      <c r="DW351" s="121"/>
    </row>
    <row r="352" spans="1:127" x14ac:dyDescent="0.25">
      <c r="A352" s="2">
        <f>COUNTIF($D$2:D352,'Reporte de Nomina'!$E$2)</f>
        <v>0</v>
      </c>
      <c r="B352" s="125">
        <f>Lista!A351</f>
        <v>0</v>
      </c>
      <c r="C352" s="125">
        <f>Lista!B351</f>
        <v>0</v>
      </c>
      <c r="D352" s="125">
        <f>Lista!C351</f>
        <v>0</v>
      </c>
      <c r="E352" s="125">
        <f>Lista!D351</f>
        <v>0</v>
      </c>
      <c r="F352" s="125">
        <f>Lista!E351</f>
        <v>0</v>
      </c>
      <c r="G352" s="125">
        <f>Lista!F351</f>
        <v>0</v>
      </c>
      <c r="H352" s="125">
        <f>Lista!G351</f>
        <v>0</v>
      </c>
      <c r="I352" s="125">
        <f>Lista!H351</f>
        <v>0</v>
      </c>
      <c r="J352" s="125">
        <f>Lista!I351</f>
        <v>0</v>
      </c>
      <c r="K352" s="125">
        <f>Lista!J351</f>
        <v>0</v>
      </c>
      <c r="L352" s="125">
        <f>Lista!K351</f>
        <v>0</v>
      </c>
      <c r="M352" s="125">
        <f>Lista!L351</f>
        <v>0</v>
      </c>
      <c r="N352" s="125">
        <f>Lista!M351</f>
        <v>0</v>
      </c>
      <c r="O352" s="125">
        <f>Lista!N351</f>
        <v>0</v>
      </c>
      <c r="P352" s="125">
        <f>Lista!O351</f>
        <v>0</v>
      </c>
      <c r="Q352" s="125">
        <f>Lista!P351</f>
        <v>0</v>
      </c>
      <c r="R352" s="125">
        <f>Lista!Q351</f>
        <v>0</v>
      </c>
      <c r="S352" s="125">
        <f>Lista!R351</f>
        <v>0</v>
      </c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81"/>
      <c r="AE352" s="81"/>
      <c r="AF352" s="81"/>
      <c r="AG352" s="81"/>
      <c r="AH352" s="81"/>
      <c r="AI352" s="81"/>
      <c r="AJ352" s="81"/>
      <c r="AK352" s="81"/>
      <c r="AL352" s="81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  <c r="BA352" s="81"/>
      <c r="BB352" s="81"/>
      <c r="BC352" s="81"/>
      <c r="BD352" s="81"/>
      <c r="BE352" s="81"/>
      <c r="BF352" s="81"/>
      <c r="BG352" s="81"/>
      <c r="BH352" s="81"/>
      <c r="BI352" s="81"/>
      <c r="BJ352" s="81"/>
      <c r="BK352" s="81"/>
      <c r="BL352" s="81"/>
      <c r="BM352" s="81"/>
      <c r="BN352" s="81"/>
      <c r="BO352" s="81"/>
      <c r="BP352" s="81"/>
      <c r="BQ352" s="81"/>
      <c r="BR352" s="81"/>
      <c r="BS352" s="81"/>
      <c r="BT352" s="81"/>
      <c r="BU352" s="81"/>
      <c r="BV352" s="81"/>
      <c r="BW352" s="81"/>
      <c r="BX352" s="81"/>
      <c r="BY352" s="81"/>
      <c r="BZ352" s="81"/>
      <c r="CA352" s="81"/>
      <c r="CB352" s="81"/>
      <c r="CC352" s="81"/>
      <c r="CD352" s="81"/>
      <c r="CE352" s="81"/>
      <c r="CF352" s="81"/>
      <c r="CG352" s="81"/>
      <c r="CH352" s="81"/>
      <c r="CI352" s="81"/>
      <c r="CJ352" s="81"/>
      <c r="CK352" s="81"/>
      <c r="CL352" s="81"/>
      <c r="CM352" s="81"/>
      <c r="CN352" s="81"/>
      <c r="CO352" s="81"/>
      <c r="CP352" s="81"/>
      <c r="CQ352" s="81"/>
      <c r="CR352" s="81"/>
      <c r="CS352" s="81"/>
      <c r="CT352" s="81"/>
      <c r="CU352" s="81"/>
      <c r="CV352" s="81"/>
      <c r="CW352" s="81"/>
      <c r="CX352" s="81"/>
      <c r="CY352" s="81"/>
      <c r="CZ352" s="81"/>
      <c r="DA352" s="81"/>
      <c r="DB352" s="81"/>
      <c r="DC352" s="81"/>
      <c r="DD352" s="81"/>
      <c r="DE352" s="81"/>
      <c r="DF352" s="81"/>
      <c r="DG352" s="81"/>
      <c r="DH352" s="81"/>
      <c r="DI352" s="81"/>
      <c r="DJ352" s="81"/>
      <c r="DK352" s="81"/>
      <c r="DL352" s="81"/>
      <c r="DM352" s="81"/>
      <c r="DN352" s="81"/>
      <c r="DO352" s="81"/>
      <c r="DP352" s="81"/>
      <c r="DQ352" s="81"/>
      <c r="DR352" s="81"/>
      <c r="DS352" s="81"/>
      <c r="DT352" s="81"/>
      <c r="DU352" s="81"/>
      <c r="DV352" s="81"/>
      <c r="DW352" s="121"/>
    </row>
    <row r="353" spans="1:127" x14ac:dyDescent="0.25">
      <c r="A353" s="2">
        <f>COUNTIF($D$2:D353,'Reporte de Nomina'!$E$2)</f>
        <v>0</v>
      </c>
      <c r="B353" s="125">
        <f>Lista!A352</f>
        <v>0</v>
      </c>
      <c r="C353" s="125">
        <f>Lista!B352</f>
        <v>0</v>
      </c>
      <c r="D353" s="125">
        <f>Lista!C352</f>
        <v>0</v>
      </c>
      <c r="E353" s="125">
        <f>Lista!D352</f>
        <v>0</v>
      </c>
      <c r="F353" s="125">
        <f>Lista!E352</f>
        <v>0</v>
      </c>
      <c r="G353" s="125">
        <f>Lista!F352</f>
        <v>0</v>
      </c>
      <c r="H353" s="125">
        <f>Lista!G352</f>
        <v>0</v>
      </c>
      <c r="I353" s="125">
        <f>Lista!H352</f>
        <v>0</v>
      </c>
      <c r="J353" s="125">
        <f>Lista!I352</f>
        <v>0</v>
      </c>
      <c r="K353" s="125">
        <f>Lista!J352</f>
        <v>0</v>
      </c>
      <c r="L353" s="125">
        <f>Lista!K352</f>
        <v>0</v>
      </c>
      <c r="M353" s="125">
        <f>Lista!L352</f>
        <v>0</v>
      </c>
      <c r="N353" s="125">
        <f>Lista!M352</f>
        <v>0</v>
      </c>
      <c r="O353" s="125">
        <f>Lista!N352</f>
        <v>0</v>
      </c>
      <c r="P353" s="125">
        <f>Lista!O352</f>
        <v>0</v>
      </c>
      <c r="Q353" s="125">
        <f>Lista!P352</f>
        <v>0</v>
      </c>
      <c r="R353" s="125">
        <f>Lista!Q352</f>
        <v>0</v>
      </c>
      <c r="S353" s="125">
        <f>Lista!R352</f>
        <v>0</v>
      </c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81"/>
      <c r="AE353" s="81"/>
      <c r="AF353" s="81"/>
      <c r="AG353" s="81"/>
      <c r="AH353" s="81"/>
      <c r="AI353" s="81"/>
      <c r="AJ353" s="81"/>
      <c r="AK353" s="81"/>
      <c r="AL353" s="81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  <c r="BA353" s="81"/>
      <c r="BB353" s="81"/>
      <c r="BC353" s="81"/>
      <c r="BD353" s="81"/>
      <c r="BE353" s="81"/>
      <c r="BF353" s="81"/>
      <c r="BG353" s="81"/>
      <c r="BH353" s="81"/>
      <c r="BI353" s="81"/>
      <c r="BJ353" s="81"/>
      <c r="BK353" s="81"/>
      <c r="BL353" s="81"/>
      <c r="BM353" s="81"/>
      <c r="BN353" s="81"/>
      <c r="BO353" s="81"/>
      <c r="BP353" s="81"/>
      <c r="BQ353" s="81"/>
      <c r="BR353" s="81"/>
      <c r="BS353" s="81"/>
      <c r="BT353" s="81"/>
      <c r="BU353" s="81"/>
      <c r="BV353" s="81"/>
      <c r="BW353" s="81"/>
      <c r="BX353" s="81"/>
      <c r="BY353" s="81"/>
      <c r="BZ353" s="81"/>
      <c r="CA353" s="81"/>
      <c r="CB353" s="81"/>
      <c r="CC353" s="81"/>
      <c r="CD353" s="81"/>
      <c r="CE353" s="81"/>
      <c r="CF353" s="81"/>
      <c r="CG353" s="81"/>
      <c r="CH353" s="81"/>
      <c r="CI353" s="81"/>
      <c r="CJ353" s="81"/>
      <c r="CK353" s="81"/>
      <c r="CL353" s="81"/>
      <c r="CM353" s="81"/>
      <c r="CN353" s="81"/>
      <c r="CO353" s="81"/>
      <c r="CP353" s="81"/>
      <c r="CQ353" s="81"/>
      <c r="CR353" s="81"/>
      <c r="CS353" s="81"/>
      <c r="CT353" s="81"/>
      <c r="CU353" s="81"/>
      <c r="CV353" s="81"/>
      <c r="CW353" s="81"/>
      <c r="CX353" s="81"/>
      <c r="CY353" s="81"/>
      <c r="CZ353" s="81"/>
      <c r="DA353" s="81"/>
      <c r="DB353" s="81"/>
      <c r="DC353" s="81"/>
      <c r="DD353" s="81"/>
      <c r="DE353" s="81"/>
      <c r="DF353" s="81"/>
      <c r="DG353" s="81"/>
      <c r="DH353" s="81"/>
      <c r="DI353" s="81"/>
      <c r="DJ353" s="81"/>
      <c r="DK353" s="81"/>
      <c r="DL353" s="81"/>
      <c r="DM353" s="81"/>
      <c r="DN353" s="81"/>
      <c r="DO353" s="81"/>
      <c r="DP353" s="81"/>
      <c r="DQ353" s="81"/>
      <c r="DR353" s="81"/>
      <c r="DS353" s="81"/>
      <c r="DT353" s="81"/>
      <c r="DU353" s="81"/>
      <c r="DV353" s="81"/>
      <c r="DW353" s="121"/>
    </row>
    <row r="354" spans="1:127" x14ac:dyDescent="0.25">
      <c r="A354" s="2">
        <f>COUNTIF($D$2:D354,'Reporte de Nomina'!$E$2)</f>
        <v>0</v>
      </c>
      <c r="B354" s="125">
        <f>Lista!A353</f>
        <v>0</v>
      </c>
      <c r="C354" s="125">
        <f>Lista!B353</f>
        <v>0</v>
      </c>
      <c r="D354" s="125">
        <f>Lista!C353</f>
        <v>0</v>
      </c>
      <c r="E354" s="125">
        <f>Lista!D353</f>
        <v>0</v>
      </c>
      <c r="F354" s="125">
        <f>Lista!E353</f>
        <v>0</v>
      </c>
      <c r="G354" s="125">
        <f>Lista!F353</f>
        <v>0</v>
      </c>
      <c r="H354" s="125">
        <f>Lista!G353</f>
        <v>0</v>
      </c>
      <c r="I354" s="125">
        <f>Lista!H353</f>
        <v>0</v>
      </c>
      <c r="J354" s="125">
        <f>Lista!I353</f>
        <v>0</v>
      </c>
      <c r="K354" s="125">
        <f>Lista!J353</f>
        <v>0</v>
      </c>
      <c r="L354" s="125">
        <f>Lista!K353</f>
        <v>0</v>
      </c>
      <c r="M354" s="125">
        <f>Lista!L353</f>
        <v>0</v>
      </c>
      <c r="N354" s="125">
        <f>Lista!M353</f>
        <v>0</v>
      </c>
      <c r="O354" s="125">
        <f>Lista!N353</f>
        <v>0</v>
      </c>
      <c r="P354" s="125">
        <f>Lista!O353</f>
        <v>0</v>
      </c>
      <c r="Q354" s="125">
        <f>Lista!P353</f>
        <v>0</v>
      </c>
      <c r="R354" s="125">
        <f>Lista!Q353</f>
        <v>0</v>
      </c>
      <c r="S354" s="125">
        <f>Lista!R353</f>
        <v>0</v>
      </c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81"/>
      <c r="AE354" s="81"/>
      <c r="AF354" s="81"/>
      <c r="AG354" s="81"/>
      <c r="AH354" s="81"/>
      <c r="AI354" s="81"/>
      <c r="AJ354" s="81"/>
      <c r="AK354" s="81"/>
      <c r="AL354" s="81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  <c r="BA354" s="81"/>
      <c r="BB354" s="81"/>
      <c r="BC354" s="81"/>
      <c r="BD354" s="81"/>
      <c r="BE354" s="81"/>
      <c r="BF354" s="81"/>
      <c r="BG354" s="81"/>
      <c r="BH354" s="81"/>
      <c r="BI354" s="81"/>
      <c r="BJ354" s="81"/>
      <c r="BK354" s="81"/>
      <c r="BL354" s="81"/>
      <c r="BM354" s="81"/>
      <c r="BN354" s="81"/>
      <c r="BO354" s="81"/>
      <c r="BP354" s="81"/>
      <c r="BQ354" s="81"/>
      <c r="BR354" s="81"/>
      <c r="BS354" s="81"/>
      <c r="BT354" s="81"/>
      <c r="BU354" s="81"/>
      <c r="BV354" s="81"/>
      <c r="BW354" s="81"/>
      <c r="BX354" s="81"/>
      <c r="BY354" s="81"/>
      <c r="BZ354" s="81"/>
      <c r="CA354" s="81"/>
      <c r="CB354" s="81"/>
      <c r="CC354" s="81"/>
      <c r="CD354" s="81"/>
      <c r="CE354" s="81"/>
      <c r="CF354" s="81"/>
      <c r="CG354" s="81"/>
      <c r="CH354" s="81"/>
      <c r="CI354" s="81"/>
      <c r="CJ354" s="81"/>
      <c r="CK354" s="81"/>
      <c r="CL354" s="81"/>
      <c r="CM354" s="81"/>
      <c r="CN354" s="81"/>
      <c r="CO354" s="81"/>
      <c r="CP354" s="81"/>
      <c r="CQ354" s="81"/>
      <c r="CR354" s="81"/>
      <c r="CS354" s="81"/>
      <c r="CT354" s="81"/>
      <c r="CU354" s="81"/>
      <c r="CV354" s="81"/>
      <c r="CW354" s="81"/>
      <c r="CX354" s="81"/>
      <c r="CY354" s="81"/>
      <c r="CZ354" s="81"/>
      <c r="DA354" s="81"/>
      <c r="DB354" s="81"/>
      <c r="DC354" s="81"/>
      <c r="DD354" s="81"/>
      <c r="DE354" s="81"/>
      <c r="DF354" s="81"/>
      <c r="DG354" s="81"/>
      <c r="DH354" s="81"/>
      <c r="DI354" s="81"/>
      <c r="DJ354" s="81"/>
      <c r="DK354" s="81"/>
      <c r="DL354" s="81"/>
      <c r="DM354" s="81"/>
      <c r="DN354" s="81"/>
      <c r="DO354" s="81"/>
      <c r="DP354" s="81"/>
      <c r="DQ354" s="81"/>
      <c r="DR354" s="81"/>
      <c r="DS354" s="81"/>
      <c r="DT354" s="81"/>
      <c r="DU354" s="81"/>
      <c r="DV354" s="81"/>
      <c r="DW354" s="121"/>
    </row>
    <row r="355" spans="1:127" x14ac:dyDescent="0.25">
      <c r="A355" s="2">
        <f>COUNTIF($D$2:D355,'Reporte de Nomina'!$E$2)</f>
        <v>0</v>
      </c>
      <c r="B355" s="125">
        <f>Lista!A354</f>
        <v>0</v>
      </c>
      <c r="C355" s="125">
        <f>Lista!B354</f>
        <v>0</v>
      </c>
      <c r="D355" s="125">
        <f>Lista!C354</f>
        <v>0</v>
      </c>
      <c r="E355" s="125">
        <f>Lista!D354</f>
        <v>0</v>
      </c>
      <c r="F355" s="125">
        <f>Lista!E354</f>
        <v>0</v>
      </c>
      <c r="G355" s="125">
        <f>Lista!F354</f>
        <v>0</v>
      </c>
      <c r="H355" s="125">
        <f>Lista!G354</f>
        <v>0</v>
      </c>
      <c r="I355" s="125">
        <f>Lista!H354</f>
        <v>0</v>
      </c>
      <c r="J355" s="125">
        <f>Lista!I354</f>
        <v>0</v>
      </c>
      <c r="K355" s="125">
        <f>Lista!J354</f>
        <v>0</v>
      </c>
      <c r="L355" s="125">
        <f>Lista!K354</f>
        <v>0</v>
      </c>
      <c r="M355" s="125">
        <f>Lista!L354</f>
        <v>0</v>
      </c>
      <c r="N355" s="125">
        <f>Lista!M354</f>
        <v>0</v>
      </c>
      <c r="O355" s="125">
        <f>Lista!N354</f>
        <v>0</v>
      </c>
      <c r="P355" s="125">
        <f>Lista!O354</f>
        <v>0</v>
      </c>
      <c r="Q355" s="125">
        <f>Lista!P354</f>
        <v>0</v>
      </c>
      <c r="R355" s="125">
        <f>Lista!Q354</f>
        <v>0</v>
      </c>
      <c r="S355" s="125">
        <f>Lista!R354</f>
        <v>0</v>
      </c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81"/>
      <c r="AE355" s="81"/>
      <c r="AF355" s="81"/>
      <c r="AG355" s="81"/>
      <c r="AH355" s="81"/>
      <c r="AI355" s="81"/>
      <c r="AJ355" s="81"/>
      <c r="AK355" s="81"/>
      <c r="AL355" s="81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  <c r="BA355" s="81"/>
      <c r="BB355" s="81"/>
      <c r="BC355" s="81"/>
      <c r="BD355" s="81"/>
      <c r="BE355" s="81"/>
      <c r="BF355" s="81"/>
      <c r="BG355" s="81"/>
      <c r="BH355" s="81"/>
      <c r="BI355" s="81"/>
      <c r="BJ355" s="81"/>
      <c r="BK355" s="81"/>
      <c r="BL355" s="81"/>
      <c r="BM355" s="81"/>
      <c r="BN355" s="81"/>
      <c r="BO355" s="81"/>
      <c r="BP355" s="81"/>
      <c r="BQ355" s="81"/>
      <c r="BR355" s="81"/>
      <c r="BS355" s="81"/>
      <c r="BT355" s="81"/>
      <c r="BU355" s="81"/>
      <c r="BV355" s="81"/>
      <c r="BW355" s="81"/>
      <c r="BX355" s="81"/>
      <c r="BY355" s="81"/>
      <c r="BZ355" s="81"/>
      <c r="CA355" s="81"/>
      <c r="CB355" s="81"/>
      <c r="CC355" s="81"/>
      <c r="CD355" s="81"/>
      <c r="CE355" s="81"/>
      <c r="CF355" s="81"/>
      <c r="CG355" s="81"/>
      <c r="CH355" s="81"/>
      <c r="CI355" s="81"/>
      <c r="CJ355" s="81"/>
      <c r="CK355" s="81"/>
      <c r="CL355" s="81"/>
      <c r="CM355" s="81"/>
      <c r="CN355" s="81"/>
      <c r="CO355" s="81"/>
      <c r="CP355" s="81"/>
      <c r="CQ355" s="81"/>
      <c r="CR355" s="81"/>
      <c r="CS355" s="81"/>
      <c r="CT355" s="81"/>
      <c r="CU355" s="81"/>
      <c r="CV355" s="81"/>
      <c r="CW355" s="81"/>
      <c r="CX355" s="81"/>
      <c r="CY355" s="81"/>
      <c r="CZ355" s="81"/>
      <c r="DA355" s="81"/>
      <c r="DB355" s="81"/>
      <c r="DC355" s="81"/>
      <c r="DD355" s="81"/>
      <c r="DE355" s="81"/>
      <c r="DF355" s="81"/>
      <c r="DG355" s="81"/>
      <c r="DH355" s="81"/>
      <c r="DI355" s="81"/>
      <c r="DJ355" s="81"/>
      <c r="DK355" s="81"/>
      <c r="DL355" s="81"/>
      <c r="DM355" s="81"/>
      <c r="DN355" s="81"/>
      <c r="DO355" s="81"/>
      <c r="DP355" s="81"/>
      <c r="DQ355" s="81"/>
      <c r="DR355" s="81"/>
      <c r="DS355" s="81"/>
      <c r="DT355" s="81"/>
      <c r="DU355" s="81"/>
      <c r="DV355" s="81"/>
      <c r="DW355" s="121"/>
    </row>
    <row r="356" spans="1:127" x14ac:dyDescent="0.25">
      <c r="A356" s="2">
        <f>COUNTIF($D$2:D356,'Reporte de Nomina'!$E$2)</f>
        <v>0</v>
      </c>
      <c r="B356" s="125">
        <f>Lista!A355</f>
        <v>0</v>
      </c>
      <c r="C356" s="125">
        <f>Lista!B355</f>
        <v>0</v>
      </c>
      <c r="D356" s="125">
        <f>Lista!C355</f>
        <v>0</v>
      </c>
      <c r="E356" s="125">
        <f>Lista!D355</f>
        <v>0</v>
      </c>
      <c r="F356" s="125">
        <f>Lista!E355</f>
        <v>0</v>
      </c>
      <c r="G356" s="125">
        <f>Lista!F355</f>
        <v>0</v>
      </c>
      <c r="H356" s="125">
        <f>Lista!G355</f>
        <v>0</v>
      </c>
      <c r="I356" s="125">
        <f>Lista!H355</f>
        <v>0</v>
      </c>
      <c r="J356" s="125">
        <f>Lista!I355</f>
        <v>0</v>
      </c>
      <c r="K356" s="125">
        <f>Lista!J355</f>
        <v>0</v>
      </c>
      <c r="L356" s="125">
        <f>Lista!K355</f>
        <v>0</v>
      </c>
      <c r="M356" s="125">
        <f>Lista!L355</f>
        <v>0</v>
      </c>
      <c r="N356" s="125">
        <f>Lista!M355</f>
        <v>0</v>
      </c>
      <c r="O356" s="125">
        <f>Lista!N355</f>
        <v>0</v>
      </c>
      <c r="P356" s="125">
        <f>Lista!O355</f>
        <v>0</v>
      </c>
      <c r="Q356" s="125">
        <f>Lista!P355</f>
        <v>0</v>
      </c>
      <c r="R356" s="125">
        <f>Lista!Q355</f>
        <v>0</v>
      </c>
      <c r="S356" s="125">
        <f>Lista!R355</f>
        <v>0</v>
      </c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81"/>
      <c r="AE356" s="81"/>
      <c r="AF356" s="81"/>
      <c r="AG356" s="81"/>
      <c r="AH356" s="81"/>
      <c r="AI356" s="81"/>
      <c r="AJ356" s="81"/>
      <c r="AK356" s="81"/>
      <c r="AL356" s="81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  <c r="BA356" s="81"/>
      <c r="BB356" s="81"/>
      <c r="BC356" s="81"/>
      <c r="BD356" s="81"/>
      <c r="BE356" s="81"/>
      <c r="BF356" s="81"/>
      <c r="BG356" s="81"/>
      <c r="BH356" s="81"/>
      <c r="BI356" s="81"/>
      <c r="BJ356" s="81"/>
      <c r="BK356" s="81"/>
      <c r="BL356" s="81"/>
      <c r="BM356" s="81"/>
      <c r="BN356" s="81"/>
      <c r="BO356" s="81"/>
      <c r="BP356" s="81"/>
      <c r="BQ356" s="81"/>
      <c r="BR356" s="81"/>
      <c r="BS356" s="81"/>
      <c r="BT356" s="81"/>
      <c r="BU356" s="81"/>
      <c r="BV356" s="81"/>
      <c r="BW356" s="81"/>
      <c r="BX356" s="81"/>
      <c r="BY356" s="81"/>
      <c r="BZ356" s="81"/>
      <c r="CA356" s="81"/>
      <c r="CB356" s="81"/>
      <c r="CC356" s="81"/>
      <c r="CD356" s="81"/>
      <c r="CE356" s="81"/>
      <c r="CF356" s="81"/>
      <c r="CG356" s="81"/>
      <c r="CH356" s="81"/>
      <c r="CI356" s="81"/>
      <c r="CJ356" s="81"/>
      <c r="CK356" s="81"/>
      <c r="CL356" s="81"/>
      <c r="CM356" s="81"/>
      <c r="CN356" s="81"/>
      <c r="CO356" s="81"/>
      <c r="CP356" s="81"/>
      <c r="CQ356" s="81"/>
      <c r="CR356" s="81"/>
      <c r="CS356" s="81"/>
      <c r="CT356" s="81"/>
      <c r="CU356" s="81"/>
      <c r="CV356" s="81"/>
      <c r="CW356" s="81"/>
      <c r="CX356" s="81"/>
      <c r="CY356" s="81"/>
      <c r="CZ356" s="81"/>
      <c r="DA356" s="81"/>
      <c r="DB356" s="81"/>
      <c r="DC356" s="81"/>
      <c r="DD356" s="81"/>
      <c r="DE356" s="81"/>
      <c r="DF356" s="81"/>
      <c r="DG356" s="81"/>
      <c r="DH356" s="81"/>
      <c r="DI356" s="81"/>
      <c r="DJ356" s="81"/>
      <c r="DK356" s="81"/>
      <c r="DL356" s="81"/>
      <c r="DM356" s="81"/>
      <c r="DN356" s="81"/>
      <c r="DO356" s="81"/>
      <c r="DP356" s="81"/>
      <c r="DQ356" s="81"/>
      <c r="DR356" s="81"/>
      <c r="DS356" s="81"/>
      <c r="DT356" s="81"/>
      <c r="DU356" s="81"/>
      <c r="DV356" s="81"/>
      <c r="DW356" s="121"/>
    </row>
    <row r="357" spans="1:127" x14ac:dyDescent="0.25">
      <c r="A357" s="2">
        <f>COUNTIF($D$2:D357,'Reporte de Nomina'!$E$2)</f>
        <v>0</v>
      </c>
      <c r="B357" s="125">
        <f>Lista!A356</f>
        <v>0</v>
      </c>
      <c r="C357" s="125">
        <f>Lista!B356</f>
        <v>0</v>
      </c>
      <c r="D357" s="125">
        <f>Lista!C356</f>
        <v>0</v>
      </c>
      <c r="E357" s="125">
        <f>Lista!D356</f>
        <v>0</v>
      </c>
      <c r="F357" s="125">
        <f>Lista!E356</f>
        <v>0</v>
      </c>
      <c r="G357" s="125">
        <f>Lista!F356</f>
        <v>0</v>
      </c>
      <c r="H357" s="125">
        <f>Lista!G356</f>
        <v>0</v>
      </c>
      <c r="I357" s="125">
        <f>Lista!H356</f>
        <v>0</v>
      </c>
      <c r="J357" s="125">
        <f>Lista!I356</f>
        <v>0</v>
      </c>
      <c r="K357" s="125">
        <f>Lista!J356</f>
        <v>0</v>
      </c>
      <c r="L357" s="125">
        <f>Lista!K356</f>
        <v>0</v>
      </c>
      <c r="M357" s="125">
        <f>Lista!L356</f>
        <v>0</v>
      </c>
      <c r="N357" s="125">
        <f>Lista!M356</f>
        <v>0</v>
      </c>
      <c r="O357" s="125">
        <f>Lista!N356</f>
        <v>0</v>
      </c>
      <c r="P357" s="125">
        <f>Lista!O356</f>
        <v>0</v>
      </c>
      <c r="Q357" s="125">
        <f>Lista!P356</f>
        <v>0</v>
      </c>
      <c r="R357" s="125">
        <f>Lista!Q356</f>
        <v>0</v>
      </c>
      <c r="S357" s="125">
        <f>Lista!R356</f>
        <v>0</v>
      </c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81"/>
      <c r="AE357" s="81"/>
      <c r="AF357" s="81"/>
      <c r="AG357" s="81"/>
      <c r="AH357" s="81"/>
      <c r="AI357" s="81"/>
      <c r="AJ357" s="81"/>
      <c r="AK357" s="81"/>
      <c r="AL357" s="81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  <c r="BA357" s="81"/>
      <c r="BB357" s="81"/>
      <c r="BC357" s="81"/>
      <c r="BD357" s="81"/>
      <c r="BE357" s="81"/>
      <c r="BF357" s="81"/>
      <c r="BG357" s="81"/>
      <c r="BH357" s="81"/>
      <c r="BI357" s="81"/>
      <c r="BJ357" s="81"/>
      <c r="BK357" s="81"/>
      <c r="BL357" s="81"/>
      <c r="BM357" s="81"/>
      <c r="BN357" s="81"/>
      <c r="BO357" s="81"/>
      <c r="BP357" s="81"/>
      <c r="BQ357" s="81"/>
      <c r="BR357" s="81"/>
      <c r="BS357" s="81"/>
      <c r="BT357" s="81"/>
      <c r="BU357" s="81"/>
      <c r="BV357" s="81"/>
      <c r="BW357" s="81"/>
      <c r="BX357" s="81"/>
      <c r="BY357" s="81"/>
      <c r="BZ357" s="81"/>
      <c r="CA357" s="81"/>
      <c r="CB357" s="81"/>
      <c r="CC357" s="81"/>
      <c r="CD357" s="81"/>
      <c r="CE357" s="81"/>
      <c r="CF357" s="81"/>
      <c r="CG357" s="81"/>
      <c r="CH357" s="81"/>
      <c r="CI357" s="81"/>
      <c r="CJ357" s="81"/>
      <c r="CK357" s="81"/>
      <c r="CL357" s="81"/>
      <c r="CM357" s="81"/>
      <c r="CN357" s="81"/>
      <c r="CO357" s="81"/>
      <c r="CP357" s="81"/>
      <c r="CQ357" s="81"/>
      <c r="CR357" s="81"/>
      <c r="CS357" s="81"/>
      <c r="CT357" s="81"/>
      <c r="CU357" s="81"/>
      <c r="CV357" s="81"/>
      <c r="CW357" s="81"/>
      <c r="CX357" s="81"/>
      <c r="CY357" s="81"/>
      <c r="CZ357" s="81"/>
      <c r="DA357" s="81"/>
      <c r="DB357" s="81"/>
      <c r="DC357" s="81"/>
      <c r="DD357" s="81"/>
      <c r="DE357" s="81"/>
      <c r="DF357" s="81"/>
      <c r="DG357" s="81"/>
      <c r="DH357" s="81"/>
      <c r="DI357" s="81"/>
      <c r="DJ357" s="81"/>
      <c r="DK357" s="81"/>
      <c r="DL357" s="81"/>
      <c r="DM357" s="81"/>
      <c r="DN357" s="81"/>
      <c r="DO357" s="81"/>
      <c r="DP357" s="81"/>
      <c r="DQ357" s="81"/>
      <c r="DR357" s="81"/>
      <c r="DS357" s="81"/>
      <c r="DT357" s="81"/>
      <c r="DU357" s="81"/>
      <c r="DV357" s="81"/>
      <c r="DW357" s="121"/>
    </row>
    <row r="358" spans="1:127" x14ac:dyDescent="0.25">
      <c r="A358" s="2">
        <f>COUNTIF($D$2:D358,'Reporte de Nomina'!$E$2)</f>
        <v>0</v>
      </c>
      <c r="B358" s="125">
        <f>Lista!A357</f>
        <v>0</v>
      </c>
      <c r="C358" s="125">
        <f>Lista!B357</f>
        <v>0</v>
      </c>
      <c r="D358" s="125">
        <f>Lista!C357</f>
        <v>0</v>
      </c>
      <c r="E358" s="125">
        <f>Lista!D357</f>
        <v>0</v>
      </c>
      <c r="F358" s="125">
        <f>Lista!E357</f>
        <v>0</v>
      </c>
      <c r="G358" s="125">
        <f>Lista!F357</f>
        <v>0</v>
      </c>
      <c r="H358" s="125">
        <f>Lista!G357</f>
        <v>0</v>
      </c>
      <c r="I358" s="125">
        <f>Lista!H357</f>
        <v>0</v>
      </c>
      <c r="J358" s="125">
        <f>Lista!I357</f>
        <v>0</v>
      </c>
      <c r="K358" s="125">
        <f>Lista!J357</f>
        <v>0</v>
      </c>
      <c r="L358" s="125">
        <f>Lista!K357</f>
        <v>0</v>
      </c>
      <c r="M358" s="125">
        <f>Lista!L357</f>
        <v>0</v>
      </c>
      <c r="N358" s="125">
        <f>Lista!M357</f>
        <v>0</v>
      </c>
      <c r="O358" s="125">
        <f>Lista!N357</f>
        <v>0</v>
      </c>
      <c r="P358" s="125">
        <f>Lista!O357</f>
        <v>0</v>
      </c>
      <c r="Q358" s="125">
        <f>Lista!P357</f>
        <v>0</v>
      </c>
      <c r="R358" s="125">
        <f>Lista!Q357</f>
        <v>0</v>
      </c>
      <c r="S358" s="125">
        <f>Lista!R357</f>
        <v>0</v>
      </c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81"/>
      <c r="AE358" s="81"/>
      <c r="AF358" s="81"/>
      <c r="AG358" s="81"/>
      <c r="AH358" s="81"/>
      <c r="AI358" s="81"/>
      <c r="AJ358" s="81"/>
      <c r="AK358" s="81"/>
      <c r="AL358" s="81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  <c r="BA358" s="81"/>
      <c r="BB358" s="81"/>
      <c r="BC358" s="81"/>
      <c r="BD358" s="81"/>
      <c r="BE358" s="81"/>
      <c r="BF358" s="81"/>
      <c r="BG358" s="81"/>
      <c r="BH358" s="81"/>
      <c r="BI358" s="81"/>
      <c r="BJ358" s="81"/>
      <c r="BK358" s="81"/>
      <c r="BL358" s="81"/>
      <c r="BM358" s="81"/>
      <c r="BN358" s="81"/>
      <c r="BO358" s="81"/>
      <c r="BP358" s="81"/>
      <c r="BQ358" s="81"/>
      <c r="BR358" s="81"/>
      <c r="BS358" s="81"/>
      <c r="BT358" s="81"/>
      <c r="BU358" s="81"/>
      <c r="BV358" s="81"/>
      <c r="BW358" s="81"/>
      <c r="BX358" s="81"/>
      <c r="BY358" s="81"/>
      <c r="BZ358" s="81"/>
      <c r="CA358" s="81"/>
      <c r="CB358" s="81"/>
      <c r="CC358" s="81"/>
      <c r="CD358" s="81"/>
      <c r="CE358" s="81"/>
      <c r="CF358" s="81"/>
      <c r="CG358" s="81"/>
      <c r="CH358" s="81"/>
      <c r="CI358" s="81"/>
      <c r="CJ358" s="81"/>
      <c r="CK358" s="81"/>
      <c r="CL358" s="81"/>
      <c r="CM358" s="81"/>
      <c r="CN358" s="81"/>
      <c r="CO358" s="81"/>
      <c r="CP358" s="81"/>
      <c r="CQ358" s="81"/>
      <c r="CR358" s="81"/>
      <c r="CS358" s="81"/>
      <c r="CT358" s="81"/>
      <c r="CU358" s="81"/>
      <c r="CV358" s="81"/>
      <c r="CW358" s="81"/>
      <c r="CX358" s="81"/>
      <c r="CY358" s="81"/>
      <c r="CZ358" s="81"/>
      <c r="DA358" s="81"/>
      <c r="DB358" s="81"/>
      <c r="DC358" s="81"/>
      <c r="DD358" s="81"/>
      <c r="DE358" s="81"/>
      <c r="DF358" s="81"/>
      <c r="DG358" s="81"/>
      <c r="DH358" s="81"/>
      <c r="DI358" s="81"/>
      <c r="DJ358" s="81"/>
      <c r="DK358" s="81"/>
      <c r="DL358" s="81"/>
      <c r="DM358" s="81"/>
      <c r="DN358" s="81"/>
      <c r="DO358" s="81"/>
      <c r="DP358" s="81"/>
      <c r="DQ358" s="81"/>
      <c r="DR358" s="81"/>
      <c r="DS358" s="81"/>
      <c r="DT358" s="81"/>
      <c r="DU358" s="81"/>
      <c r="DV358" s="81"/>
      <c r="DW358" s="121"/>
    </row>
    <row r="359" spans="1:127" x14ac:dyDescent="0.25">
      <c r="A359" s="2">
        <f>COUNTIF($D$2:D359,'Reporte de Nomina'!$E$2)</f>
        <v>0</v>
      </c>
      <c r="B359" s="125">
        <f>Lista!A358</f>
        <v>0</v>
      </c>
      <c r="C359" s="125">
        <f>Lista!B358</f>
        <v>0</v>
      </c>
      <c r="D359" s="125">
        <f>Lista!C358</f>
        <v>0</v>
      </c>
      <c r="E359" s="125">
        <f>Lista!D358</f>
        <v>0</v>
      </c>
      <c r="F359" s="125">
        <f>Lista!E358</f>
        <v>0</v>
      </c>
      <c r="G359" s="125">
        <f>Lista!F358</f>
        <v>0</v>
      </c>
      <c r="H359" s="125">
        <f>Lista!G358</f>
        <v>0</v>
      </c>
      <c r="I359" s="125">
        <f>Lista!H358</f>
        <v>0</v>
      </c>
      <c r="J359" s="125">
        <f>Lista!I358</f>
        <v>0</v>
      </c>
      <c r="K359" s="125">
        <f>Lista!J358</f>
        <v>0</v>
      </c>
      <c r="L359" s="125">
        <f>Lista!K358</f>
        <v>0</v>
      </c>
      <c r="M359" s="125">
        <f>Lista!L358</f>
        <v>0</v>
      </c>
      <c r="N359" s="125">
        <f>Lista!M358</f>
        <v>0</v>
      </c>
      <c r="O359" s="125">
        <f>Lista!N358</f>
        <v>0</v>
      </c>
      <c r="P359" s="125">
        <f>Lista!O358</f>
        <v>0</v>
      </c>
      <c r="Q359" s="125">
        <f>Lista!P358</f>
        <v>0</v>
      </c>
      <c r="R359" s="125">
        <f>Lista!Q358</f>
        <v>0</v>
      </c>
      <c r="S359" s="125">
        <f>Lista!R358</f>
        <v>0</v>
      </c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81"/>
      <c r="AE359" s="81"/>
      <c r="AF359" s="81"/>
      <c r="AG359" s="81"/>
      <c r="AH359" s="81"/>
      <c r="AI359" s="81"/>
      <c r="AJ359" s="81"/>
      <c r="AK359" s="81"/>
      <c r="AL359" s="81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  <c r="BA359" s="81"/>
      <c r="BB359" s="81"/>
      <c r="BC359" s="81"/>
      <c r="BD359" s="81"/>
      <c r="BE359" s="81"/>
      <c r="BF359" s="81"/>
      <c r="BG359" s="81"/>
      <c r="BH359" s="81"/>
      <c r="BI359" s="81"/>
      <c r="BJ359" s="81"/>
      <c r="BK359" s="81"/>
      <c r="BL359" s="81"/>
      <c r="BM359" s="81"/>
      <c r="BN359" s="81"/>
      <c r="BO359" s="81"/>
      <c r="BP359" s="81"/>
      <c r="BQ359" s="81"/>
      <c r="BR359" s="81"/>
      <c r="BS359" s="81"/>
      <c r="BT359" s="81"/>
      <c r="BU359" s="81"/>
      <c r="BV359" s="81"/>
      <c r="BW359" s="81"/>
      <c r="BX359" s="81"/>
      <c r="BY359" s="81"/>
      <c r="BZ359" s="81"/>
      <c r="CA359" s="81"/>
      <c r="CB359" s="81"/>
      <c r="CC359" s="81"/>
      <c r="CD359" s="81"/>
      <c r="CE359" s="81"/>
      <c r="CF359" s="81"/>
      <c r="CG359" s="81"/>
      <c r="CH359" s="81"/>
      <c r="CI359" s="81"/>
      <c r="CJ359" s="81"/>
      <c r="CK359" s="81"/>
      <c r="CL359" s="81"/>
      <c r="CM359" s="81"/>
      <c r="CN359" s="81"/>
      <c r="CO359" s="81"/>
      <c r="CP359" s="81"/>
      <c r="CQ359" s="81"/>
      <c r="CR359" s="81"/>
      <c r="CS359" s="81"/>
      <c r="CT359" s="81"/>
      <c r="CU359" s="81"/>
      <c r="CV359" s="81"/>
      <c r="CW359" s="81"/>
      <c r="CX359" s="81"/>
      <c r="CY359" s="81"/>
      <c r="CZ359" s="81"/>
      <c r="DA359" s="81"/>
      <c r="DB359" s="81"/>
      <c r="DC359" s="81"/>
      <c r="DD359" s="81"/>
      <c r="DE359" s="81"/>
      <c r="DF359" s="81"/>
      <c r="DG359" s="81"/>
      <c r="DH359" s="81"/>
      <c r="DI359" s="81"/>
      <c r="DJ359" s="81"/>
      <c r="DK359" s="81"/>
      <c r="DL359" s="81"/>
      <c r="DM359" s="81"/>
      <c r="DN359" s="81"/>
      <c r="DO359" s="81"/>
      <c r="DP359" s="81"/>
      <c r="DQ359" s="81"/>
      <c r="DR359" s="81"/>
      <c r="DS359" s="81"/>
      <c r="DT359" s="81"/>
      <c r="DU359" s="81"/>
      <c r="DV359" s="81"/>
      <c r="DW359" s="121"/>
    </row>
    <row r="360" spans="1:127" x14ac:dyDescent="0.25">
      <c r="A360" s="2">
        <f>COUNTIF($D$2:D360,'Reporte de Nomina'!$E$2)</f>
        <v>0</v>
      </c>
      <c r="B360" s="125">
        <f>Lista!A359</f>
        <v>0</v>
      </c>
      <c r="C360" s="125">
        <f>Lista!B359</f>
        <v>0</v>
      </c>
      <c r="D360" s="125">
        <f>Lista!C359</f>
        <v>0</v>
      </c>
      <c r="E360" s="125">
        <f>Lista!D359</f>
        <v>0</v>
      </c>
      <c r="F360" s="125">
        <f>Lista!E359</f>
        <v>0</v>
      </c>
      <c r="G360" s="125">
        <f>Lista!F359</f>
        <v>0</v>
      </c>
      <c r="H360" s="125">
        <f>Lista!G359</f>
        <v>0</v>
      </c>
      <c r="I360" s="125">
        <f>Lista!H359</f>
        <v>0</v>
      </c>
      <c r="J360" s="125">
        <f>Lista!I359</f>
        <v>0</v>
      </c>
      <c r="K360" s="125">
        <f>Lista!J359</f>
        <v>0</v>
      </c>
      <c r="L360" s="125">
        <f>Lista!K359</f>
        <v>0</v>
      </c>
      <c r="M360" s="125">
        <f>Lista!L359</f>
        <v>0</v>
      </c>
      <c r="N360" s="125">
        <f>Lista!M359</f>
        <v>0</v>
      </c>
      <c r="O360" s="125">
        <f>Lista!N359</f>
        <v>0</v>
      </c>
      <c r="P360" s="125">
        <f>Lista!O359</f>
        <v>0</v>
      </c>
      <c r="Q360" s="125">
        <f>Lista!P359</f>
        <v>0</v>
      </c>
      <c r="R360" s="125">
        <f>Lista!Q359</f>
        <v>0</v>
      </c>
      <c r="S360" s="125">
        <f>Lista!R359</f>
        <v>0</v>
      </c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81"/>
      <c r="AE360" s="81"/>
      <c r="AF360" s="81"/>
      <c r="AG360" s="81"/>
      <c r="AH360" s="81"/>
      <c r="AI360" s="81"/>
      <c r="AJ360" s="81"/>
      <c r="AK360" s="81"/>
      <c r="AL360" s="81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  <c r="BA360" s="81"/>
      <c r="BB360" s="81"/>
      <c r="BC360" s="81"/>
      <c r="BD360" s="81"/>
      <c r="BE360" s="81"/>
      <c r="BF360" s="81"/>
      <c r="BG360" s="81"/>
      <c r="BH360" s="81"/>
      <c r="BI360" s="81"/>
      <c r="BJ360" s="81"/>
      <c r="BK360" s="81"/>
      <c r="BL360" s="81"/>
      <c r="BM360" s="81"/>
      <c r="BN360" s="81"/>
      <c r="BO360" s="81"/>
      <c r="BP360" s="81"/>
      <c r="BQ360" s="81"/>
      <c r="BR360" s="81"/>
      <c r="BS360" s="81"/>
      <c r="BT360" s="81"/>
      <c r="BU360" s="81"/>
      <c r="BV360" s="81"/>
      <c r="BW360" s="81"/>
      <c r="BX360" s="81"/>
      <c r="BY360" s="81"/>
      <c r="BZ360" s="81"/>
      <c r="CA360" s="81"/>
      <c r="CB360" s="81"/>
      <c r="CC360" s="81"/>
      <c r="CD360" s="81"/>
      <c r="CE360" s="81"/>
      <c r="CF360" s="81"/>
      <c r="CG360" s="81"/>
      <c r="CH360" s="81"/>
      <c r="CI360" s="81"/>
      <c r="CJ360" s="81"/>
      <c r="CK360" s="81"/>
      <c r="CL360" s="81"/>
      <c r="CM360" s="81"/>
      <c r="CN360" s="81"/>
      <c r="CO360" s="81"/>
      <c r="CP360" s="81"/>
      <c r="CQ360" s="81"/>
      <c r="CR360" s="81"/>
      <c r="CS360" s="81"/>
      <c r="CT360" s="81"/>
      <c r="CU360" s="81"/>
      <c r="CV360" s="81"/>
      <c r="CW360" s="81"/>
      <c r="CX360" s="81"/>
      <c r="CY360" s="81"/>
      <c r="CZ360" s="81"/>
      <c r="DA360" s="81"/>
      <c r="DB360" s="81"/>
      <c r="DC360" s="81"/>
      <c r="DD360" s="81"/>
      <c r="DE360" s="81"/>
      <c r="DF360" s="81"/>
      <c r="DG360" s="81"/>
      <c r="DH360" s="81"/>
      <c r="DI360" s="81"/>
      <c r="DJ360" s="81"/>
      <c r="DK360" s="81"/>
      <c r="DL360" s="81"/>
      <c r="DM360" s="81"/>
      <c r="DN360" s="81"/>
      <c r="DO360" s="81"/>
      <c r="DP360" s="81"/>
      <c r="DQ360" s="81"/>
      <c r="DR360" s="81"/>
      <c r="DS360" s="81"/>
      <c r="DT360" s="81"/>
      <c r="DU360" s="81"/>
      <c r="DV360" s="81"/>
      <c r="DW360" s="121"/>
    </row>
    <row r="361" spans="1:127" x14ac:dyDescent="0.25">
      <c r="A361" s="2">
        <f>COUNTIF($D$2:D361,'Reporte de Nomina'!$E$2)</f>
        <v>0</v>
      </c>
      <c r="B361" s="125">
        <f>Lista!A360</f>
        <v>0</v>
      </c>
      <c r="C361" s="125">
        <f>Lista!B360</f>
        <v>0</v>
      </c>
      <c r="D361" s="125">
        <f>Lista!C360</f>
        <v>0</v>
      </c>
      <c r="E361" s="125">
        <f>Lista!D360</f>
        <v>0</v>
      </c>
      <c r="F361" s="125">
        <f>Lista!E360</f>
        <v>0</v>
      </c>
      <c r="G361" s="125">
        <f>Lista!F360</f>
        <v>0</v>
      </c>
      <c r="H361" s="125">
        <f>Lista!G360</f>
        <v>0</v>
      </c>
      <c r="I361" s="125">
        <f>Lista!H360</f>
        <v>0</v>
      </c>
      <c r="J361" s="125">
        <f>Lista!I360</f>
        <v>0</v>
      </c>
      <c r="K361" s="125">
        <f>Lista!J360</f>
        <v>0</v>
      </c>
      <c r="L361" s="125">
        <f>Lista!K360</f>
        <v>0</v>
      </c>
      <c r="M361" s="125">
        <f>Lista!L360</f>
        <v>0</v>
      </c>
      <c r="N361" s="125">
        <f>Lista!M360</f>
        <v>0</v>
      </c>
      <c r="O361" s="125">
        <f>Lista!N360</f>
        <v>0</v>
      </c>
      <c r="P361" s="125">
        <f>Lista!O360</f>
        <v>0</v>
      </c>
      <c r="Q361" s="125">
        <f>Lista!P360</f>
        <v>0</v>
      </c>
      <c r="R361" s="125">
        <f>Lista!Q360</f>
        <v>0</v>
      </c>
      <c r="S361" s="125">
        <f>Lista!R360</f>
        <v>0</v>
      </c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81"/>
      <c r="AE361" s="81"/>
      <c r="AF361" s="81"/>
      <c r="AG361" s="81"/>
      <c r="AH361" s="81"/>
      <c r="AI361" s="81"/>
      <c r="AJ361" s="81"/>
      <c r="AK361" s="81"/>
      <c r="AL361" s="81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  <c r="BA361" s="81"/>
      <c r="BB361" s="81"/>
      <c r="BC361" s="81"/>
      <c r="BD361" s="81"/>
      <c r="BE361" s="81"/>
      <c r="BF361" s="81"/>
      <c r="BG361" s="81"/>
      <c r="BH361" s="81"/>
      <c r="BI361" s="81"/>
      <c r="BJ361" s="81"/>
      <c r="BK361" s="81"/>
      <c r="BL361" s="81"/>
      <c r="BM361" s="81"/>
      <c r="BN361" s="81"/>
      <c r="BO361" s="81"/>
      <c r="BP361" s="81"/>
      <c r="BQ361" s="81"/>
      <c r="BR361" s="81"/>
      <c r="BS361" s="81"/>
      <c r="BT361" s="81"/>
      <c r="BU361" s="81"/>
      <c r="BV361" s="81"/>
      <c r="BW361" s="81"/>
      <c r="BX361" s="81"/>
      <c r="BY361" s="81"/>
      <c r="BZ361" s="81"/>
      <c r="CA361" s="81"/>
      <c r="CB361" s="81"/>
      <c r="CC361" s="81"/>
      <c r="CD361" s="81"/>
      <c r="CE361" s="81"/>
      <c r="CF361" s="81"/>
      <c r="CG361" s="81"/>
      <c r="CH361" s="81"/>
      <c r="CI361" s="81"/>
      <c r="CJ361" s="81"/>
      <c r="CK361" s="81"/>
      <c r="CL361" s="81"/>
      <c r="CM361" s="81"/>
      <c r="CN361" s="81"/>
      <c r="CO361" s="81"/>
      <c r="CP361" s="81"/>
      <c r="CQ361" s="81"/>
      <c r="CR361" s="81"/>
      <c r="CS361" s="81"/>
      <c r="CT361" s="81"/>
      <c r="CU361" s="81"/>
      <c r="CV361" s="81"/>
      <c r="CW361" s="81"/>
      <c r="CX361" s="81"/>
      <c r="CY361" s="81"/>
      <c r="CZ361" s="81"/>
      <c r="DA361" s="81"/>
      <c r="DB361" s="81"/>
      <c r="DC361" s="81"/>
      <c r="DD361" s="81"/>
      <c r="DE361" s="81"/>
      <c r="DF361" s="81"/>
      <c r="DG361" s="81"/>
      <c r="DH361" s="81"/>
      <c r="DI361" s="81"/>
      <c r="DJ361" s="81"/>
      <c r="DK361" s="81"/>
      <c r="DL361" s="81"/>
      <c r="DM361" s="81"/>
      <c r="DN361" s="81"/>
      <c r="DO361" s="81"/>
      <c r="DP361" s="81"/>
      <c r="DQ361" s="81"/>
      <c r="DR361" s="81"/>
      <c r="DS361" s="81"/>
      <c r="DT361" s="81"/>
      <c r="DU361" s="81"/>
      <c r="DV361" s="81"/>
      <c r="DW361" s="121"/>
    </row>
    <row r="362" spans="1:127" x14ac:dyDescent="0.25">
      <c r="A362" s="2">
        <f>COUNTIF($D$2:D362,'Reporte de Nomina'!$E$2)</f>
        <v>0</v>
      </c>
      <c r="B362" s="125">
        <f>Lista!A361</f>
        <v>0</v>
      </c>
      <c r="C362" s="125">
        <f>Lista!B361</f>
        <v>0</v>
      </c>
      <c r="D362" s="125">
        <f>Lista!C361</f>
        <v>0</v>
      </c>
      <c r="E362" s="125">
        <f>Lista!D361</f>
        <v>0</v>
      </c>
      <c r="F362" s="125">
        <f>Lista!E361</f>
        <v>0</v>
      </c>
      <c r="G362" s="125">
        <f>Lista!F361</f>
        <v>0</v>
      </c>
      <c r="H362" s="125">
        <f>Lista!G361</f>
        <v>0</v>
      </c>
      <c r="I362" s="125">
        <f>Lista!H361</f>
        <v>0</v>
      </c>
      <c r="J362" s="125">
        <f>Lista!I361</f>
        <v>0</v>
      </c>
      <c r="K362" s="125">
        <f>Lista!J361</f>
        <v>0</v>
      </c>
      <c r="L362" s="125">
        <f>Lista!K361</f>
        <v>0</v>
      </c>
      <c r="M362" s="125">
        <f>Lista!L361</f>
        <v>0</v>
      </c>
      <c r="N362" s="125">
        <f>Lista!M361</f>
        <v>0</v>
      </c>
      <c r="O362" s="125">
        <f>Lista!N361</f>
        <v>0</v>
      </c>
      <c r="P362" s="125">
        <f>Lista!O361</f>
        <v>0</v>
      </c>
      <c r="Q362" s="125">
        <f>Lista!P361</f>
        <v>0</v>
      </c>
      <c r="R362" s="125">
        <f>Lista!Q361</f>
        <v>0</v>
      </c>
      <c r="S362" s="125">
        <f>Lista!R361</f>
        <v>0</v>
      </c>
      <c r="T362" s="81"/>
      <c r="U362" s="81"/>
      <c r="V362" s="81"/>
      <c r="W362" s="81"/>
      <c r="X362" s="81"/>
      <c r="Y362" s="81"/>
      <c r="Z362" s="81"/>
      <c r="AA362" s="81"/>
      <c r="AB362" s="81"/>
      <c r="AC362" s="81"/>
      <c r="AD362" s="81"/>
      <c r="AE362" s="81"/>
      <c r="AF362" s="81"/>
      <c r="AG362" s="81"/>
      <c r="AH362" s="81"/>
      <c r="AI362" s="81"/>
      <c r="AJ362" s="81"/>
      <c r="AK362" s="81"/>
      <c r="AL362" s="81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  <c r="BA362" s="81"/>
      <c r="BB362" s="81"/>
      <c r="BC362" s="81"/>
      <c r="BD362" s="81"/>
      <c r="BE362" s="81"/>
      <c r="BF362" s="81"/>
      <c r="BG362" s="81"/>
      <c r="BH362" s="81"/>
      <c r="BI362" s="81"/>
      <c r="BJ362" s="81"/>
      <c r="BK362" s="81"/>
      <c r="BL362" s="81"/>
      <c r="BM362" s="81"/>
      <c r="BN362" s="81"/>
      <c r="BO362" s="81"/>
      <c r="BP362" s="81"/>
      <c r="BQ362" s="81"/>
      <c r="BR362" s="81"/>
      <c r="BS362" s="81"/>
      <c r="BT362" s="81"/>
      <c r="BU362" s="81"/>
      <c r="BV362" s="81"/>
      <c r="BW362" s="81"/>
      <c r="BX362" s="81"/>
      <c r="BY362" s="81"/>
      <c r="BZ362" s="81"/>
      <c r="CA362" s="81"/>
      <c r="CB362" s="81"/>
      <c r="CC362" s="81"/>
      <c r="CD362" s="81"/>
      <c r="CE362" s="81"/>
      <c r="CF362" s="81"/>
      <c r="CG362" s="81"/>
      <c r="CH362" s="81"/>
      <c r="CI362" s="81"/>
      <c r="CJ362" s="81"/>
      <c r="CK362" s="81"/>
      <c r="CL362" s="81"/>
      <c r="CM362" s="81"/>
      <c r="CN362" s="81"/>
      <c r="CO362" s="81"/>
      <c r="CP362" s="81"/>
      <c r="CQ362" s="81"/>
      <c r="CR362" s="81"/>
      <c r="CS362" s="81"/>
      <c r="CT362" s="81"/>
      <c r="CU362" s="81"/>
      <c r="CV362" s="81"/>
      <c r="CW362" s="81"/>
      <c r="CX362" s="81"/>
      <c r="CY362" s="81"/>
      <c r="CZ362" s="81"/>
      <c r="DA362" s="81"/>
      <c r="DB362" s="81"/>
      <c r="DC362" s="81"/>
      <c r="DD362" s="81"/>
      <c r="DE362" s="81"/>
      <c r="DF362" s="81"/>
      <c r="DG362" s="81"/>
      <c r="DH362" s="81"/>
      <c r="DI362" s="81"/>
      <c r="DJ362" s="81"/>
      <c r="DK362" s="81"/>
      <c r="DL362" s="81"/>
      <c r="DM362" s="81"/>
      <c r="DN362" s="81"/>
      <c r="DO362" s="81"/>
      <c r="DP362" s="81"/>
      <c r="DQ362" s="81"/>
      <c r="DR362" s="81"/>
      <c r="DS362" s="81"/>
      <c r="DT362" s="81"/>
      <c r="DU362" s="81"/>
      <c r="DV362" s="81"/>
      <c r="DW362" s="121"/>
    </row>
    <row r="363" spans="1:127" x14ac:dyDescent="0.25">
      <c r="A363" s="2">
        <f>COUNTIF($D$2:D363,'Reporte de Nomina'!$E$2)</f>
        <v>0</v>
      </c>
      <c r="B363" s="125">
        <f>Lista!A362</f>
        <v>0</v>
      </c>
      <c r="C363" s="125">
        <f>Lista!B362</f>
        <v>0</v>
      </c>
      <c r="D363" s="125">
        <f>Lista!C362</f>
        <v>0</v>
      </c>
      <c r="E363" s="125">
        <f>Lista!D362</f>
        <v>0</v>
      </c>
      <c r="F363" s="125">
        <f>Lista!E362</f>
        <v>0</v>
      </c>
      <c r="G363" s="125">
        <f>Lista!F362</f>
        <v>0</v>
      </c>
      <c r="H363" s="125">
        <f>Lista!G362</f>
        <v>0</v>
      </c>
      <c r="I363" s="125">
        <f>Lista!H362</f>
        <v>0</v>
      </c>
      <c r="J363" s="125">
        <f>Lista!I362</f>
        <v>0</v>
      </c>
      <c r="K363" s="125">
        <f>Lista!J362</f>
        <v>0</v>
      </c>
      <c r="L363" s="125">
        <f>Lista!K362</f>
        <v>0</v>
      </c>
      <c r="M363" s="125">
        <f>Lista!L362</f>
        <v>0</v>
      </c>
      <c r="N363" s="125">
        <f>Lista!M362</f>
        <v>0</v>
      </c>
      <c r="O363" s="125">
        <f>Lista!N362</f>
        <v>0</v>
      </c>
      <c r="P363" s="125">
        <f>Lista!O362</f>
        <v>0</v>
      </c>
      <c r="Q363" s="125">
        <f>Lista!P362</f>
        <v>0</v>
      </c>
      <c r="R363" s="125">
        <f>Lista!Q362</f>
        <v>0</v>
      </c>
      <c r="S363" s="125">
        <f>Lista!R362</f>
        <v>0</v>
      </c>
      <c r="T363" s="81"/>
      <c r="U363" s="81"/>
      <c r="V363" s="81"/>
      <c r="W363" s="81"/>
      <c r="X363" s="81"/>
      <c r="Y363" s="81"/>
      <c r="Z363" s="81"/>
      <c r="AA363" s="81"/>
      <c r="AB363" s="81"/>
      <c r="AC363" s="81"/>
      <c r="AD363" s="81"/>
      <c r="AE363" s="81"/>
      <c r="AF363" s="81"/>
      <c r="AG363" s="81"/>
      <c r="AH363" s="81"/>
      <c r="AI363" s="81"/>
      <c r="AJ363" s="81"/>
      <c r="AK363" s="81"/>
      <c r="AL363" s="81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  <c r="BA363" s="81"/>
      <c r="BB363" s="81"/>
      <c r="BC363" s="81"/>
      <c r="BD363" s="81"/>
      <c r="BE363" s="81"/>
      <c r="BF363" s="81"/>
      <c r="BG363" s="81"/>
      <c r="BH363" s="81"/>
      <c r="BI363" s="81"/>
      <c r="BJ363" s="81"/>
      <c r="BK363" s="81"/>
      <c r="BL363" s="81"/>
      <c r="BM363" s="81"/>
      <c r="BN363" s="81"/>
      <c r="BO363" s="81"/>
      <c r="BP363" s="81"/>
      <c r="BQ363" s="81"/>
      <c r="BR363" s="81"/>
      <c r="BS363" s="81"/>
      <c r="BT363" s="81"/>
      <c r="BU363" s="81"/>
      <c r="BV363" s="81"/>
      <c r="BW363" s="81"/>
      <c r="BX363" s="81"/>
      <c r="BY363" s="81"/>
      <c r="BZ363" s="81"/>
      <c r="CA363" s="81"/>
      <c r="CB363" s="81"/>
      <c r="CC363" s="81"/>
      <c r="CD363" s="81"/>
      <c r="CE363" s="81"/>
      <c r="CF363" s="81"/>
      <c r="CG363" s="81"/>
      <c r="CH363" s="81"/>
      <c r="CI363" s="81"/>
      <c r="CJ363" s="81"/>
      <c r="CK363" s="81"/>
      <c r="CL363" s="81"/>
      <c r="CM363" s="81"/>
      <c r="CN363" s="81"/>
      <c r="CO363" s="81"/>
      <c r="CP363" s="81"/>
      <c r="CQ363" s="81"/>
      <c r="CR363" s="81"/>
      <c r="CS363" s="81"/>
      <c r="CT363" s="81"/>
      <c r="CU363" s="81"/>
      <c r="CV363" s="81"/>
      <c r="CW363" s="81"/>
      <c r="CX363" s="81"/>
      <c r="CY363" s="81"/>
      <c r="CZ363" s="81"/>
      <c r="DA363" s="81"/>
      <c r="DB363" s="81"/>
      <c r="DC363" s="81"/>
      <c r="DD363" s="81"/>
      <c r="DE363" s="81"/>
      <c r="DF363" s="81"/>
      <c r="DG363" s="81"/>
      <c r="DH363" s="81"/>
      <c r="DI363" s="81"/>
      <c r="DJ363" s="81"/>
      <c r="DK363" s="81"/>
      <c r="DL363" s="81"/>
      <c r="DM363" s="81"/>
      <c r="DN363" s="81"/>
      <c r="DO363" s="81"/>
      <c r="DP363" s="81"/>
      <c r="DQ363" s="81"/>
      <c r="DR363" s="81"/>
      <c r="DS363" s="81"/>
      <c r="DT363" s="81"/>
      <c r="DU363" s="81"/>
      <c r="DV363" s="81"/>
      <c r="DW363" s="121"/>
    </row>
    <row r="364" spans="1:127" x14ac:dyDescent="0.25">
      <c r="A364" s="2">
        <f>COUNTIF($D$2:D364,'Reporte de Nomina'!$E$2)</f>
        <v>0</v>
      </c>
      <c r="B364" s="125">
        <f>Lista!A363</f>
        <v>0</v>
      </c>
      <c r="C364" s="125">
        <f>Lista!B363</f>
        <v>0</v>
      </c>
      <c r="D364" s="125">
        <f>Lista!C363</f>
        <v>0</v>
      </c>
      <c r="E364" s="125">
        <f>Lista!D363</f>
        <v>0</v>
      </c>
      <c r="F364" s="125">
        <f>Lista!E363</f>
        <v>0</v>
      </c>
      <c r="G364" s="125">
        <f>Lista!F363</f>
        <v>0</v>
      </c>
      <c r="H364" s="125">
        <f>Lista!G363</f>
        <v>0</v>
      </c>
      <c r="I364" s="125">
        <f>Lista!H363</f>
        <v>0</v>
      </c>
      <c r="J364" s="125">
        <f>Lista!I363</f>
        <v>0</v>
      </c>
      <c r="K364" s="125">
        <f>Lista!J363</f>
        <v>0</v>
      </c>
      <c r="L364" s="125">
        <f>Lista!K363</f>
        <v>0</v>
      </c>
      <c r="M364" s="125">
        <f>Lista!L363</f>
        <v>0</v>
      </c>
      <c r="N364" s="125">
        <f>Lista!M363</f>
        <v>0</v>
      </c>
      <c r="O364" s="125">
        <f>Lista!N363</f>
        <v>0</v>
      </c>
      <c r="P364" s="125">
        <f>Lista!O363</f>
        <v>0</v>
      </c>
      <c r="Q364" s="125">
        <f>Lista!P363</f>
        <v>0</v>
      </c>
      <c r="R364" s="125">
        <f>Lista!Q363</f>
        <v>0</v>
      </c>
      <c r="S364" s="125">
        <f>Lista!R363</f>
        <v>0</v>
      </c>
      <c r="T364" s="81"/>
      <c r="U364" s="81"/>
      <c r="V364" s="81"/>
      <c r="W364" s="81"/>
      <c r="X364" s="81"/>
      <c r="Y364" s="81"/>
      <c r="Z364" s="81"/>
      <c r="AA364" s="81"/>
      <c r="AB364" s="81"/>
      <c r="AC364" s="81"/>
      <c r="AD364" s="81"/>
      <c r="AE364" s="81"/>
      <c r="AF364" s="81"/>
      <c r="AG364" s="81"/>
      <c r="AH364" s="81"/>
      <c r="AI364" s="81"/>
      <c r="AJ364" s="81"/>
      <c r="AK364" s="81"/>
      <c r="AL364" s="81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  <c r="BA364" s="81"/>
      <c r="BB364" s="81"/>
      <c r="BC364" s="81"/>
      <c r="BD364" s="81"/>
      <c r="BE364" s="81"/>
      <c r="BF364" s="81"/>
      <c r="BG364" s="81"/>
      <c r="BH364" s="81"/>
      <c r="BI364" s="81"/>
      <c r="BJ364" s="81"/>
      <c r="BK364" s="81"/>
      <c r="BL364" s="81"/>
      <c r="BM364" s="81"/>
      <c r="BN364" s="81"/>
      <c r="BO364" s="81"/>
      <c r="BP364" s="81"/>
      <c r="BQ364" s="81"/>
      <c r="BR364" s="81"/>
      <c r="BS364" s="81"/>
      <c r="BT364" s="81"/>
      <c r="BU364" s="81"/>
      <c r="BV364" s="81"/>
      <c r="BW364" s="81"/>
      <c r="BX364" s="81"/>
      <c r="BY364" s="81"/>
      <c r="BZ364" s="81"/>
      <c r="CA364" s="81"/>
      <c r="CB364" s="81"/>
      <c r="CC364" s="81"/>
      <c r="CD364" s="81"/>
      <c r="CE364" s="81"/>
      <c r="CF364" s="81"/>
      <c r="CG364" s="81"/>
      <c r="CH364" s="81"/>
      <c r="CI364" s="81"/>
      <c r="CJ364" s="81"/>
      <c r="CK364" s="81"/>
      <c r="CL364" s="81"/>
      <c r="CM364" s="81"/>
      <c r="CN364" s="81"/>
      <c r="CO364" s="81"/>
      <c r="CP364" s="81"/>
      <c r="CQ364" s="81"/>
      <c r="CR364" s="81"/>
      <c r="CS364" s="81"/>
      <c r="CT364" s="81"/>
      <c r="CU364" s="81"/>
      <c r="CV364" s="81"/>
      <c r="CW364" s="81"/>
      <c r="CX364" s="81"/>
      <c r="CY364" s="81"/>
      <c r="CZ364" s="81"/>
      <c r="DA364" s="81"/>
      <c r="DB364" s="81"/>
      <c r="DC364" s="81"/>
      <c r="DD364" s="81"/>
      <c r="DE364" s="81"/>
      <c r="DF364" s="81"/>
      <c r="DG364" s="81"/>
      <c r="DH364" s="81"/>
      <c r="DI364" s="81"/>
      <c r="DJ364" s="81"/>
      <c r="DK364" s="81"/>
      <c r="DL364" s="81"/>
      <c r="DM364" s="81"/>
      <c r="DN364" s="81"/>
      <c r="DO364" s="81"/>
      <c r="DP364" s="81"/>
      <c r="DQ364" s="81"/>
      <c r="DR364" s="81"/>
      <c r="DS364" s="81"/>
      <c r="DT364" s="81"/>
      <c r="DU364" s="81"/>
      <c r="DV364" s="81"/>
      <c r="DW364" s="121"/>
    </row>
    <row r="365" spans="1:127" x14ac:dyDescent="0.25">
      <c r="A365" s="2">
        <f>COUNTIF($D$2:D365,'Reporte de Nomina'!$E$2)</f>
        <v>0</v>
      </c>
      <c r="B365" s="125">
        <f>Lista!A364</f>
        <v>0</v>
      </c>
      <c r="C365" s="125">
        <f>Lista!B364</f>
        <v>0</v>
      </c>
      <c r="D365" s="125">
        <f>Lista!C364</f>
        <v>0</v>
      </c>
      <c r="E365" s="125">
        <f>Lista!D364</f>
        <v>0</v>
      </c>
      <c r="F365" s="125">
        <f>Lista!E364</f>
        <v>0</v>
      </c>
      <c r="G365" s="125">
        <f>Lista!F364</f>
        <v>0</v>
      </c>
      <c r="H365" s="125">
        <f>Lista!G364</f>
        <v>0</v>
      </c>
      <c r="I365" s="125">
        <f>Lista!H364</f>
        <v>0</v>
      </c>
      <c r="J365" s="125">
        <f>Lista!I364</f>
        <v>0</v>
      </c>
      <c r="K365" s="125">
        <f>Lista!J364</f>
        <v>0</v>
      </c>
      <c r="L365" s="125">
        <f>Lista!K364</f>
        <v>0</v>
      </c>
      <c r="M365" s="125">
        <f>Lista!L364</f>
        <v>0</v>
      </c>
      <c r="N365" s="125">
        <f>Lista!M364</f>
        <v>0</v>
      </c>
      <c r="O365" s="125">
        <f>Lista!N364</f>
        <v>0</v>
      </c>
      <c r="P365" s="125">
        <f>Lista!O364</f>
        <v>0</v>
      </c>
      <c r="Q365" s="125">
        <f>Lista!P364</f>
        <v>0</v>
      </c>
      <c r="R365" s="125">
        <f>Lista!Q364</f>
        <v>0</v>
      </c>
      <c r="S365" s="125">
        <f>Lista!R364</f>
        <v>0</v>
      </c>
      <c r="T365" s="81"/>
      <c r="U365" s="81"/>
      <c r="V365" s="81"/>
      <c r="W365" s="81"/>
      <c r="X365" s="81"/>
      <c r="Y365" s="81"/>
      <c r="Z365" s="81"/>
      <c r="AA365" s="81"/>
      <c r="AB365" s="81"/>
      <c r="AC365" s="81"/>
      <c r="AD365" s="81"/>
      <c r="AE365" s="81"/>
      <c r="AF365" s="81"/>
      <c r="AG365" s="81"/>
      <c r="AH365" s="81"/>
      <c r="AI365" s="81"/>
      <c r="AJ365" s="81"/>
      <c r="AK365" s="81"/>
      <c r="AL365" s="81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  <c r="BA365" s="81"/>
      <c r="BB365" s="81"/>
      <c r="BC365" s="81"/>
      <c r="BD365" s="81"/>
      <c r="BE365" s="81"/>
      <c r="BF365" s="81"/>
      <c r="BG365" s="81"/>
      <c r="BH365" s="81"/>
      <c r="BI365" s="81"/>
      <c r="BJ365" s="81"/>
      <c r="BK365" s="81"/>
      <c r="BL365" s="81"/>
      <c r="BM365" s="81"/>
      <c r="BN365" s="81"/>
      <c r="BO365" s="81"/>
      <c r="BP365" s="81"/>
      <c r="BQ365" s="81"/>
      <c r="BR365" s="81"/>
      <c r="BS365" s="81"/>
      <c r="BT365" s="81"/>
      <c r="BU365" s="81"/>
      <c r="BV365" s="81"/>
      <c r="BW365" s="81"/>
      <c r="BX365" s="81"/>
      <c r="BY365" s="81"/>
      <c r="BZ365" s="81"/>
      <c r="CA365" s="81"/>
      <c r="CB365" s="81"/>
      <c r="CC365" s="81"/>
      <c r="CD365" s="81"/>
      <c r="CE365" s="81"/>
      <c r="CF365" s="81"/>
      <c r="CG365" s="81"/>
      <c r="CH365" s="81"/>
      <c r="CI365" s="81"/>
      <c r="CJ365" s="81"/>
      <c r="CK365" s="81"/>
      <c r="CL365" s="81"/>
      <c r="CM365" s="81"/>
      <c r="CN365" s="81"/>
      <c r="CO365" s="81"/>
      <c r="CP365" s="81"/>
      <c r="CQ365" s="81"/>
      <c r="CR365" s="81"/>
      <c r="CS365" s="81"/>
      <c r="CT365" s="81"/>
      <c r="CU365" s="81"/>
      <c r="CV365" s="81"/>
      <c r="CW365" s="81"/>
      <c r="CX365" s="81"/>
      <c r="CY365" s="81"/>
      <c r="CZ365" s="81"/>
      <c r="DA365" s="81"/>
      <c r="DB365" s="81"/>
      <c r="DC365" s="81"/>
      <c r="DD365" s="81"/>
      <c r="DE365" s="81"/>
      <c r="DF365" s="81"/>
      <c r="DG365" s="81"/>
      <c r="DH365" s="81"/>
      <c r="DI365" s="81"/>
      <c r="DJ365" s="81"/>
      <c r="DK365" s="81"/>
      <c r="DL365" s="81"/>
      <c r="DM365" s="81"/>
      <c r="DN365" s="81"/>
      <c r="DO365" s="81"/>
      <c r="DP365" s="81"/>
      <c r="DQ365" s="81"/>
      <c r="DR365" s="81"/>
      <c r="DS365" s="81"/>
      <c r="DT365" s="81"/>
      <c r="DU365" s="81"/>
      <c r="DV365" s="81"/>
      <c r="DW365" s="121"/>
    </row>
    <row r="366" spans="1:127" x14ac:dyDescent="0.25">
      <c r="A366" s="2">
        <f>COUNTIF($D$2:D366,'Reporte de Nomina'!$E$2)</f>
        <v>0</v>
      </c>
      <c r="B366" s="125">
        <f>Lista!A365</f>
        <v>0</v>
      </c>
      <c r="C366" s="125">
        <f>Lista!B365</f>
        <v>0</v>
      </c>
      <c r="D366" s="125">
        <f>Lista!C365</f>
        <v>0</v>
      </c>
      <c r="E366" s="125">
        <f>Lista!D365</f>
        <v>0</v>
      </c>
      <c r="F366" s="125">
        <f>Lista!E365</f>
        <v>0</v>
      </c>
      <c r="G366" s="125">
        <f>Lista!F365</f>
        <v>0</v>
      </c>
      <c r="H366" s="125">
        <f>Lista!G365</f>
        <v>0</v>
      </c>
      <c r="I366" s="125">
        <f>Lista!H365</f>
        <v>0</v>
      </c>
      <c r="J366" s="125">
        <f>Lista!I365</f>
        <v>0</v>
      </c>
      <c r="K366" s="125">
        <f>Lista!J365</f>
        <v>0</v>
      </c>
      <c r="L366" s="125">
        <f>Lista!K365</f>
        <v>0</v>
      </c>
      <c r="M366" s="125">
        <f>Lista!L365</f>
        <v>0</v>
      </c>
      <c r="N366" s="125">
        <f>Lista!M365</f>
        <v>0</v>
      </c>
      <c r="O366" s="125">
        <f>Lista!N365</f>
        <v>0</v>
      </c>
      <c r="P366" s="125">
        <f>Lista!O365</f>
        <v>0</v>
      </c>
      <c r="Q366" s="125">
        <f>Lista!P365</f>
        <v>0</v>
      </c>
      <c r="R366" s="125">
        <f>Lista!Q365</f>
        <v>0</v>
      </c>
      <c r="S366" s="125">
        <f>Lista!R365</f>
        <v>0</v>
      </c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E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  <c r="BE366" s="81"/>
      <c r="BF366" s="81"/>
      <c r="BG366" s="81"/>
      <c r="BH366" s="81"/>
      <c r="BI366" s="81"/>
      <c r="BJ366" s="81"/>
      <c r="BK366" s="81"/>
      <c r="BL366" s="81"/>
      <c r="BM366" s="81"/>
      <c r="BN366" s="81"/>
      <c r="BO366" s="81"/>
      <c r="BP366" s="81"/>
      <c r="BQ366" s="81"/>
      <c r="BR366" s="81"/>
      <c r="BS366" s="81"/>
      <c r="BT366" s="81"/>
      <c r="BU366" s="81"/>
      <c r="BV366" s="81"/>
      <c r="BW366" s="81"/>
      <c r="BX366" s="81"/>
      <c r="BY366" s="81"/>
      <c r="BZ366" s="81"/>
      <c r="CA366" s="81"/>
      <c r="CB366" s="81"/>
      <c r="CC366" s="81"/>
      <c r="CD366" s="81"/>
      <c r="CE366" s="81"/>
      <c r="CF366" s="81"/>
      <c r="CG366" s="81"/>
      <c r="CH366" s="81"/>
      <c r="CI366" s="81"/>
      <c r="CJ366" s="81"/>
      <c r="CK366" s="81"/>
      <c r="CL366" s="81"/>
      <c r="CM366" s="81"/>
      <c r="CN366" s="81"/>
      <c r="CO366" s="81"/>
      <c r="CP366" s="81"/>
      <c r="CQ366" s="81"/>
      <c r="CR366" s="81"/>
      <c r="CS366" s="81"/>
      <c r="CT366" s="81"/>
      <c r="CU366" s="81"/>
      <c r="CV366" s="81"/>
      <c r="CW366" s="81"/>
      <c r="CX366" s="81"/>
      <c r="CY366" s="81"/>
      <c r="CZ366" s="81"/>
      <c r="DA366" s="81"/>
      <c r="DB366" s="81"/>
      <c r="DC366" s="81"/>
      <c r="DD366" s="81"/>
      <c r="DE366" s="81"/>
      <c r="DF366" s="81"/>
      <c r="DG366" s="81"/>
      <c r="DH366" s="81"/>
      <c r="DI366" s="81"/>
      <c r="DJ366" s="81"/>
      <c r="DK366" s="81"/>
      <c r="DL366" s="81"/>
      <c r="DM366" s="81"/>
      <c r="DN366" s="81"/>
      <c r="DO366" s="81"/>
      <c r="DP366" s="81"/>
      <c r="DQ366" s="81"/>
      <c r="DR366" s="81"/>
      <c r="DS366" s="81"/>
      <c r="DT366" s="81"/>
      <c r="DU366" s="81"/>
      <c r="DV366" s="81"/>
      <c r="DW366" s="121"/>
    </row>
    <row r="367" spans="1:127" x14ac:dyDescent="0.25">
      <c r="A367" s="2">
        <f>COUNTIF($D$2:D367,'Reporte de Nomina'!$E$2)</f>
        <v>0</v>
      </c>
      <c r="B367" s="125">
        <f>Lista!A366</f>
        <v>0</v>
      </c>
      <c r="C367" s="125">
        <f>Lista!B366</f>
        <v>0</v>
      </c>
      <c r="D367" s="125">
        <f>Lista!C366</f>
        <v>0</v>
      </c>
      <c r="E367" s="125">
        <f>Lista!D366</f>
        <v>0</v>
      </c>
      <c r="F367" s="125">
        <f>Lista!E366</f>
        <v>0</v>
      </c>
      <c r="G367" s="125">
        <f>Lista!F366</f>
        <v>0</v>
      </c>
      <c r="H367" s="125">
        <f>Lista!G366</f>
        <v>0</v>
      </c>
      <c r="I367" s="125">
        <f>Lista!H366</f>
        <v>0</v>
      </c>
      <c r="J367" s="125">
        <f>Lista!I366</f>
        <v>0</v>
      </c>
      <c r="K367" s="125">
        <f>Lista!J366</f>
        <v>0</v>
      </c>
      <c r="L367" s="125">
        <f>Lista!K366</f>
        <v>0</v>
      </c>
      <c r="M367" s="125">
        <f>Lista!L366</f>
        <v>0</v>
      </c>
      <c r="N367" s="125">
        <f>Lista!M366</f>
        <v>0</v>
      </c>
      <c r="O367" s="125">
        <f>Lista!N366</f>
        <v>0</v>
      </c>
      <c r="P367" s="125">
        <f>Lista!O366</f>
        <v>0</v>
      </c>
      <c r="Q367" s="125">
        <f>Lista!P366</f>
        <v>0</v>
      </c>
      <c r="R367" s="125">
        <f>Lista!Q366</f>
        <v>0</v>
      </c>
      <c r="S367" s="125">
        <f>Lista!R366</f>
        <v>0</v>
      </c>
      <c r="T367" s="81"/>
      <c r="U367" s="81"/>
      <c r="V367" s="81"/>
      <c r="W367" s="81"/>
      <c r="X367" s="81"/>
      <c r="Y367" s="81"/>
      <c r="Z367" s="81"/>
      <c r="AA367" s="81"/>
      <c r="AB367" s="81"/>
      <c r="AC367" s="81"/>
      <c r="AD367" s="81"/>
      <c r="AE367" s="81"/>
      <c r="AF367" s="81"/>
      <c r="AG367" s="81"/>
      <c r="AH367" s="81"/>
      <c r="AI367" s="81"/>
      <c r="AJ367" s="81"/>
      <c r="AK367" s="81"/>
      <c r="AL367" s="81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  <c r="BA367" s="81"/>
      <c r="BB367" s="81"/>
      <c r="BC367" s="81"/>
      <c r="BD367" s="81"/>
      <c r="BE367" s="81"/>
      <c r="BF367" s="81"/>
      <c r="BG367" s="81"/>
      <c r="BH367" s="81"/>
      <c r="BI367" s="81"/>
      <c r="BJ367" s="81"/>
      <c r="BK367" s="81"/>
      <c r="BL367" s="81"/>
      <c r="BM367" s="81"/>
      <c r="BN367" s="81"/>
      <c r="BO367" s="81"/>
      <c r="BP367" s="81"/>
      <c r="BQ367" s="81"/>
      <c r="BR367" s="81"/>
      <c r="BS367" s="81"/>
      <c r="BT367" s="81"/>
      <c r="BU367" s="81"/>
      <c r="BV367" s="81"/>
      <c r="BW367" s="81"/>
      <c r="BX367" s="81"/>
      <c r="BY367" s="81"/>
      <c r="BZ367" s="81"/>
      <c r="CA367" s="81"/>
      <c r="CB367" s="81"/>
      <c r="CC367" s="81"/>
      <c r="CD367" s="81"/>
      <c r="CE367" s="81"/>
      <c r="CF367" s="81"/>
      <c r="CG367" s="81"/>
      <c r="CH367" s="81"/>
      <c r="CI367" s="81"/>
      <c r="CJ367" s="81"/>
      <c r="CK367" s="81"/>
      <c r="CL367" s="81"/>
      <c r="CM367" s="81"/>
      <c r="CN367" s="81"/>
      <c r="CO367" s="81"/>
      <c r="CP367" s="81"/>
      <c r="CQ367" s="81"/>
      <c r="CR367" s="81"/>
      <c r="CS367" s="81"/>
      <c r="CT367" s="81"/>
      <c r="CU367" s="81"/>
      <c r="CV367" s="81"/>
      <c r="CW367" s="81"/>
      <c r="CX367" s="81"/>
      <c r="CY367" s="81"/>
      <c r="CZ367" s="81"/>
      <c r="DA367" s="81"/>
      <c r="DB367" s="81"/>
      <c r="DC367" s="81"/>
      <c r="DD367" s="81"/>
      <c r="DE367" s="81"/>
      <c r="DF367" s="81"/>
      <c r="DG367" s="81"/>
      <c r="DH367" s="81"/>
      <c r="DI367" s="81"/>
      <c r="DJ367" s="81"/>
      <c r="DK367" s="81"/>
      <c r="DL367" s="81"/>
      <c r="DM367" s="81"/>
      <c r="DN367" s="81"/>
      <c r="DO367" s="81"/>
      <c r="DP367" s="81"/>
      <c r="DQ367" s="81"/>
      <c r="DR367" s="81"/>
      <c r="DS367" s="81"/>
      <c r="DT367" s="81"/>
      <c r="DU367" s="81"/>
      <c r="DV367" s="81"/>
      <c r="DW367" s="121"/>
    </row>
    <row r="368" spans="1:127" x14ac:dyDescent="0.25">
      <c r="A368" s="2">
        <f>COUNTIF($D$2:D368,'Reporte de Nomina'!$E$2)</f>
        <v>0</v>
      </c>
      <c r="B368" s="125">
        <f>Lista!A367</f>
        <v>0</v>
      </c>
      <c r="C368" s="125">
        <f>Lista!B367</f>
        <v>0</v>
      </c>
      <c r="D368" s="125">
        <f>Lista!C367</f>
        <v>0</v>
      </c>
      <c r="E368" s="125">
        <f>Lista!D367</f>
        <v>0</v>
      </c>
      <c r="F368" s="125">
        <f>Lista!E367</f>
        <v>0</v>
      </c>
      <c r="G368" s="125">
        <f>Lista!F367</f>
        <v>0</v>
      </c>
      <c r="H368" s="125">
        <f>Lista!G367</f>
        <v>0</v>
      </c>
      <c r="I368" s="125">
        <f>Lista!H367</f>
        <v>0</v>
      </c>
      <c r="J368" s="125">
        <f>Lista!I367</f>
        <v>0</v>
      </c>
      <c r="K368" s="125">
        <f>Lista!J367</f>
        <v>0</v>
      </c>
      <c r="L368" s="125">
        <f>Lista!K367</f>
        <v>0</v>
      </c>
      <c r="M368" s="125">
        <f>Lista!L367</f>
        <v>0</v>
      </c>
      <c r="N368" s="125">
        <f>Lista!M367</f>
        <v>0</v>
      </c>
      <c r="O368" s="125">
        <f>Lista!N367</f>
        <v>0</v>
      </c>
      <c r="P368" s="125">
        <f>Lista!O367</f>
        <v>0</v>
      </c>
      <c r="Q368" s="125">
        <f>Lista!P367</f>
        <v>0</v>
      </c>
      <c r="R368" s="125">
        <f>Lista!Q367</f>
        <v>0</v>
      </c>
      <c r="S368" s="125">
        <f>Lista!R367</f>
        <v>0</v>
      </c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D368" s="81"/>
      <c r="AE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  <c r="BA368" s="81"/>
      <c r="BB368" s="81"/>
      <c r="BC368" s="81"/>
      <c r="BD368" s="81"/>
      <c r="BE368" s="81"/>
      <c r="BF368" s="81"/>
      <c r="BG368" s="81"/>
      <c r="BH368" s="81"/>
      <c r="BI368" s="81"/>
      <c r="BJ368" s="81"/>
      <c r="BK368" s="81"/>
      <c r="BL368" s="81"/>
      <c r="BM368" s="81"/>
      <c r="BN368" s="81"/>
      <c r="BO368" s="81"/>
      <c r="BP368" s="81"/>
      <c r="BQ368" s="81"/>
      <c r="BR368" s="81"/>
      <c r="BS368" s="81"/>
      <c r="BT368" s="81"/>
      <c r="BU368" s="81"/>
      <c r="BV368" s="81"/>
      <c r="BW368" s="81"/>
      <c r="BX368" s="81"/>
      <c r="BY368" s="81"/>
      <c r="BZ368" s="81"/>
      <c r="CA368" s="81"/>
      <c r="CB368" s="81"/>
      <c r="CC368" s="81"/>
      <c r="CD368" s="81"/>
      <c r="CE368" s="81"/>
      <c r="CF368" s="81"/>
      <c r="CG368" s="81"/>
      <c r="CH368" s="81"/>
      <c r="CI368" s="81"/>
      <c r="CJ368" s="81"/>
      <c r="CK368" s="81"/>
      <c r="CL368" s="81"/>
      <c r="CM368" s="81"/>
      <c r="CN368" s="81"/>
      <c r="CO368" s="81"/>
      <c r="CP368" s="81"/>
      <c r="CQ368" s="81"/>
      <c r="CR368" s="81"/>
      <c r="CS368" s="81"/>
      <c r="CT368" s="81"/>
      <c r="CU368" s="81"/>
      <c r="CV368" s="81"/>
      <c r="CW368" s="81"/>
      <c r="CX368" s="81"/>
      <c r="CY368" s="81"/>
      <c r="CZ368" s="81"/>
      <c r="DA368" s="81"/>
      <c r="DB368" s="81"/>
      <c r="DC368" s="81"/>
      <c r="DD368" s="81"/>
      <c r="DE368" s="81"/>
      <c r="DF368" s="81"/>
      <c r="DG368" s="81"/>
      <c r="DH368" s="81"/>
      <c r="DI368" s="81"/>
      <c r="DJ368" s="81"/>
      <c r="DK368" s="81"/>
      <c r="DL368" s="81"/>
      <c r="DM368" s="81"/>
      <c r="DN368" s="81"/>
      <c r="DO368" s="81"/>
      <c r="DP368" s="81"/>
      <c r="DQ368" s="81"/>
      <c r="DR368" s="81"/>
      <c r="DS368" s="81"/>
      <c r="DT368" s="81"/>
      <c r="DU368" s="81"/>
      <c r="DV368" s="81"/>
      <c r="DW368" s="121"/>
    </row>
    <row r="369" spans="1:127" x14ac:dyDescent="0.25">
      <c r="A369" s="2">
        <f>COUNTIF($D$2:D369,'Reporte de Nomina'!$E$2)</f>
        <v>0</v>
      </c>
      <c r="B369" s="125">
        <f>Lista!A368</f>
        <v>0</v>
      </c>
      <c r="C369" s="125">
        <f>Lista!B368</f>
        <v>0</v>
      </c>
      <c r="D369" s="125">
        <f>Lista!C368</f>
        <v>0</v>
      </c>
      <c r="E369" s="125">
        <f>Lista!D368</f>
        <v>0</v>
      </c>
      <c r="F369" s="125">
        <f>Lista!E368</f>
        <v>0</v>
      </c>
      <c r="G369" s="125">
        <f>Lista!F368</f>
        <v>0</v>
      </c>
      <c r="H369" s="125">
        <f>Lista!G368</f>
        <v>0</v>
      </c>
      <c r="I369" s="125">
        <f>Lista!H368</f>
        <v>0</v>
      </c>
      <c r="J369" s="125">
        <f>Lista!I368</f>
        <v>0</v>
      </c>
      <c r="K369" s="125">
        <f>Lista!J368</f>
        <v>0</v>
      </c>
      <c r="L369" s="125">
        <f>Lista!K368</f>
        <v>0</v>
      </c>
      <c r="M369" s="125">
        <f>Lista!L368</f>
        <v>0</v>
      </c>
      <c r="N369" s="125">
        <f>Lista!M368</f>
        <v>0</v>
      </c>
      <c r="O369" s="125">
        <f>Lista!N368</f>
        <v>0</v>
      </c>
      <c r="P369" s="125">
        <f>Lista!O368</f>
        <v>0</v>
      </c>
      <c r="Q369" s="125">
        <f>Lista!P368</f>
        <v>0</v>
      </c>
      <c r="R369" s="125">
        <f>Lista!Q368</f>
        <v>0</v>
      </c>
      <c r="S369" s="125">
        <f>Lista!R368</f>
        <v>0</v>
      </c>
      <c r="T369" s="81"/>
      <c r="U369" s="81"/>
      <c r="V369" s="81"/>
      <c r="W369" s="81"/>
      <c r="X369" s="81"/>
      <c r="Y369" s="81"/>
      <c r="Z369" s="81"/>
      <c r="AA369" s="81"/>
      <c r="AB369" s="81"/>
      <c r="AC369" s="81"/>
      <c r="AD369" s="81"/>
      <c r="AE369" s="81"/>
      <c r="AF369" s="81"/>
      <c r="AG369" s="81"/>
      <c r="AH369" s="81"/>
      <c r="AI369" s="81"/>
      <c r="AJ369" s="81"/>
      <c r="AK369" s="81"/>
      <c r="AL369" s="81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  <c r="BA369" s="81"/>
      <c r="BB369" s="81"/>
      <c r="BC369" s="81"/>
      <c r="BD369" s="81"/>
      <c r="BE369" s="81"/>
      <c r="BF369" s="81"/>
      <c r="BG369" s="81"/>
      <c r="BH369" s="81"/>
      <c r="BI369" s="81"/>
      <c r="BJ369" s="81"/>
      <c r="BK369" s="81"/>
      <c r="BL369" s="81"/>
      <c r="BM369" s="81"/>
      <c r="BN369" s="81"/>
      <c r="BO369" s="81"/>
      <c r="BP369" s="81"/>
      <c r="BQ369" s="81"/>
      <c r="BR369" s="81"/>
      <c r="BS369" s="81"/>
      <c r="BT369" s="81"/>
      <c r="BU369" s="81"/>
      <c r="BV369" s="81"/>
      <c r="BW369" s="81"/>
      <c r="BX369" s="81"/>
      <c r="BY369" s="81"/>
      <c r="BZ369" s="81"/>
      <c r="CA369" s="81"/>
      <c r="CB369" s="81"/>
      <c r="CC369" s="81"/>
      <c r="CD369" s="81"/>
      <c r="CE369" s="81"/>
      <c r="CF369" s="81"/>
      <c r="CG369" s="81"/>
      <c r="CH369" s="81"/>
      <c r="CI369" s="81"/>
      <c r="CJ369" s="81"/>
      <c r="CK369" s="81"/>
      <c r="CL369" s="81"/>
      <c r="CM369" s="81"/>
      <c r="CN369" s="81"/>
      <c r="CO369" s="81"/>
      <c r="CP369" s="81"/>
      <c r="CQ369" s="81"/>
      <c r="CR369" s="81"/>
      <c r="CS369" s="81"/>
      <c r="CT369" s="81"/>
      <c r="CU369" s="81"/>
      <c r="CV369" s="81"/>
      <c r="CW369" s="81"/>
      <c r="CX369" s="81"/>
      <c r="CY369" s="81"/>
      <c r="CZ369" s="81"/>
      <c r="DA369" s="81"/>
      <c r="DB369" s="81"/>
      <c r="DC369" s="81"/>
      <c r="DD369" s="81"/>
      <c r="DE369" s="81"/>
      <c r="DF369" s="81"/>
      <c r="DG369" s="81"/>
      <c r="DH369" s="81"/>
      <c r="DI369" s="81"/>
      <c r="DJ369" s="81"/>
      <c r="DK369" s="81"/>
      <c r="DL369" s="81"/>
      <c r="DM369" s="81"/>
      <c r="DN369" s="81"/>
      <c r="DO369" s="81"/>
      <c r="DP369" s="81"/>
      <c r="DQ369" s="81"/>
      <c r="DR369" s="81"/>
      <c r="DS369" s="81"/>
      <c r="DT369" s="81"/>
      <c r="DU369" s="81"/>
      <c r="DV369" s="81"/>
      <c r="DW369" s="121"/>
    </row>
    <row r="370" spans="1:127" x14ac:dyDescent="0.25">
      <c r="A370" s="2">
        <f>COUNTIF($D$2:D370,'Reporte de Nomina'!$E$2)</f>
        <v>0</v>
      </c>
      <c r="B370" s="125">
        <f>Lista!A369</f>
        <v>0</v>
      </c>
      <c r="C370" s="125">
        <f>Lista!B369</f>
        <v>0</v>
      </c>
      <c r="D370" s="125">
        <f>Lista!C369</f>
        <v>0</v>
      </c>
      <c r="E370" s="125">
        <f>Lista!D369</f>
        <v>0</v>
      </c>
      <c r="F370" s="125">
        <f>Lista!E369</f>
        <v>0</v>
      </c>
      <c r="G370" s="125">
        <f>Lista!F369</f>
        <v>0</v>
      </c>
      <c r="H370" s="125">
        <f>Lista!G369</f>
        <v>0</v>
      </c>
      <c r="I370" s="125">
        <f>Lista!H369</f>
        <v>0</v>
      </c>
      <c r="J370" s="125">
        <f>Lista!I369</f>
        <v>0</v>
      </c>
      <c r="K370" s="125">
        <f>Lista!J369</f>
        <v>0</v>
      </c>
      <c r="L370" s="125">
        <f>Lista!K369</f>
        <v>0</v>
      </c>
      <c r="M370" s="125">
        <f>Lista!L369</f>
        <v>0</v>
      </c>
      <c r="N370" s="125">
        <f>Lista!M369</f>
        <v>0</v>
      </c>
      <c r="O370" s="125">
        <f>Lista!N369</f>
        <v>0</v>
      </c>
      <c r="P370" s="125">
        <f>Lista!O369</f>
        <v>0</v>
      </c>
      <c r="Q370" s="125">
        <f>Lista!P369</f>
        <v>0</v>
      </c>
      <c r="R370" s="125">
        <f>Lista!Q369</f>
        <v>0</v>
      </c>
      <c r="S370" s="125">
        <f>Lista!R369</f>
        <v>0</v>
      </c>
      <c r="T370" s="81"/>
      <c r="U370" s="81"/>
      <c r="V370" s="81"/>
      <c r="W370" s="81"/>
      <c r="X370" s="81"/>
      <c r="Y370" s="81"/>
      <c r="Z370" s="81"/>
      <c r="AA370" s="81"/>
      <c r="AB370" s="81"/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  <c r="BS370" s="81"/>
      <c r="BT370" s="81"/>
      <c r="BU370" s="81"/>
      <c r="BV370" s="81"/>
      <c r="BW370" s="81"/>
      <c r="BX370" s="81"/>
      <c r="BY370" s="81"/>
      <c r="BZ370" s="81"/>
      <c r="CA370" s="81"/>
      <c r="CB370" s="81"/>
      <c r="CC370" s="81"/>
      <c r="CD370" s="81"/>
      <c r="CE370" s="81"/>
      <c r="CF370" s="81"/>
      <c r="CG370" s="81"/>
      <c r="CH370" s="81"/>
      <c r="CI370" s="81"/>
      <c r="CJ370" s="81"/>
      <c r="CK370" s="81"/>
      <c r="CL370" s="81"/>
      <c r="CM370" s="81"/>
      <c r="CN370" s="81"/>
      <c r="CO370" s="81"/>
      <c r="CP370" s="81"/>
      <c r="CQ370" s="81"/>
      <c r="CR370" s="81"/>
      <c r="CS370" s="81"/>
      <c r="CT370" s="81"/>
      <c r="CU370" s="81"/>
      <c r="CV370" s="81"/>
      <c r="CW370" s="81"/>
      <c r="CX370" s="81"/>
      <c r="CY370" s="81"/>
      <c r="CZ370" s="81"/>
      <c r="DA370" s="81"/>
      <c r="DB370" s="81"/>
      <c r="DC370" s="81"/>
      <c r="DD370" s="81"/>
      <c r="DE370" s="81"/>
      <c r="DF370" s="81"/>
      <c r="DG370" s="81"/>
      <c r="DH370" s="81"/>
      <c r="DI370" s="81"/>
      <c r="DJ370" s="81"/>
      <c r="DK370" s="81"/>
      <c r="DL370" s="81"/>
      <c r="DM370" s="81"/>
      <c r="DN370" s="81"/>
      <c r="DO370" s="81"/>
      <c r="DP370" s="81"/>
      <c r="DQ370" s="81"/>
      <c r="DR370" s="81"/>
      <c r="DS370" s="81"/>
      <c r="DT370" s="81"/>
      <c r="DU370" s="81"/>
      <c r="DV370" s="81"/>
      <c r="DW370" s="121"/>
    </row>
    <row r="371" spans="1:127" x14ac:dyDescent="0.25">
      <c r="A371" s="2">
        <f>COUNTIF($D$2:D371,'Reporte de Nomina'!$E$2)</f>
        <v>0</v>
      </c>
      <c r="B371" s="125">
        <f>Lista!A370</f>
        <v>0</v>
      </c>
      <c r="C371" s="125">
        <f>Lista!B370</f>
        <v>0</v>
      </c>
      <c r="D371" s="125">
        <f>Lista!C370</f>
        <v>0</v>
      </c>
      <c r="E371" s="125">
        <f>Lista!D370</f>
        <v>0</v>
      </c>
      <c r="F371" s="125">
        <f>Lista!E370</f>
        <v>0</v>
      </c>
      <c r="G371" s="125">
        <f>Lista!F370</f>
        <v>0</v>
      </c>
      <c r="H371" s="125">
        <f>Lista!G370</f>
        <v>0</v>
      </c>
      <c r="I371" s="125">
        <f>Lista!H370</f>
        <v>0</v>
      </c>
      <c r="J371" s="125">
        <f>Lista!I370</f>
        <v>0</v>
      </c>
      <c r="K371" s="125">
        <f>Lista!J370</f>
        <v>0</v>
      </c>
      <c r="L371" s="125">
        <f>Lista!K370</f>
        <v>0</v>
      </c>
      <c r="M371" s="125">
        <f>Lista!L370</f>
        <v>0</v>
      </c>
      <c r="N371" s="125">
        <f>Lista!M370</f>
        <v>0</v>
      </c>
      <c r="O371" s="125">
        <f>Lista!N370</f>
        <v>0</v>
      </c>
      <c r="P371" s="125">
        <f>Lista!O370</f>
        <v>0</v>
      </c>
      <c r="Q371" s="125">
        <f>Lista!P370</f>
        <v>0</v>
      </c>
      <c r="R371" s="125">
        <f>Lista!Q370</f>
        <v>0</v>
      </c>
      <c r="S371" s="125">
        <f>Lista!R370</f>
        <v>0</v>
      </c>
      <c r="T371" s="81"/>
      <c r="U371" s="81"/>
      <c r="V371" s="81"/>
      <c r="W371" s="81"/>
      <c r="X371" s="81"/>
      <c r="Y371" s="81"/>
      <c r="Z371" s="81"/>
      <c r="AA371" s="81"/>
      <c r="AB371" s="81"/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  <c r="BS371" s="81"/>
      <c r="BT371" s="81"/>
      <c r="BU371" s="81"/>
      <c r="BV371" s="81"/>
      <c r="BW371" s="81"/>
      <c r="BX371" s="81"/>
      <c r="BY371" s="81"/>
      <c r="BZ371" s="81"/>
      <c r="CA371" s="81"/>
      <c r="CB371" s="81"/>
      <c r="CC371" s="81"/>
      <c r="CD371" s="81"/>
      <c r="CE371" s="81"/>
      <c r="CF371" s="81"/>
      <c r="CG371" s="81"/>
      <c r="CH371" s="81"/>
      <c r="CI371" s="81"/>
      <c r="CJ371" s="81"/>
      <c r="CK371" s="81"/>
      <c r="CL371" s="81"/>
      <c r="CM371" s="81"/>
      <c r="CN371" s="81"/>
      <c r="CO371" s="81"/>
      <c r="CP371" s="81"/>
      <c r="CQ371" s="81"/>
      <c r="CR371" s="81"/>
      <c r="CS371" s="81"/>
      <c r="CT371" s="81"/>
      <c r="CU371" s="81"/>
      <c r="CV371" s="81"/>
      <c r="CW371" s="81"/>
      <c r="CX371" s="81"/>
      <c r="CY371" s="81"/>
      <c r="CZ371" s="81"/>
      <c r="DA371" s="81"/>
      <c r="DB371" s="81"/>
      <c r="DC371" s="81"/>
      <c r="DD371" s="81"/>
      <c r="DE371" s="81"/>
      <c r="DF371" s="81"/>
      <c r="DG371" s="81"/>
      <c r="DH371" s="81"/>
      <c r="DI371" s="81"/>
      <c r="DJ371" s="81"/>
      <c r="DK371" s="81"/>
      <c r="DL371" s="81"/>
      <c r="DM371" s="81"/>
      <c r="DN371" s="81"/>
      <c r="DO371" s="81"/>
      <c r="DP371" s="81"/>
      <c r="DQ371" s="81"/>
      <c r="DR371" s="81"/>
      <c r="DS371" s="81"/>
      <c r="DT371" s="81"/>
      <c r="DU371" s="81"/>
      <c r="DV371" s="81"/>
      <c r="DW371" s="121"/>
    </row>
    <row r="372" spans="1:127" x14ac:dyDescent="0.25">
      <c r="A372" s="2">
        <f>COUNTIF($D$2:D372,'Reporte de Nomina'!$E$2)</f>
        <v>0</v>
      </c>
      <c r="B372" s="125">
        <f>Lista!A371</f>
        <v>0</v>
      </c>
      <c r="C372" s="125">
        <f>Lista!B371</f>
        <v>0</v>
      </c>
      <c r="D372" s="125">
        <f>Lista!C371</f>
        <v>0</v>
      </c>
      <c r="E372" s="125">
        <f>Lista!D371</f>
        <v>0</v>
      </c>
      <c r="F372" s="125">
        <f>Lista!E371</f>
        <v>0</v>
      </c>
      <c r="G372" s="125">
        <f>Lista!F371</f>
        <v>0</v>
      </c>
      <c r="H372" s="125">
        <f>Lista!G371</f>
        <v>0</v>
      </c>
      <c r="I372" s="125">
        <f>Lista!H371</f>
        <v>0</v>
      </c>
      <c r="J372" s="125">
        <f>Lista!I371</f>
        <v>0</v>
      </c>
      <c r="K372" s="125">
        <f>Lista!J371</f>
        <v>0</v>
      </c>
      <c r="L372" s="125">
        <f>Lista!K371</f>
        <v>0</v>
      </c>
      <c r="M372" s="125">
        <f>Lista!L371</f>
        <v>0</v>
      </c>
      <c r="N372" s="125">
        <f>Lista!M371</f>
        <v>0</v>
      </c>
      <c r="O372" s="125">
        <f>Lista!N371</f>
        <v>0</v>
      </c>
      <c r="P372" s="125">
        <f>Lista!O371</f>
        <v>0</v>
      </c>
      <c r="Q372" s="125">
        <f>Lista!P371</f>
        <v>0</v>
      </c>
      <c r="R372" s="125">
        <f>Lista!Q371</f>
        <v>0</v>
      </c>
      <c r="S372" s="125">
        <f>Lista!R371</f>
        <v>0</v>
      </c>
      <c r="T372" s="81"/>
      <c r="U372" s="81"/>
      <c r="V372" s="81"/>
      <c r="W372" s="81"/>
      <c r="X372" s="81"/>
      <c r="Y372" s="81"/>
      <c r="Z372" s="81"/>
      <c r="AA372" s="81"/>
      <c r="AB372" s="81"/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  <c r="BS372" s="81"/>
      <c r="BT372" s="81"/>
      <c r="BU372" s="81"/>
      <c r="BV372" s="81"/>
      <c r="BW372" s="81"/>
      <c r="BX372" s="81"/>
      <c r="BY372" s="81"/>
      <c r="BZ372" s="81"/>
      <c r="CA372" s="81"/>
      <c r="CB372" s="81"/>
      <c r="CC372" s="81"/>
      <c r="CD372" s="81"/>
      <c r="CE372" s="81"/>
      <c r="CF372" s="81"/>
      <c r="CG372" s="81"/>
      <c r="CH372" s="81"/>
      <c r="CI372" s="81"/>
      <c r="CJ372" s="81"/>
      <c r="CK372" s="81"/>
      <c r="CL372" s="81"/>
      <c r="CM372" s="81"/>
      <c r="CN372" s="81"/>
      <c r="CO372" s="81"/>
      <c r="CP372" s="81"/>
      <c r="CQ372" s="81"/>
      <c r="CR372" s="81"/>
      <c r="CS372" s="81"/>
      <c r="CT372" s="81"/>
      <c r="CU372" s="81"/>
      <c r="CV372" s="81"/>
      <c r="CW372" s="81"/>
      <c r="CX372" s="81"/>
      <c r="CY372" s="81"/>
      <c r="CZ372" s="81"/>
      <c r="DA372" s="81"/>
      <c r="DB372" s="81"/>
      <c r="DC372" s="81"/>
      <c r="DD372" s="81"/>
      <c r="DE372" s="81"/>
      <c r="DF372" s="81"/>
      <c r="DG372" s="81"/>
      <c r="DH372" s="81"/>
      <c r="DI372" s="81"/>
      <c r="DJ372" s="81"/>
      <c r="DK372" s="81"/>
      <c r="DL372" s="81"/>
      <c r="DM372" s="81"/>
      <c r="DN372" s="81"/>
      <c r="DO372" s="81"/>
      <c r="DP372" s="81"/>
      <c r="DQ372" s="81"/>
      <c r="DR372" s="81"/>
      <c r="DS372" s="81"/>
      <c r="DT372" s="81"/>
      <c r="DU372" s="81"/>
      <c r="DV372" s="81"/>
      <c r="DW372" s="121"/>
    </row>
    <row r="373" spans="1:127" x14ac:dyDescent="0.25">
      <c r="A373" s="2">
        <f>COUNTIF($D$2:D373,'Reporte de Nomina'!$E$2)</f>
        <v>0</v>
      </c>
      <c r="B373" s="125">
        <f>Lista!A372</f>
        <v>0</v>
      </c>
      <c r="C373" s="125">
        <f>Lista!B372</f>
        <v>0</v>
      </c>
      <c r="D373" s="125">
        <f>Lista!C372</f>
        <v>0</v>
      </c>
      <c r="E373" s="125">
        <f>Lista!D372</f>
        <v>0</v>
      </c>
      <c r="F373" s="125">
        <f>Lista!E372</f>
        <v>0</v>
      </c>
      <c r="G373" s="125">
        <f>Lista!F372</f>
        <v>0</v>
      </c>
      <c r="H373" s="125">
        <f>Lista!G372</f>
        <v>0</v>
      </c>
      <c r="I373" s="125">
        <f>Lista!H372</f>
        <v>0</v>
      </c>
      <c r="J373" s="125">
        <f>Lista!I372</f>
        <v>0</v>
      </c>
      <c r="K373" s="125">
        <f>Lista!J372</f>
        <v>0</v>
      </c>
      <c r="L373" s="125">
        <f>Lista!K372</f>
        <v>0</v>
      </c>
      <c r="M373" s="125">
        <f>Lista!L372</f>
        <v>0</v>
      </c>
      <c r="N373" s="125">
        <f>Lista!M372</f>
        <v>0</v>
      </c>
      <c r="O373" s="125">
        <f>Lista!N372</f>
        <v>0</v>
      </c>
      <c r="P373" s="125">
        <f>Lista!O372</f>
        <v>0</v>
      </c>
      <c r="Q373" s="125">
        <f>Lista!P372</f>
        <v>0</v>
      </c>
      <c r="R373" s="125">
        <f>Lista!Q372</f>
        <v>0</v>
      </c>
      <c r="S373" s="125">
        <f>Lista!R372</f>
        <v>0</v>
      </c>
      <c r="T373" s="81"/>
      <c r="U373" s="81"/>
      <c r="V373" s="81"/>
      <c r="W373" s="81"/>
      <c r="X373" s="81"/>
      <c r="Y373" s="81"/>
      <c r="Z373" s="81"/>
      <c r="AA373" s="81"/>
      <c r="AB373" s="81"/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  <c r="BS373" s="81"/>
      <c r="BT373" s="81"/>
      <c r="BU373" s="81"/>
      <c r="BV373" s="81"/>
      <c r="BW373" s="81"/>
      <c r="BX373" s="81"/>
      <c r="BY373" s="81"/>
      <c r="BZ373" s="81"/>
      <c r="CA373" s="81"/>
      <c r="CB373" s="81"/>
      <c r="CC373" s="81"/>
      <c r="CD373" s="81"/>
      <c r="CE373" s="81"/>
      <c r="CF373" s="81"/>
      <c r="CG373" s="81"/>
      <c r="CH373" s="81"/>
      <c r="CI373" s="81"/>
      <c r="CJ373" s="81"/>
      <c r="CK373" s="81"/>
      <c r="CL373" s="81"/>
      <c r="CM373" s="81"/>
      <c r="CN373" s="81"/>
      <c r="CO373" s="81"/>
      <c r="CP373" s="81"/>
      <c r="CQ373" s="81"/>
      <c r="CR373" s="81"/>
      <c r="CS373" s="81"/>
      <c r="CT373" s="81"/>
      <c r="CU373" s="81"/>
      <c r="CV373" s="81"/>
      <c r="CW373" s="81"/>
      <c r="CX373" s="81"/>
      <c r="CY373" s="81"/>
      <c r="CZ373" s="81"/>
      <c r="DA373" s="81"/>
      <c r="DB373" s="81"/>
      <c r="DC373" s="81"/>
      <c r="DD373" s="81"/>
      <c r="DE373" s="81"/>
      <c r="DF373" s="81"/>
      <c r="DG373" s="81"/>
      <c r="DH373" s="81"/>
      <c r="DI373" s="81"/>
      <c r="DJ373" s="81"/>
      <c r="DK373" s="81"/>
      <c r="DL373" s="81"/>
      <c r="DM373" s="81"/>
      <c r="DN373" s="81"/>
      <c r="DO373" s="81"/>
      <c r="DP373" s="81"/>
      <c r="DQ373" s="81"/>
      <c r="DR373" s="81"/>
      <c r="DS373" s="81"/>
      <c r="DT373" s="81"/>
      <c r="DU373" s="81"/>
      <c r="DV373" s="81"/>
      <c r="DW373" s="121"/>
    </row>
    <row r="374" spans="1:127" x14ac:dyDescent="0.25">
      <c r="A374" s="2">
        <f>COUNTIF($D$2:D374,'Reporte de Nomina'!$E$2)</f>
        <v>0</v>
      </c>
      <c r="B374" s="125">
        <f>Lista!A373</f>
        <v>0</v>
      </c>
      <c r="C374" s="125">
        <f>Lista!B373</f>
        <v>0</v>
      </c>
      <c r="D374" s="125">
        <f>Lista!C373</f>
        <v>0</v>
      </c>
      <c r="E374" s="125">
        <f>Lista!D373</f>
        <v>0</v>
      </c>
      <c r="F374" s="125">
        <f>Lista!E373</f>
        <v>0</v>
      </c>
      <c r="G374" s="125">
        <f>Lista!F373</f>
        <v>0</v>
      </c>
      <c r="H374" s="125">
        <f>Lista!G373</f>
        <v>0</v>
      </c>
      <c r="I374" s="125">
        <f>Lista!H373</f>
        <v>0</v>
      </c>
      <c r="J374" s="125">
        <f>Lista!I373</f>
        <v>0</v>
      </c>
      <c r="K374" s="125">
        <f>Lista!J373</f>
        <v>0</v>
      </c>
      <c r="L374" s="125">
        <f>Lista!K373</f>
        <v>0</v>
      </c>
      <c r="M374" s="125">
        <f>Lista!L373</f>
        <v>0</v>
      </c>
      <c r="N374" s="125">
        <f>Lista!M373</f>
        <v>0</v>
      </c>
      <c r="O374" s="125">
        <f>Lista!N373</f>
        <v>0</v>
      </c>
      <c r="P374" s="125">
        <f>Lista!O373</f>
        <v>0</v>
      </c>
      <c r="Q374" s="125">
        <f>Lista!P373</f>
        <v>0</v>
      </c>
      <c r="R374" s="125">
        <f>Lista!Q373</f>
        <v>0</v>
      </c>
      <c r="S374" s="125">
        <f>Lista!R373</f>
        <v>0</v>
      </c>
      <c r="T374" s="81"/>
      <c r="U374" s="81"/>
      <c r="V374" s="81"/>
      <c r="W374" s="81"/>
      <c r="X374" s="81"/>
      <c r="Y374" s="81"/>
      <c r="Z374" s="81"/>
      <c r="AA374" s="81"/>
      <c r="AB374" s="81"/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  <c r="BS374" s="81"/>
      <c r="BT374" s="81"/>
      <c r="BU374" s="81"/>
      <c r="BV374" s="81"/>
      <c r="BW374" s="81"/>
      <c r="BX374" s="81"/>
      <c r="BY374" s="81"/>
      <c r="BZ374" s="81"/>
      <c r="CA374" s="81"/>
      <c r="CB374" s="81"/>
      <c r="CC374" s="81"/>
      <c r="CD374" s="81"/>
      <c r="CE374" s="81"/>
      <c r="CF374" s="81"/>
      <c r="CG374" s="81"/>
      <c r="CH374" s="81"/>
      <c r="CI374" s="81"/>
      <c r="CJ374" s="81"/>
      <c r="CK374" s="81"/>
      <c r="CL374" s="81"/>
      <c r="CM374" s="81"/>
      <c r="CN374" s="81"/>
      <c r="CO374" s="81"/>
      <c r="CP374" s="81"/>
      <c r="CQ374" s="81"/>
      <c r="CR374" s="81"/>
      <c r="CS374" s="81"/>
      <c r="CT374" s="81"/>
      <c r="CU374" s="81"/>
      <c r="CV374" s="81"/>
      <c r="CW374" s="81"/>
      <c r="CX374" s="81"/>
      <c r="CY374" s="81"/>
      <c r="CZ374" s="81"/>
      <c r="DA374" s="81"/>
      <c r="DB374" s="81"/>
      <c r="DC374" s="81"/>
      <c r="DD374" s="81"/>
      <c r="DE374" s="81"/>
      <c r="DF374" s="81"/>
      <c r="DG374" s="81"/>
      <c r="DH374" s="81"/>
      <c r="DI374" s="81"/>
      <c r="DJ374" s="81"/>
      <c r="DK374" s="81"/>
      <c r="DL374" s="81"/>
      <c r="DM374" s="81"/>
      <c r="DN374" s="81"/>
      <c r="DO374" s="81"/>
      <c r="DP374" s="81"/>
      <c r="DQ374" s="81"/>
      <c r="DR374" s="81"/>
      <c r="DS374" s="81"/>
      <c r="DT374" s="81"/>
      <c r="DU374" s="81"/>
      <c r="DV374" s="81"/>
      <c r="DW374" s="121"/>
    </row>
    <row r="375" spans="1:127" x14ac:dyDescent="0.25">
      <c r="A375" s="2">
        <f>COUNTIF($D$2:D375,'Reporte de Nomina'!$E$2)</f>
        <v>0</v>
      </c>
      <c r="B375" s="125">
        <f>Lista!A374</f>
        <v>0</v>
      </c>
      <c r="C375" s="125">
        <f>Lista!B374</f>
        <v>0</v>
      </c>
      <c r="D375" s="125">
        <f>Lista!C374</f>
        <v>0</v>
      </c>
      <c r="E375" s="125">
        <f>Lista!D374</f>
        <v>0</v>
      </c>
      <c r="F375" s="125">
        <f>Lista!E374</f>
        <v>0</v>
      </c>
      <c r="G375" s="125">
        <f>Lista!F374</f>
        <v>0</v>
      </c>
      <c r="H375" s="125">
        <f>Lista!G374</f>
        <v>0</v>
      </c>
      <c r="I375" s="125">
        <f>Lista!H374</f>
        <v>0</v>
      </c>
      <c r="J375" s="125">
        <f>Lista!I374</f>
        <v>0</v>
      </c>
      <c r="K375" s="125">
        <f>Lista!J374</f>
        <v>0</v>
      </c>
      <c r="L375" s="125">
        <f>Lista!K374</f>
        <v>0</v>
      </c>
      <c r="M375" s="125">
        <f>Lista!L374</f>
        <v>0</v>
      </c>
      <c r="N375" s="125">
        <f>Lista!M374</f>
        <v>0</v>
      </c>
      <c r="O375" s="125">
        <f>Lista!N374</f>
        <v>0</v>
      </c>
      <c r="P375" s="125">
        <f>Lista!O374</f>
        <v>0</v>
      </c>
      <c r="Q375" s="125">
        <f>Lista!P374</f>
        <v>0</v>
      </c>
      <c r="R375" s="125">
        <f>Lista!Q374</f>
        <v>0</v>
      </c>
      <c r="S375" s="125">
        <f>Lista!R374</f>
        <v>0</v>
      </c>
      <c r="T375" s="81"/>
      <c r="U375" s="81"/>
      <c r="V375" s="81"/>
      <c r="W375" s="81"/>
      <c r="X375" s="81"/>
      <c r="Y375" s="81"/>
      <c r="Z375" s="81"/>
      <c r="AA375" s="81"/>
      <c r="AB375" s="81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  <c r="BS375" s="81"/>
      <c r="BT375" s="81"/>
      <c r="BU375" s="81"/>
      <c r="BV375" s="81"/>
      <c r="BW375" s="81"/>
      <c r="BX375" s="81"/>
      <c r="BY375" s="81"/>
      <c r="BZ375" s="81"/>
      <c r="CA375" s="81"/>
      <c r="CB375" s="81"/>
      <c r="CC375" s="81"/>
      <c r="CD375" s="81"/>
      <c r="CE375" s="81"/>
      <c r="CF375" s="81"/>
      <c r="CG375" s="81"/>
      <c r="CH375" s="81"/>
      <c r="CI375" s="81"/>
      <c r="CJ375" s="81"/>
      <c r="CK375" s="81"/>
      <c r="CL375" s="81"/>
      <c r="CM375" s="81"/>
      <c r="CN375" s="81"/>
      <c r="CO375" s="81"/>
      <c r="CP375" s="81"/>
      <c r="CQ375" s="81"/>
      <c r="CR375" s="81"/>
      <c r="CS375" s="81"/>
      <c r="CT375" s="81"/>
      <c r="CU375" s="81"/>
      <c r="CV375" s="81"/>
      <c r="CW375" s="81"/>
      <c r="CX375" s="81"/>
      <c r="CY375" s="81"/>
      <c r="CZ375" s="81"/>
      <c r="DA375" s="81"/>
      <c r="DB375" s="81"/>
      <c r="DC375" s="81"/>
      <c r="DD375" s="81"/>
      <c r="DE375" s="81"/>
      <c r="DF375" s="81"/>
      <c r="DG375" s="81"/>
      <c r="DH375" s="81"/>
      <c r="DI375" s="81"/>
      <c r="DJ375" s="81"/>
      <c r="DK375" s="81"/>
      <c r="DL375" s="81"/>
      <c r="DM375" s="81"/>
      <c r="DN375" s="81"/>
      <c r="DO375" s="81"/>
      <c r="DP375" s="81"/>
      <c r="DQ375" s="81"/>
      <c r="DR375" s="81"/>
      <c r="DS375" s="81"/>
      <c r="DT375" s="81"/>
      <c r="DU375" s="81"/>
      <c r="DV375" s="81"/>
      <c r="DW375" s="121"/>
    </row>
    <row r="376" spans="1:127" x14ac:dyDescent="0.25">
      <c r="A376" s="2">
        <f>COUNTIF($D$2:D376,'Reporte de Nomina'!$E$2)</f>
        <v>0</v>
      </c>
      <c r="B376" s="125">
        <f>Lista!A375</f>
        <v>0</v>
      </c>
      <c r="C376" s="125">
        <f>Lista!B375</f>
        <v>0</v>
      </c>
      <c r="D376" s="125">
        <f>Lista!C375</f>
        <v>0</v>
      </c>
      <c r="E376" s="125">
        <f>Lista!D375</f>
        <v>0</v>
      </c>
      <c r="F376" s="125">
        <f>Lista!E375</f>
        <v>0</v>
      </c>
      <c r="G376" s="125">
        <f>Lista!F375</f>
        <v>0</v>
      </c>
      <c r="H376" s="125">
        <f>Lista!G375</f>
        <v>0</v>
      </c>
      <c r="I376" s="125">
        <f>Lista!H375</f>
        <v>0</v>
      </c>
      <c r="J376" s="125">
        <f>Lista!I375</f>
        <v>0</v>
      </c>
      <c r="K376" s="125">
        <f>Lista!J375</f>
        <v>0</v>
      </c>
      <c r="L376" s="125">
        <f>Lista!K375</f>
        <v>0</v>
      </c>
      <c r="M376" s="125">
        <f>Lista!L375</f>
        <v>0</v>
      </c>
      <c r="N376" s="125">
        <f>Lista!M375</f>
        <v>0</v>
      </c>
      <c r="O376" s="125">
        <f>Lista!N375</f>
        <v>0</v>
      </c>
      <c r="P376" s="125">
        <f>Lista!O375</f>
        <v>0</v>
      </c>
      <c r="Q376" s="125">
        <f>Lista!P375</f>
        <v>0</v>
      </c>
      <c r="R376" s="125">
        <f>Lista!Q375</f>
        <v>0</v>
      </c>
      <c r="S376" s="125">
        <f>Lista!R375</f>
        <v>0</v>
      </c>
      <c r="T376" s="81"/>
      <c r="U376" s="81"/>
      <c r="V376" s="81"/>
      <c r="W376" s="81"/>
      <c r="X376" s="81"/>
      <c r="Y376" s="81"/>
      <c r="Z376" s="81"/>
      <c r="AA376" s="81"/>
      <c r="AB376" s="81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  <c r="BS376" s="81"/>
      <c r="BT376" s="81"/>
      <c r="BU376" s="81"/>
      <c r="BV376" s="81"/>
      <c r="BW376" s="81"/>
      <c r="BX376" s="81"/>
      <c r="BY376" s="81"/>
      <c r="BZ376" s="81"/>
      <c r="CA376" s="81"/>
      <c r="CB376" s="81"/>
      <c r="CC376" s="81"/>
      <c r="CD376" s="81"/>
      <c r="CE376" s="81"/>
      <c r="CF376" s="81"/>
      <c r="CG376" s="81"/>
      <c r="CH376" s="81"/>
      <c r="CI376" s="81"/>
      <c r="CJ376" s="81"/>
      <c r="CK376" s="81"/>
      <c r="CL376" s="81"/>
      <c r="CM376" s="81"/>
      <c r="CN376" s="81"/>
      <c r="CO376" s="81"/>
      <c r="CP376" s="81"/>
      <c r="CQ376" s="81"/>
      <c r="CR376" s="81"/>
      <c r="CS376" s="81"/>
      <c r="CT376" s="81"/>
      <c r="CU376" s="81"/>
      <c r="CV376" s="81"/>
      <c r="CW376" s="81"/>
      <c r="CX376" s="81"/>
      <c r="CY376" s="81"/>
      <c r="CZ376" s="81"/>
      <c r="DA376" s="81"/>
      <c r="DB376" s="81"/>
      <c r="DC376" s="81"/>
      <c r="DD376" s="81"/>
      <c r="DE376" s="81"/>
      <c r="DF376" s="81"/>
      <c r="DG376" s="81"/>
      <c r="DH376" s="81"/>
      <c r="DI376" s="81"/>
      <c r="DJ376" s="81"/>
      <c r="DK376" s="81"/>
      <c r="DL376" s="81"/>
      <c r="DM376" s="81"/>
      <c r="DN376" s="81"/>
      <c r="DO376" s="81"/>
      <c r="DP376" s="81"/>
      <c r="DQ376" s="81"/>
      <c r="DR376" s="81"/>
      <c r="DS376" s="81"/>
      <c r="DT376" s="81"/>
      <c r="DU376" s="81"/>
      <c r="DV376" s="81"/>
      <c r="DW376" s="121"/>
    </row>
    <row r="377" spans="1:127" x14ac:dyDescent="0.25">
      <c r="A377" s="2">
        <f>COUNTIF($D$2:D377,'Reporte de Nomina'!$E$2)</f>
        <v>0</v>
      </c>
      <c r="B377" s="125">
        <f>Lista!A376</f>
        <v>0</v>
      </c>
      <c r="C377" s="125">
        <f>Lista!B376</f>
        <v>0</v>
      </c>
      <c r="D377" s="125">
        <f>Lista!C376</f>
        <v>0</v>
      </c>
      <c r="E377" s="125">
        <f>Lista!D376</f>
        <v>0</v>
      </c>
      <c r="F377" s="125">
        <f>Lista!E376</f>
        <v>0</v>
      </c>
      <c r="G377" s="125">
        <f>Lista!F376</f>
        <v>0</v>
      </c>
      <c r="H377" s="125">
        <f>Lista!G376</f>
        <v>0</v>
      </c>
      <c r="I377" s="125">
        <f>Lista!H376</f>
        <v>0</v>
      </c>
      <c r="J377" s="125">
        <f>Lista!I376</f>
        <v>0</v>
      </c>
      <c r="K377" s="125">
        <f>Lista!J376</f>
        <v>0</v>
      </c>
      <c r="L377" s="125">
        <f>Lista!K376</f>
        <v>0</v>
      </c>
      <c r="M377" s="125">
        <f>Lista!L376</f>
        <v>0</v>
      </c>
      <c r="N377" s="125">
        <f>Lista!M376</f>
        <v>0</v>
      </c>
      <c r="O377" s="125">
        <f>Lista!N376</f>
        <v>0</v>
      </c>
      <c r="P377" s="125">
        <f>Lista!O376</f>
        <v>0</v>
      </c>
      <c r="Q377" s="125">
        <f>Lista!P376</f>
        <v>0</v>
      </c>
      <c r="R377" s="125">
        <f>Lista!Q376</f>
        <v>0</v>
      </c>
      <c r="S377" s="125">
        <f>Lista!R376</f>
        <v>0</v>
      </c>
      <c r="T377" s="81"/>
      <c r="U377" s="81"/>
      <c r="V377" s="81"/>
      <c r="W377" s="81"/>
      <c r="X377" s="81"/>
      <c r="Y377" s="81"/>
      <c r="Z377" s="81"/>
      <c r="AA377" s="81"/>
      <c r="AB377" s="81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  <c r="BS377" s="81"/>
      <c r="BT377" s="81"/>
      <c r="BU377" s="81"/>
      <c r="BV377" s="81"/>
      <c r="BW377" s="81"/>
      <c r="BX377" s="81"/>
      <c r="BY377" s="81"/>
      <c r="BZ377" s="81"/>
      <c r="CA377" s="81"/>
      <c r="CB377" s="81"/>
      <c r="CC377" s="81"/>
      <c r="CD377" s="81"/>
      <c r="CE377" s="81"/>
      <c r="CF377" s="81"/>
      <c r="CG377" s="81"/>
      <c r="CH377" s="81"/>
      <c r="CI377" s="81"/>
      <c r="CJ377" s="81"/>
      <c r="CK377" s="81"/>
      <c r="CL377" s="81"/>
      <c r="CM377" s="81"/>
      <c r="CN377" s="81"/>
      <c r="CO377" s="81"/>
      <c r="CP377" s="81"/>
      <c r="CQ377" s="81"/>
      <c r="CR377" s="81"/>
      <c r="CS377" s="81"/>
      <c r="CT377" s="81"/>
      <c r="CU377" s="81"/>
      <c r="CV377" s="81"/>
      <c r="CW377" s="81"/>
      <c r="CX377" s="81"/>
      <c r="CY377" s="81"/>
      <c r="CZ377" s="81"/>
      <c r="DA377" s="81"/>
      <c r="DB377" s="81"/>
      <c r="DC377" s="81"/>
      <c r="DD377" s="81"/>
      <c r="DE377" s="81"/>
      <c r="DF377" s="81"/>
      <c r="DG377" s="81"/>
      <c r="DH377" s="81"/>
      <c r="DI377" s="81"/>
      <c r="DJ377" s="81"/>
      <c r="DK377" s="81"/>
      <c r="DL377" s="81"/>
      <c r="DM377" s="81"/>
      <c r="DN377" s="81"/>
      <c r="DO377" s="81"/>
      <c r="DP377" s="81"/>
      <c r="DQ377" s="81"/>
      <c r="DR377" s="81"/>
      <c r="DS377" s="81"/>
      <c r="DT377" s="81"/>
      <c r="DU377" s="81"/>
      <c r="DV377" s="81"/>
      <c r="DW377" s="121"/>
    </row>
    <row r="378" spans="1:127" x14ac:dyDescent="0.25">
      <c r="A378" s="2">
        <f>COUNTIF($D$2:D378,'Reporte de Nomina'!$E$2)</f>
        <v>0</v>
      </c>
      <c r="B378" s="125">
        <f>Lista!A377</f>
        <v>0</v>
      </c>
      <c r="C378" s="125">
        <f>Lista!B377</f>
        <v>0</v>
      </c>
      <c r="D378" s="125">
        <f>Lista!C377</f>
        <v>0</v>
      </c>
      <c r="E378" s="125">
        <f>Lista!D377</f>
        <v>0</v>
      </c>
      <c r="F378" s="125">
        <f>Lista!E377</f>
        <v>0</v>
      </c>
      <c r="G378" s="125">
        <f>Lista!F377</f>
        <v>0</v>
      </c>
      <c r="H378" s="125">
        <f>Lista!G377</f>
        <v>0</v>
      </c>
      <c r="I378" s="125">
        <f>Lista!H377</f>
        <v>0</v>
      </c>
      <c r="J378" s="125">
        <f>Lista!I377</f>
        <v>0</v>
      </c>
      <c r="K378" s="125">
        <f>Lista!J377</f>
        <v>0</v>
      </c>
      <c r="L378" s="125">
        <f>Lista!K377</f>
        <v>0</v>
      </c>
      <c r="M378" s="125">
        <f>Lista!L377</f>
        <v>0</v>
      </c>
      <c r="N378" s="125">
        <f>Lista!M377</f>
        <v>0</v>
      </c>
      <c r="O378" s="125">
        <f>Lista!N377</f>
        <v>0</v>
      </c>
      <c r="P378" s="125">
        <f>Lista!O377</f>
        <v>0</v>
      </c>
      <c r="Q378" s="125">
        <f>Lista!P377</f>
        <v>0</v>
      </c>
      <c r="R378" s="125">
        <f>Lista!Q377</f>
        <v>0</v>
      </c>
      <c r="S378" s="125">
        <f>Lista!R377</f>
        <v>0</v>
      </c>
      <c r="T378" s="81"/>
      <c r="U378" s="81"/>
      <c r="V378" s="81"/>
      <c r="W378" s="81"/>
      <c r="X378" s="81"/>
      <c r="Y378" s="81"/>
      <c r="Z378" s="81"/>
      <c r="AA378" s="81"/>
      <c r="AB378" s="81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  <c r="BS378" s="81"/>
      <c r="BT378" s="81"/>
      <c r="BU378" s="81"/>
      <c r="BV378" s="81"/>
      <c r="BW378" s="81"/>
      <c r="BX378" s="81"/>
      <c r="BY378" s="81"/>
      <c r="BZ378" s="81"/>
      <c r="CA378" s="81"/>
      <c r="CB378" s="81"/>
      <c r="CC378" s="81"/>
      <c r="CD378" s="81"/>
      <c r="CE378" s="81"/>
      <c r="CF378" s="81"/>
      <c r="CG378" s="81"/>
      <c r="CH378" s="81"/>
      <c r="CI378" s="81"/>
      <c r="CJ378" s="81"/>
      <c r="CK378" s="81"/>
      <c r="CL378" s="81"/>
      <c r="CM378" s="81"/>
      <c r="CN378" s="81"/>
      <c r="CO378" s="81"/>
      <c r="CP378" s="81"/>
      <c r="CQ378" s="81"/>
      <c r="CR378" s="81"/>
      <c r="CS378" s="81"/>
      <c r="CT378" s="81"/>
      <c r="CU378" s="81"/>
      <c r="CV378" s="81"/>
      <c r="CW378" s="81"/>
      <c r="CX378" s="81"/>
      <c r="CY378" s="81"/>
      <c r="CZ378" s="81"/>
      <c r="DA378" s="81"/>
      <c r="DB378" s="81"/>
      <c r="DC378" s="81"/>
      <c r="DD378" s="81"/>
      <c r="DE378" s="81"/>
      <c r="DF378" s="81"/>
      <c r="DG378" s="81"/>
      <c r="DH378" s="81"/>
      <c r="DI378" s="81"/>
      <c r="DJ378" s="81"/>
      <c r="DK378" s="81"/>
      <c r="DL378" s="81"/>
      <c r="DM378" s="81"/>
      <c r="DN378" s="81"/>
      <c r="DO378" s="81"/>
      <c r="DP378" s="81"/>
      <c r="DQ378" s="81"/>
      <c r="DR378" s="81"/>
      <c r="DS378" s="81"/>
      <c r="DT378" s="81"/>
      <c r="DU378" s="81"/>
      <c r="DV378" s="81"/>
      <c r="DW378" s="121"/>
    </row>
    <row r="379" spans="1:127" x14ac:dyDescent="0.25">
      <c r="A379" s="2">
        <f>COUNTIF($D$2:D379,'Reporte de Nomina'!$E$2)</f>
        <v>0</v>
      </c>
      <c r="B379" s="125">
        <f>Lista!A378</f>
        <v>0</v>
      </c>
      <c r="C379" s="125">
        <f>Lista!B378</f>
        <v>0</v>
      </c>
      <c r="D379" s="125">
        <f>Lista!C378</f>
        <v>0</v>
      </c>
      <c r="E379" s="125">
        <f>Lista!D378</f>
        <v>0</v>
      </c>
      <c r="F379" s="125">
        <f>Lista!E378</f>
        <v>0</v>
      </c>
      <c r="G379" s="125">
        <f>Lista!F378</f>
        <v>0</v>
      </c>
      <c r="H379" s="125">
        <f>Lista!G378</f>
        <v>0</v>
      </c>
      <c r="I379" s="125">
        <f>Lista!H378</f>
        <v>0</v>
      </c>
      <c r="J379" s="125">
        <f>Lista!I378</f>
        <v>0</v>
      </c>
      <c r="K379" s="125">
        <f>Lista!J378</f>
        <v>0</v>
      </c>
      <c r="L379" s="125">
        <f>Lista!K378</f>
        <v>0</v>
      </c>
      <c r="M379" s="125">
        <f>Lista!L378</f>
        <v>0</v>
      </c>
      <c r="N379" s="125">
        <f>Lista!M378</f>
        <v>0</v>
      </c>
      <c r="O379" s="125">
        <f>Lista!N378</f>
        <v>0</v>
      </c>
      <c r="P379" s="125">
        <f>Lista!O378</f>
        <v>0</v>
      </c>
      <c r="Q379" s="125">
        <f>Lista!P378</f>
        <v>0</v>
      </c>
      <c r="R379" s="125">
        <f>Lista!Q378</f>
        <v>0</v>
      </c>
      <c r="S379" s="125">
        <f>Lista!R378</f>
        <v>0</v>
      </c>
      <c r="T379" s="81"/>
      <c r="U379" s="81"/>
      <c r="V379" s="81"/>
      <c r="W379" s="81"/>
      <c r="X379" s="81"/>
      <c r="Y379" s="81"/>
      <c r="Z379" s="81"/>
      <c r="AA379" s="81"/>
      <c r="AB379" s="81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  <c r="BS379" s="81"/>
      <c r="BT379" s="81"/>
      <c r="BU379" s="81"/>
      <c r="BV379" s="81"/>
      <c r="BW379" s="81"/>
      <c r="BX379" s="81"/>
      <c r="BY379" s="81"/>
      <c r="BZ379" s="81"/>
      <c r="CA379" s="81"/>
      <c r="CB379" s="81"/>
      <c r="CC379" s="81"/>
      <c r="CD379" s="81"/>
      <c r="CE379" s="81"/>
      <c r="CF379" s="81"/>
      <c r="CG379" s="81"/>
      <c r="CH379" s="81"/>
      <c r="CI379" s="81"/>
      <c r="CJ379" s="81"/>
      <c r="CK379" s="81"/>
      <c r="CL379" s="81"/>
      <c r="CM379" s="81"/>
      <c r="CN379" s="81"/>
      <c r="CO379" s="81"/>
      <c r="CP379" s="81"/>
      <c r="CQ379" s="81"/>
      <c r="CR379" s="81"/>
      <c r="CS379" s="81"/>
      <c r="CT379" s="81"/>
      <c r="CU379" s="81"/>
      <c r="CV379" s="81"/>
      <c r="CW379" s="81"/>
      <c r="CX379" s="81"/>
      <c r="CY379" s="81"/>
      <c r="CZ379" s="81"/>
      <c r="DA379" s="81"/>
      <c r="DB379" s="81"/>
      <c r="DC379" s="81"/>
      <c r="DD379" s="81"/>
      <c r="DE379" s="81"/>
      <c r="DF379" s="81"/>
      <c r="DG379" s="81"/>
      <c r="DH379" s="81"/>
      <c r="DI379" s="81"/>
      <c r="DJ379" s="81"/>
      <c r="DK379" s="81"/>
      <c r="DL379" s="81"/>
      <c r="DM379" s="81"/>
      <c r="DN379" s="81"/>
      <c r="DO379" s="81"/>
      <c r="DP379" s="81"/>
      <c r="DQ379" s="81"/>
      <c r="DR379" s="81"/>
      <c r="DS379" s="81"/>
      <c r="DT379" s="81"/>
      <c r="DU379" s="81"/>
      <c r="DV379" s="81"/>
      <c r="DW379" s="121"/>
    </row>
    <row r="380" spans="1:127" x14ac:dyDescent="0.25">
      <c r="A380" s="2">
        <f>COUNTIF($D$2:D380,'Reporte de Nomina'!$E$2)</f>
        <v>0</v>
      </c>
      <c r="B380" s="125">
        <f>Lista!A379</f>
        <v>0</v>
      </c>
      <c r="C380" s="125">
        <f>Lista!B379</f>
        <v>0</v>
      </c>
      <c r="D380" s="125">
        <f>Lista!C379</f>
        <v>0</v>
      </c>
      <c r="E380" s="125">
        <f>Lista!D379</f>
        <v>0</v>
      </c>
      <c r="F380" s="125">
        <f>Lista!E379</f>
        <v>0</v>
      </c>
      <c r="G380" s="125">
        <f>Lista!F379</f>
        <v>0</v>
      </c>
      <c r="H380" s="125">
        <f>Lista!G379</f>
        <v>0</v>
      </c>
      <c r="I380" s="125">
        <f>Lista!H379</f>
        <v>0</v>
      </c>
      <c r="J380" s="125">
        <f>Lista!I379</f>
        <v>0</v>
      </c>
      <c r="K380" s="125">
        <f>Lista!J379</f>
        <v>0</v>
      </c>
      <c r="L380" s="125">
        <f>Lista!K379</f>
        <v>0</v>
      </c>
      <c r="M380" s="125">
        <f>Lista!L379</f>
        <v>0</v>
      </c>
      <c r="N380" s="125">
        <f>Lista!M379</f>
        <v>0</v>
      </c>
      <c r="O380" s="125">
        <f>Lista!N379</f>
        <v>0</v>
      </c>
      <c r="P380" s="125">
        <f>Lista!O379</f>
        <v>0</v>
      </c>
      <c r="Q380" s="125">
        <f>Lista!P379</f>
        <v>0</v>
      </c>
      <c r="R380" s="125">
        <f>Lista!Q379</f>
        <v>0</v>
      </c>
      <c r="S380" s="125">
        <f>Lista!R379</f>
        <v>0</v>
      </c>
      <c r="T380" s="81"/>
      <c r="U380" s="81"/>
      <c r="V380" s="81"/>
      <c r="W380" s="81"/>
      <c r="X380" s="81"/>
      <c r="Y380" s="81"/>
      <c r="Z380" s="81"/>
      <c r="AA380" s="81"/>
      <c r="AB380" s="81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  <c r="BS380" s="81"/>
      <c r="BT380" s="81"/>
      <c r="BU380" s="81"/>
      <c r="BV380" s="81"/>
      <c r="BW380" s="81"/>
      <c r="BX380" s="81"/>
      <c r="BY380" s="81"/>
      <c r="BZ380" s="81"/>
      <c r="CA380" s="81"/>
      <c r="CB380" s="81"/>
      <c r="CC380" s="81"/>
      <c r="CD380" s="81"/>
      <c r="CE380" s="81"/>
      <c r="CF380" s="81"/>
      <c r="CG380" s="81"/>
      <c r="CH380" s="81"/>
      <c r="CI380" s="81"/>
      <c r="CJ380" s="81"/>
      <c r="CK380" s="81"/>
      <c r="CL380" s="81"/>
      <c r="CM380" s="81"/>
      <c r="CN380" s="81"/>
      <c r="CO380" s="81"/>
      <c r="CP380" s="81"/>
      <c r="CQ380" s="81"/>
      <c r="CR380" s="81"/>
      <c r="CS380" s="81"/>
      <c r="CT380" s="81"/>
      <c r="CU380" s="81"/>
      <c r="CV380" s="81"/>
      <c r="CW380" s="81"/>
      <c r="CX380" s="81"/>
      <c r="CY380" s="81"/>
      <c r="CZ380" s="81"/>
      <c r="DA380" s="81"/>
      <c r="DB380" s="81"/>
      <c r="DC380" s="81"/>
      <c r="DD380" s="81"/>
      <c r="DE380" s="81"/>
      <c r="DF380" s="81"/>
      <c r="DG380" s="81"/>
      <c r="DH380" s="81"/>
      <c r="DI380" s="81"/>
      <c r="DJ380" s="81"/>
      <c r="DK380" s="81"/>
      <c r="DL380" s="81"/>
      <c r="DM380" s="81"/>
      <c r="DN380" s="81"/>
      <c r="DO380" s="81"/>
      <c r="DP380" s="81"/>
      <c r="DQ380" s="81"/>
      <c r="DR380" s="81"/>
      <c r="DS380" s="81"/>
      <c r="DT380" s="81"/>
      <c r="DU380" s="81"/>
      <c r="DV380" s="81"/>
      <c r="DW380" s="121"/>
    </row>
    <row r="381" spans="1:127" x14ac:dyDescent="0.25">
      <c r="A381" s="2">
        <f>COUNTIF($D$2:D381,'Reporte de Nomina'!$E$2)</f>
        <v>0</v>
      </c>
      <c r="B381" s="125">
        <f>Lista!A380</f>
        <v>0</v>
      </c>
      <c r="C381" s="125">
        <f>Lista!B380</f>
        <v>0</v>
      </c>
      <c r="D381" s="125">
        <f>Lista!C380</f>
        <v>0</v>
      </c>
      <c r="E381" s="125">
        <f>Lista!D380</f>
        <v>0</v>
      </c>
      <c r="F381" s="125">
        <f>Lista!E380</f>
        <v>0</v>
      </c>
      <c r="G381" s="125">
        <f>Lista!F380</f>
        <v>0</v>
      </c>
      <c r="H381" s="125">
        <f>Lista!G380</f>
        <v>0</v>
      </c>
      <c r="I381" s="125">
        <f>Lista!H380</f>
        <v>0</v>
      </c>
      <c r="J381" s="125">
        <f>Lista!I380</f>
        <v>0</v>
      </c>
      <c r="K381" s="125">
        <f>Lista!J380</f>
        <v>0</v>
      </c>
      <c r="L381" s="125">
        <f>Lista!K380</f>
        <v>0</v>
      </c>
      <c r="M381" s="125">
        <f>Lista!L380</f>
        <v>0</v>
      </c>
      <c r="N381" s="125">
        <f>Lista!M380</f>
        <v>0</v>
      </c>
      <c r="O381" s="125">
        <f>Lista!N380</f>
        <v>0</v>
      </c>
      <c r="P381" s="125">
        <f>Lista!O380</f>
        <v>0</v>
      </c>
      <c r="Q381" s="125">
        <f>Lista!P380</f>
        <v>0</v>
      </c>
      <c r="R381" s="125">
        <f>Lista!Q380</f>
        <v>0</v>
      </c>
      <c r="S381" s="125">
        <f>Lista!R380</f>
        <v>0</v>
      </c>
      <c r="T381" s="81"/>
      <c r="U381" s="81"/>
      <c r="V381" s="81"/>
      <c r="W381" s="81"/>
      <c r="X381" s="81"/>
      <c r="Y381" s="81"/>
      <c r="Z381" s="81"/>
      <c r="AA381" s="81"/>
      <c r="AB381" s="81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  <c r="BS381" s="81"/>
      <c r="BT381" s="81"/>
      <c r="BU381" s="81"/>
      <c r="BV381" s="81"/>
      <c r="BW381" s="81"/>
      <c r="BX381" s="81"/>
      <c r="BY381" s="81"/>
      <c r="BZ381" s="81"/>
      <c r="CA381" s="81"/>
      <c r="CB381" s="81"/>
      <c r="CC381" s="81"/>
      <c r="CD381" s="81"/>
      <c r="CE381" s="81"/>
      <c r="CF381" s="81"/>
      <c r="CG381" s="81"/>
      <c r="CH381" s="81"/>
      <c r="CI381" s="81"/>
      <c r="CJ381" s="81"/>
      <c r="CK381" s="81"/>
      <c r="CL381" s="81"/>
      <c r="CM381" s="81"/>
      <c r="CN381" s="81"/>
      <c r="CO381" s="81"/>
      <c r="CP381" s="81"/>
      <c r="CQ381" s="81"/>
      <c r="CR381" s="81"/>
      <c r="CS381" s="81"/>
      <c r="CT381" s="81"/>
      <c r="CU381" s="81"/>
      <c r="CV381" s="81"/>
      <c r="CW381" s="81"/>
      <c r="CX381" s="81"/>
      <c r="CY381" s="81"/>
      <c r="CZ381" s="81"/>
      <c r="DA381" s="81"/>
      <c r="DB381" s="81"/>
      <c r="DC381" s="81"/>
      <c r="DD381" s="81"/>
      <c r="DE381" s="81"/>
      <c r="DF381" s="81"/>
      <c r="DG381" s="81"/>
      <c r="DH381" s="81"/>
      <c r="DI381" s="81"/>
      <c r="DJ381" s="81"/>
      <c r="DK381" s="81"/>
      <c r="DL381" s="81"/>
      <c r="DM381" s="81"/>
      <c r="DN381" s="81"/>
      <c r="DO381" s="81"/>
      <c r="DP381" s="81"/>
      <c r="DQ381" s="81"/>
      <c r="DR381" s="81"/>
      <c r="DS381" s="81"/>
      <c r="DT381" s="81"/>
      <c r="DU381" s="81"/>
      <c r="DV381" s="81"/>
      <c r="DW381" s="121"/>
    </row>
    <row r="382" spans="1:127" x14ac:dyDescent="0.25">
      <c r="A382" s="2">
        <f>COUNTIF($D$2:D382,'Reporte de Nomina'!$E$2)</f>
        <v>0</v>
      </c>
      <c r="B382" s="125">
        <f>Lista!A381</f>
        <v>0</v>
      </c>
      <c r="C382" s="125">
        <f>Lista!B381</f>
        <v>0</v>
      </c>
      <c r="D382" s="125">
        <f>Lista!C381</f>
        <v>0</v>
      </c>
      <c r="E382" s="125">
        <f>Lista!D381</f>
        <v>0</v>
      </c>
      <c r="F382" s="125">
        <f>Lista!E381</f>
        <v>0</v>
      </c>
      <c r="G382" s="125">
        <f>Lista!F381</f>
        <v>0</v>
      </c>
      <c r="H382" s="125">
        <f>Lista!G381</f>
        <v>0</v>
      </c>
      <c r="I382" s="125">
        <f>Lista!H381</f>
        <v>0</v>
      </c>
      <c r="J382" s="125">
        <f>Lista!I381</f>
        <v>0</v>
      </c>
      <c r="K382" s="125">
        <f>Lista!J381</f>
        <v>0</v>
      </c>
      <c r="L382" s="125">
        <f>Lista!K381</f>
        <v>0</v>
      </c>
      <c r="M382" s="125">
        <f>Lista!L381</f>
        <v>0</v>
      </c>
      <c r="N382" s="125">
        <f>Lista!M381</f>
        <v>0</v>
      </c>
      <c r="O382" s="125">
        <f>Lista!N381</f>
        <v>0</v>
      </c>
      <c r="P382" s="125">
        <f>Lista!O381</f>
        <v>0</v>
      </c>
      <c r="Q382" s="125">
        <f>Lista!P381</f>
        <v>0</v>
      </c>
      <c r="R382" s="125">
        <f>Lista!Q381</f>
        <v>0</v>
      </c>
      <c r="S382" s="125">
        <f>Lista!R381</f>
        <v>0</v>
      </c>
      <c r="T382" s="81"/>
      <c r="U382" s="81"/>
      <c r="V382" s="81"/>
      <c r="W382" s="81"/>
      <c r="X382" s="81"/>
      <c r="Y382" s="81"/>
      <c r="Z382" s="81"/>
      <c r="AA382" s="81"/>
      <c r="AB382" s="81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  <c r="BS382" s="81"/>
      <c r="BT382" s="81"/>
      <c r="BU382" s="81"/>
      <c r="BV382" s="81"/>
      <c r="BW382" s="81"/>
      <c r="BX382" s="81"/>
      <c r="BY382" s="81"/>
      <c r="BZ382" s="81"/>
      <c r="CA382" s="81"/>
      <c r="CB382" s="81"/>
      <c r="CC382" s="81"/>
      <c r="CD382" s="81"/>
      <c r="CE382" s="81"/>
      <c r="CF382" s="81"/>
      <c r="CG382" s="81"/>
      <c r="CH382" s="81"/>
      <c r="CI382" s="81"/>
      <c r="CJ382" s="81"/>
      <c r="CK382" s="81"/>
      <c r="CL382" s="81"/>
      <c r="CM382" s="81"/>
      <c r="CN382" s="81"/>
      <c r="CO382" s="81"/>
      <c r="CP382" s="81"/>
      <c r="CQ382" s="81"/>
      <c r="CR382" s="81"/>
      <c r="CS382" s="81"/>
      <c r="CT382" s="81"/>
      <c r="CU382" s="81"/>
      <c r="CV382" s="81"/>
      <c r="CW382" s="81"/>
      <c r="CX382" s="81"/>
      <c r="CY382" s="81"/>
      <c r="CZ382" s="81"/>
      <c r="DA382" s="81"/>
      <c r="DB382" s="81"/>
      <c r="DC382" s="81"/>
      <c r="DD382" s="81"/>
      <c r="DE382" s="81"/>
      <c r="DF382" s="81"/>
      <c r="DG382" s="81"/>
      <c r="DH382" s="81"/>
      <c r="DI382" s="81"/>
      <c r="DJ382" s="81"/>
      <c r="DK382" s="81"/>
      <c r="DL382" s="81"/>
      <c r="DM382" s="81"/>
      <c r="DN382" s="81"/>
      <c r="DO382" s="81"/>
      <c r="DP382" s="81"/>
      <c r="DQ382" s="81"/>
      <c r="DR382" s="81"/>
      <c r="DS382" s="81"/>
      <c r="DT382" s="81"/>
      <c r="DU382" s="81"/>
      <c r="DV382" s="81"/>
      <c r="DW382" s="121"/>
    </row>
    <row r="383" spans="1:127" x14ac:dyDescent="0.25">
      <c r="A383" s="2">
        <f>COUNTIF($D$2:D383,'Reporte de Nomina'!$E$2)</f>
        <v>0</v>
      </c>
      <c r="B383" s="125">
        <f>Lista!A382</f>
        <v>0</v>
      </c>
      <c r="C383" s="125">
        <f>Lista!B382</f>
        <v>0</v>
      </c>
      <c r="D383" s="125">
        <f>Lista!C382</f>
        <v>0</v>
      </c>
      <c r="E383" s="125">
        <f>Lista!D382</f>
        <v>0</v>
      </c>
      <c r="F383" s="125">
        <f>Lista!E382</f>
        <v>0</v>
      </c>
      <c r="G383" s="125">
        <f>Lista!F382</f>
        <v>0</v>
      </c>
      <c r="H383" s="125">
        <f>Lista!G382</f>
        <v>0</v>
      </c>
      <c r="I383" s="125">
        <f>Lista!H382</f>
        <v>0</v>
      </c>
      <c r="J383" s="125">
        <f>Lista!I382</f>
        <v>0</v>
      </c>
      <c r="K383" s="125">
        <f>Lista!J382</f>
        <v>0</v>
      </c>
      <c r="L383" s="125">
        <f>Lista!K382</f>
        <v>0</v>
      </c>
      <c r="M383" s="125">
        <f>Lista!L382</f>
        <v>0</v>
      </c>
      <c r="N383" s="125">
        <f>Lista!M382</f>
        <v>0</v>
      </c>
      <c r="O383" s="125">
        <f>Lista!N382</f>
        <v>0</v>
      </c>
      <c r="P383" s="125">
        <f>Lista!O382</f>
        <v>0</v>
      </c>
      <c r="Q383" s="125">
        <f>Lista!P382</f>
        <v>0</v>
      </c>
      <c r="R383" s="125">
        <f>Lista!Q382</f>
        <v>0</v>
      </c>
      <c r="S383" s="125">
        <f>Lista!R382</f>
        <v>0</v>
      </c>
      <c r="T383" s="81"/>
      <c r="U383" s="81"/>
      <c r="V383" s="81"/>
      <c r="W383" s="81"/>
      <c r="X383" s="81"/>
      <c r="Y383" s="81"/>
      <c r="Z383" s="81"/>
      <c r="AA383" s="81"/>
      <c r="AB383" s="81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  <c r="BS383" s="81"/>
      <c r="BT383" s="81"/>
      <c r="BU383" s="81"/>
      <c r="BV383" s="81"/>
      <c r="BW383" s="81"/>
      <c r="BX383" s="81"/>
      <c r="BY383" s="81"/>
      <c r="BZ383" s="81"/>
      <c r="CA383" s="81"/>
      <c r="CB383" s="81"/>
      <c r="CC383" s="81"/>
      <c r="CD383" s="81"/>
      <c r="CE383" s="81"/>
      <c r="CF383" s="81"/>
      <c r="CG383" s="81"/>
      <c r="CH383" s="81"/>
      <c r="CI383" s="81"/>
      <c r="CJ383" s="81"/>
      <c r="CK383" s="81"/>
      <c r="CL383" s="81"/>
      <c r="CM383" s="81"/>
      <c r="CN383" s="81"/>
      <c r="CO383" s="81"/>
      <c r="CP383" s="81"/>
      <c r="CQ383" s="81"/>
      <c r="CR383" s="81"/>
      <c r="CS383" s="81"/>
      <c r="CT383" s="81"/>
      <c r="CU383" s="81"/>
      <c r="CV383" s="81"/>
      <c r="CW383" s="81"/>
      <c r="CX383" s="81"/>
      <c r="CY383" s="81"/>
      <c r="CZ383" s="81"/>
      <c r="DA383" s="81"/>
      <c r="DB383" s="81"/>
      <c r="DC383" s="81"/>
      <c r="DD383" s="81"/>
      <c r="DE383" s="81"/>
      <c r="DF383" s="81"/>
      <c r="DG383" s="81"/>
      <c r="DH383" s="81"/>
      <c r="DI383" s="81"/>
      <c r="DJ383" s="81"/>
      <c r="DK383" s="81"/>
      <c r="DL383" s="81"/>
      <c r="DM383" s="81"/>
      <c r="DN383" s="81"/>
      <c r="DO383" s="81"/>
      <c r="DP383" s="81"/>
      <c r="DQ383" s="81"/>
      <c r="DR383" s="81"/>
      <c r="DS383" s="81"/>
      <c r="DT383" s="81"/>
      <c r="DU383" s="81"/>
      <c r="DV383" s="81"/>
      <c r="DW383" s="121"/>
    </row>
    <row r="384" spans="1:127" x14ac:dyDescent="0.25">
      <c r="A384" s="2">
        <f>COUNTIF($D$2:D384,'Reporte de Nomina'!$E$2)</f>
        <v>0</v>
      </c>
      <c r="B384" s="125">
        <f>Lista!A383</f>
        <v>0</v>
      </c>
      <c r="C384" s="125">
        <f>Lista!B383</f>
        <v>0</v>
      </c>
      <c r="D384" s="125">
        <f>Lista!C383</f>
        <v>0</v>
      </c>
      <c r="E384" s="125">
        <f>Lista!D383</f>
        <v>0</v>
      </c>
      <c r="F384" s="125">
        <f>Lista!E383</f>
        <v>0</v>
      </c>
      <c r="G384" s="125">
        <f>Lista!F383</f>
        <v>0</v>
      </c>
      <c r="H384" s="125">
        <f>Lista!G383</f>
        <v>0</v>
      </c>
      <c r="I384" s="125">
        <f>Lista!H383</f>
        <v>0</v>
      </c>
      <c r="J384" s="125">
        <f>Lista!I383</f>
        <v>0</v>
      </c>
      <c r="K384" s="125">
        <f>Lista!J383</f>
        <v>0</v>
      </c>
      <c r="L384" s="125">
        <f>Lista!K383</f>
        <v>0</v>
      </c>
      <c r="M384" s="125">
        <f>Lista!L383</f>
        <v>0</v>
      </c>
      <c r="N384" s="125">
        <f>Lista!M383</f>
        <v>0</v>
      </c>
      <c r="O384" s="125">
        <f>Lista!N383</f>
        <v>0</v>
      </c>
      <c r="P384" s="125">
        <f>Lista!O383</f>
        <v>0</v>
      </c>
      <c r="Q384" s="125">
        <f>Lista!P383</f>
        <v>0</v>
      </c>
      <c r="R384" s="125">
        <f>Lista!Q383</f>
        <v>0</v>
      </c>
      <c r="S384" s="125">
        <f>Lista!R383</f>
        <v>0</v>
      </c>
      <c r="T384" s="81"/>
      <c r="U384" s="81"/>
      <c r="V384" s="81"/>
      <c r="W384" s="81"/>
      <c r="X384" s="81"/>
      <c r="Y384" s="81"/>
      <c r="Z384" s="81"/>
      <c r="AA384" s="81"/>
      <c r="AB384" s="81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  <c r="BS384" s="81"/>
      <c r="BT384" s="81"/>
      <c r="BU384" s="81"/>
      <c r="BV384" s="81"/>
      <c r="BW384" s="81"/>
      <c r="BX384" s="81"/>
      <c r="BY384" s="81"/>
      <c r="BZ384" s="81"/>
      <c r="CA384" s="81"/>
      <c r="CB384" s="81"/>
      <c r="CC384" s="81"/>
      <c r="CD384" s="81"/>
      <c r="CE384" s="81"/>
      <c r="CF384" s="81"/>
      <c r="CG384" s="81"/>
      <c r="CH384" s="81"/>
      <c r="CI384" s="81"/>
      <c r="CJ384" s="81"/>
      <c r="CK384" s="81"/>
      <c r="CL384" s="81"/>
      <c r="CM384" s="81"/>
      <c r="CN384" s="81"/>
      <c r="CO384" s="81"/>
      <c r="CP384" s="81"/>
      <c r="CQ384" s="81"/>
      <c r="CR384" s="81"/>
      <c r="CS384" s="81"/>
      <c r="CT384" s="81"/>
      <c r="CU384" s="81"/>
      <c r="CV384" s="81"/>
      <c r="CW384" s="81"/>
      <c r="CX384" s="81"/>
      <c r="CY384" s="81"/>
      <c r="CZ384" s="81"/>
      <c r="DA384" s="81"/>
      <c r="DB384" s="81"/>
      <c r="DC384" s="81"/>
      <c r="DD384" s="81"/>
      <c r="DE384" s="81"/>
      <c r="DF384" s="81"/>
      <c r="DG384" s="81"/>
      <c r="DH384" s="81"/>
      <c r="DI384" s="81"/>
      <c r="DJ384" s="81"/>
      <c r="DK384" s="81"/>
      <c r="DL384" s="81"/>
      <c r="DM384" s="81"/>
      <c r="DN384" s="81"/>
      <c r="DO384" s="81"/>
      <c r="DP384" s="81"/>
      <c r="DQ384" s="81"/>
      <c r="DR384" s="81"/>
      <c r="DS384" s="81"/>
      <c r="DT384" s="81"/>
      <c r="DU384" s="81"/>
      <c r="DV384" s="81"/>
      <c r="DW384" s="121"/>
    </row>
    <row r="385" spans="1:127" x14ac:dyDescent="0.25">
      <c r="A385" s="2">
        <f>COUNTIF($D$2:D385,'Reporte de Nomina'!$E$2)</f>
        <v>0</v>
      </c>
      <c r="B385" s="125">
        <f>Lista!A384</f>
        <v>0</v>
      </c>
      <c r="C385" s="125">
        <f>Lista!B384</f>
        <v>0</v>
      </c>
      <c r="D385" s="125">
        <f>Lista!C384</f>
        <v>0</v>
      </c>
      <c r="E385" s="125">
        <f>Lista!D384</f>
        <v>0</v>
      </c>
      <c r="F385" s="125">
        <f>Lista!E384</f>
        <v>0</v>
      </c>
      <c r="G385" s="125">
        <f>Lista!F384</f>
        <v>0</v>
      </c>
      <c r="H385" s="125">
        <f>Lista!G384</f>
        <v>0</v>
      </c>
      <c r="I385" s="125">
        <f>Lista!H384</f>
        <v>0</v>
      </c>
      <c r="J385" s="125">
        <f>Lista!I384</f>
        <v>0</v>
      </c>
      <c r="K385" s="125">
        <f>Lista!J384</f>
        <v>0</v>
      </c>
      <c r="L385" s="125">
        <f>Lista!K384</f>
        <v>0</v>
      </c>
      <c r="M385" s="125">
        <f>Lista!L384</f>
        <v>0</v>
      </c>
      <c r="N385" s="125">
        <f>Lista!M384</f>
        <v>0</v>
      </c>
      <c r="O385" s="125">
        <f>Lista!N384</f>
        <v>0</v>
      </c>
      <c r="P385" s="125">
        <f>Lista!O384</f>
        <v>0</v>
      </c>
      <c r="Q385" s="125">
        <f>Lista!P384</f>
        <v>0</v>
      </c>
      <c r="R385" s="125">
        <f>Lista!Q384</f>
        <v>0</v>
      </c>
      <c r="S385" s="125">
        <f>Lista!R384</f>
        <v>0</v>
      </c>
      <c r="T385" s="81"/>
      <c r="U385" s="81"/>
      <c r="V385" s="81"/>
      <c r="W385" s="81"/>
      <c r="X385" s="81"/>
      <c r="Y385" s="81"/>
      <c r="Z385" s="81"/>
      <c r="AA385" s="81"/>
      <c r="AB385" s="81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  <c r="BS385" s="81"/>
      <c r="BT385" s="81"/>
      <c r="BU385" s="81"/>
      <c r="BV385" s="81"/>
      <c r="BW385" s="81"/>
      <c r="BX385" s="81"/>
      <c r="BY385" s="81"/>
      <c r="BZ385" s="81"/>
      <c r="CA385" s="81"/>
      <c r="CB385" s="81"/>
      <c r="CC385" s="81"/>
      <c r="CD385" s="81"/>
      <c r="CE385" s="81"/>
      <c r="CF385" s="81"/>
      <c r="CG385" s="81"/>
      <c r="CH385" s="81"/>
      <c r="CI385" s="81"/>
      <c r="CJ385" s="81"/>
      <c r="CK385" s="81"/>
      <c r="CL385" s="81"/>
      <c r="CM385" s="81"/>
      <c r="CN385" s="81"/>
      <c r="CO385" s="81"/>
      <c r="CP385" s="81"/>
      <c r="CQ385" s="81"/>
      <c r="CR385" s="81"/>
      <c r="CS385" s="81"/>
      <c r="CT385" s="81"/>
      <c r="CU385" s="81"/>
      <c r="CV385" s="81"/>
      <c r="CW385" s="81"/>
      <c r="CX385" s="81"/>
      <c r="CY385" s="81"/>
      <c r="CZ385" s="81"/>
      <c r="DA385" s="81"/>
      <c r="DB385" s="81"/>
      <c r="DC385" s="81"/>
      <c r="DD385" s="81"/>
      <c r="DE385" s="81"/>
      <c r="DF385" s="81"/>
      <c r="DG385" s="81"/>
      <c r="DH385" s="81"/>
      <c r="DI385" s="81"/>
      <c r="DJ385" s="81"/>
      <c r="DK385" s="81"/>
      <c r="DL385" s="81"/>
      <c r="DM385" s="81"/>
      <c r="DN385" s="81"/>
      <c r="DO385" s="81"/>
      <c r="DP385" s="81"/>
      <c r="DQ385" s="81"/>
      <c r="DR385" s="81"/>
      <c r="DS385" s="81"/>
      <c r="DT385" s="81"/>
      <c r="DU385" s="81"/>
      <c r="DV385" s="81"/>
      <c r="DW385" s="121"/>
    </row>
    <row r="386" spans="1:127" x14ac:dyDescent="0.25">
      <c r="A386" s="2">
        <f>COUNTIF($D$2:D386,'Reporte de Nomina'!$E$2)</f>
        <v>0</v>
      </c>
      <c r="B386" s="125">
        <f>Lista!A385</f>
        <v>0</v>
      </c>
      <c r="C386" s="125">
        <f>Lista!B385</f>
        <v>0</v>
      </c>
      <c r="D386" s="125">
        <f>Lista!C385</f>
        <v>0</v>
      </c>
      <c r="E386" s="125">
        <f>Lista!D385</f>
        <v>0</v>
      </c>
      <c r="F386" s="125">
        <f>Lista!E385</f>
        <v>0</v>
      </c>
      <c r="G386" s="125">
        <f>Lista!F385</f>
        <v>0</v>
      </c>
      <c r="H386" s="125">
        <f>Lista!G385</f>
        <v>0</v>
      </c>
      <c r="I386" s="125">
        <f>Lista!H385</f>
        <v>0</v>
      </c>
      <c r="J386" s="125">
        <f>Lista!I385</f>
        <v>0</v>
      </c>
      <c r="K386" s="125">
        <f>Lista!J385</f>
        <v>0</v>
      </c>
      <c r="L386" s="125">
        <f>Lista!K385</f>
        <v>0</v>
      </c>
      <c r="M386" s="125">
        <f>Lista!L385</f>
        <v>0</v>
      </c>
      <c r="N386" s="125">
        <f>Lista!M385</f>
        <v>0</v>
      </c>
      <c r="O386" s="125">
        <f>Lista!N385</f>
        <v>0</v>
      </c>
      <c r="P386" s="125">
        <f>Lista!O385</f>
        <v>0</v>
      </c>
      <c r="Q386" s="125">
        <f>Lista!P385</f>
        <v>0</v>
      </c>
      <c r="R386" s="125">
        <f>Lista!Q385</f>
        <v>0</v>
      </c>
      <c r="S386" s="125">
        <f>Lista!R385</f>
        <v>0</v>
      </c>
      <c r="T386" s="81"/>
      <c r="U386" s="81"/>
      <c r="V386" s="81"/>
      <c r="W386" s="81"/>
      <c r="X386" s="81"/>
      <c r="Y386" s="81"/>
      <c r="Z386" s="81"/>
      <c r="AA386" s="81"/>
      <c r="AB386" s="81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  <c r="BS386" s="81"/>
      <c r="BT386" s="81"/>
      <c r="BU386" s="81"/>
      <c r="BV386" s="81"/>
      <c r="BW386" s="81"/>
      <c r="BX386" s="81"/>
      <c r="BY386" s="81"/>
      <c r="BZ386" s="81"/>
      <c r="CA386" s="81"/>
      <c r="CB386" s="81"/>
      <c r="CC386" s="81"/>
      <c r="CD386" s="81"/>
      <c r="CE386" s="81"/>
      <c r="CF386" s="81"/>
      <c r="CG386" s="81"/>
      <c r="CH386" s="81"/>
      <c r="CI386" s="81"/>
      <c r="CJ386" s="81"/>
      <c r="CK386" s="81"/>
      <c r="CL386" s="81"/>
      <c r="CM386" s="81"/>
      <c r="CN386" s="81"/>
      <c r="CO386" s="81"/>
      <c r="CP386" s="81"/>
      <c r="CQ386" s="81"/>
      <c r="CR386" s="81"/>
      <c r="CS386" s="81"/>
      <c r="CT386" s="81"/>
      <c r="CU386" s="81"/>
      <c r="CV386" s="81"/>
      <c r="CW386" s="81"/>
      <c r="CX386" s="81"/>
      <c r="CY386" s="81"/>
      <c r="CZ386" s="81"/>
      <c r="DA386" s="81"/>
      <c r="DB386" s="81"/>
      <c r="DC386" s="81"/>
      <c r="DD386" s="81"/>
      <c r="DE386" s="81"/>
      <c r="DF386" s="81"/>
      <c r="DG386" s="81"/>
      <c r="DH386" s="81"/>
      <c r="DI386" s="81"/>
      <c r="DJ386" s="81"/>
      <c r="DK386" s="81"/>
      <c r="DL386" s="81"/>
      <c r="DM386" s="81"/>
      <c r="DN386" s="81"/>
      <c r="DO386" s="81"/>
      <c r="DP386" s="81"/>
      <c r="DQ386" s="81"/>
      <c r="DR386" s="81"/>
      <c r="DS386" s="81"/>
      <c r="DT386" s="81"/>
      <c r="DU386" s="81"/>
      <c r="DV386" s="81"/>
      <c r="DW386" s="121"/>
    </row>
    <row r="387" spans="1:127" x14ac:dyDescent="0.25">
      <c r="A387" s="2">
        <f>COUNTIF($D$2:D387,'Reporte de Nomina'!$E$2)</f>
        <v>0</v>
      </c>
      <c r="B387" s="125">
        <f>Lista!A386</f>
        <v>0</v>
      </c>
      <c r="C387" s="125">
        <f>Lista!B386</f>
        <v>0</v>
      </c>
      <c r="D387" s="125">
        <f>Lista!C386</f>
        <v>0</v>
      </c>
      <c r="E387" s="125">
        <f>Lista!D386</f>
        <v>0</v>
      </c>
      <c r="F387" s="125">
        <f>Lista!E386</f>
        <v>0</v>
      </c>
      <c r="G387" s="125">
        <f>Lista!F386</f>
        <v>0</v>
      </c>
      <c r="H387" s="125">
        <f>Lista!G386</f>
        <v>0</v>
      </c>
      <c r="I387" s="125">
        <f>Lista!H386</f>
        <v>0</v>
      </c>
      <c r="J387" s="125">
        <f>Lista!I386</f>
        <v>0</v>
      </c>
      <c r="K387" s="125">
        <f>Lista!J386</f>
        <v>0</v>
      </c>
      <c r="L387" s="125">
        <f>Lista!K386</f>
        <v>0</v>
      </c>
      <c r="M387" s="125">
        <f>Lista!L386</f>
        <v>0</v>
      </c>
      <c r="N387" s="125">
        <f>Lista!M386</f>
        <v>0</v>
      </c>
      <c r="O387" s="125">
        <f>Lista!N386</f>
        <v>0</v>
      </c>
      <c r="P387" s="125">
        <f>Lista!O386</f>
        <v>0</v>
      </c>
      <c r="Q387" s="125">
        <f>Lista!P386</f>
        <v>0</v>
      </c>
      <c r="R387" s="125">
        <f>Lista!Q386</f>
        <v>0</v>
      </c>
      <c r="S387" s="125">
        <f>Lista!R386</f>
        <v>0</v>
      </c>
      <c r="T387" s="81"/>
      <c r="U387" s="81"/>
      <c r="V387" s="81"/>
      <c r="W387" s="81"/>
      <c r="X387" s="81"/>
      <c r="Y387" s="81"/>
      <c r="Z387" s="81"/>
      <c r="AA387" s="81"/>
      <c r="AB387" s="81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  <c r="BS387" s="81"/>
      <c r="BT387" s="81"/>
      <c r="BU387" s="81"/>
      <c r="BV387" s="81"/>
      <c r="BW387" s="81"/>
      <c r="BX387" s="81"/>
      <c r="BY387" s="81"/>
      <c r="BZ387" s="81"/>
      <c r="CA387" s="81"/>
      <c r="CB387" s="81"/>
      <c r="CC387" s="81"/>
      <c r="CD387" s="81"/>
      <c r="CE387" s="81"/>
      <c r="CF387" s="81"/>
      <c r="CG387" s="81"/>
      <c r="CH387" s="81"/>
      <c r="CI387" s="81"/>
      <c r="CJ387" s="81"/>
      <c r="CK387" s="81"/>
      <c r="CL387" s="81"/>
      <c r="CM387" s="81"/>
      <c r="CN387" s="81"/>
      <c r="CO387" s="81"/>
      <c r="CP387" s="81"/>
      <c r="CQ387" s="81"/>
      <c r="CR387" s="81"/>
      <c r="CS387" s="81"/>
      <c r="CT387" s="81"/>
      <c r="CU387" s="81"/>
      <c r="CV387" s="81"/>
      <c r="CW387" s="81"/>
      <c r="CX387" s="81"/>
      <c r="CY387" s="81"/>
      <c r="CZ387" s="81"/>
      <c r="DA387" s="81"/>
      <c r="DB387" s="81"/>
      <c r="DC387" s="81"/>
      <c r="DD387" s="81"/>
      <c r="DE387" s="81"/>
      <c r="DF387" s="81"/>
      <c r="DG387" s="81"/>
      <c r="DH387" s="81"/>
      <c r="DI387" s="81"/>
      <c r="DJ387" s="81"/>
      <c r="DK387" s="81"/>
      <c r="DL387" s="81"/>
      <c r="DM387" s="81"/>
      <c r="DN387" s="81"/>
      <c r="DO387" s="81"/>
      <c r="DP387" s="81"/>
      <c r="DQ387" s="81"/>
      <c r="DR387" s="81"/>
      <c r="DS387" s="81"/>
      <c r="DT387" s="81"/>
      <c r="DU387" s="81"/>
      <c r="DV387" s="81"/>
      <c r="DW387" s="121"/>
    </row>
    <row r="388" spans="1:127" x14ac:dyDescent="0.25">
      <c r="A388" s="2">
        <f>COUNTIF($D$2:D388,'Reporte de Nomina'!$E$2)</f>
        <v>0</v>
      </c>
      <c r="B388" s="125">
        <f>Lista!A387</f>
        <v>0</v>
      </c>
      <c r="C388" s="125">
        <f>Lista!B387</f>
        <v>0</v>
      </c>
      <c r="D388" s="125">
        <f>Lista!C387</f>
        <v>0</v>
      </c>
      <c r="E388" s="125">
        <f>Lista!D387</f>
        <v>0</v>
      </c>
      <c r="F388" s="125">
        <f>Lista!E387</f>
        <v>0</v>
      </c>
      <c r="G388" s="125">
        <f>Lista!F387</f>
        <v>0</v>
      </c>
      <c r="H388" s="125">
        <f>Lista!G387</f>
        <v>0</v>
      </c>
      <c r="I388" s="125">
        <f>Lista!H387</f>
        <v>0</v>
      </c>
      <c r="J388" s="125">
        <f>Lista!I387</f>
        <v>0</v>
      </c>
      <c r="K388" s="125">
        <f>Lista!J387</f>
        <v>0</v>
      </c>
      <c r="L388" s="125">
        <f>Lista!K387</f>
        <v>0</v>
      </c>
      <c r="M388" s="125">
        <f>Lista!L387</f>
        <v>0</v>
      </c>
      <c r="N388" s="125">
        <f>Lista!M387</f>
        <v>0</v>
      </c>
      <c r="O388" s="125">
        <f>Lista!N387</f>
        <v>0</v>
      </c>
      <c r="P388" s="125">
        <f>Lista!O387</f>
        <v>0</v>
      </c>
      <c r="Q388" s="125">
        <f>Lista!P387</f>
        <v>0</v>
      </c>
      <c r="R388" s="125">
        <f>Lista!Q387</f>
        <v>0</v>
      </c>
      <c r="S388" s="125">
        <f>Lista!R387</f>
        <v>0</v>
      </c>
      <c r="T388" s="81"/>
      <c r="U388" s="81"/>
      <c r="V388" s="81"/>
      <c r="W388" s="81"/>
      <c r="X388" s="81"/>
      <c r="Y388" s="81"/>
      <c r="Z388" s="81"/>
      <c r="AA388" s="81"/>
      <c r="AB388" s="81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  <c r="BS388" s="81"/>
      <c r="BT388" s="81"/>
      <c r="BU388" s="81"/>
      <c r="BV388" s="81"/>
      <c r="BW388" s="81"/>
      <c r="BX388" s="81"/>
      <c r="BY388" s="81"/>
      <c r="BZ388" s="81"/>
      <c r="CA388" s="81"/>
      <c r="CB388" s="81"/>
      <c r="CC388" s="81"/>
      <c r="CD388" s="81"/>
      <c r="CE388" s="81"/>
      <c r="CF388" s="81"/>
      <c r="CG388" s="81"/>
      <c r="CH388" s="81"/>
      <c r="CI388" s="81"/>
      <c r="CJ388" s="81"/>
      <c r="CK388" s="81"/>
      <c r="CL388" s="81"/>
      <c r="CM388" s="81"/>
      <c r="CN388" s="81"/>
      <c r="CO388" s="81"/>
      <c r="CP388" s="81"/>
      <c r="CQ388" s="81"/>
      <c r="CR388" s="81"/>
      <c r="CS388" s="81"/>
      <c r="CT388" s="81"/>
      <c r="CU388" s="81"/>
      <c r="CV388" s="81"/>
      <c r="CW388" s="81"/>
      <c r="CX388" s="81"/>
      <c r="CY388" s="81"/>
      <c r="CZ388" s="81"/>
      <c r="DA388" s="81"/>
      <c r="DB388" s="81"/>
      <c r="DC388" s="81"/>
      <c r="DD388" s="81"/>
      <c r="DE388" s="81"/>
      <c r="DF388" s="81"/>
      <c r="DG388" s="81"/>
      <c r="DH388" s="81"/>
      <c r="DI388" s="81"/>
      <c r="DJ388" s="81"/>
      <c r="DK388" s="81"/>
      <c r="DL388" s="81"/>
      <c r="DM388" s="81"/>
      <c r="DN388" s="81"/>
      <c r="DO388" s="81"/>
      <c r="DP388" s="81"/>
      <c r="DQ388" s="81"/>
      <c r="DR388" s="81"/>
      <c r="DS388" s="81"/>
      <c r="DT388" s="81"/>
      <c r="DU388" s="81"/>
      <c r="DV388" s="81"/>
      <c r="DW388" s="121"/>
    </row>
    <row r="389" spans="1:127" x14ac:dyDescent="0.25">
      <c r="A389" s="2">
        <f>COUNTIF($D$2:D389,'Reporte de Nomina'!$E$2)</f>
        <v>0</v>
      </c>
      <c r="B389" s="125">
        <f>Lista!A388</f>
        <v>0</v>
      </c>
      <c r="C389" s="125">
        <f>Lista!B388</f>
        <v>0</v>
      </c>
      <c r="D389" s="125">
        <f>Lista!C388</f>
        <v>0</v>
      </c>
      <c r="E389" s="125">
        <f>Lista!D388</f>
        <v>0</v>
      </c>
      <c r="F389" s="125">
        <f>Lista!E388</f>
        <v>0</v>
      </c>
      <c r="G389" s="125">
        <f>Lista!F388</f>
        <v>0</v>
      </c>
      <c r="H389" s="125">
        <f>Lista!G388</f>
        <v>0</v>
      </c>
      <c r="I389" s="125">
        <f>Lista!H388</f>
        <v>0</v>
      </c>
      <c r="J389" s="125">
        <f>Lista!I388</f>
        <v>0</v>
      </c>
      <c r="K389" s="125">
        <f>Lista!J388</f>
        <v>0</v>
      </c>
      <c r="L389" s="125">
        <f>Lista!K388</f>
        <v>0</v>
      </c>
      <c r="M389" s="125">
        <f>Lista!L388</f>
        <v>0</v>
      </c>
      <c r="N389" s="125">
        <f>Lista!M388</f>
        <v>0</v>
      </c>
      <c r="O389" s="125">
        <f>Lista!N388</f>
        <v>0</v>
      </c>
      <c r="P389" s="125">
        <f>Lista!O388</f>
        <v>0</v>
      </c>
      <c r="Q389" s="125">
        <f>Lista!P388</f>
        <v>0</v>
      </c>
      <c r="R389" s="125">
        <f>Lista!Q388</f>
        <v>0</v>
      </c>
      <c r="S389" s="125">
        <f>Lista!R388</f>
        <v>0</v>
      </c>
      <c r="T389" s="81"/>
      <c r="U389" s="81"/>
      <c r="V389" s="81"/>
      <c r="W389" s="81"/>
      <c r="X389" s="81"/>
      <c r="Y389" s="81"/>
      <c r="Z389" s="81"/>
      <c r="AA389" s="81"/>
      <c r="AB389" s="81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  <c r="BS389" s="81"/>
      <c r="BT389" s="81"/>
      <c r="BU389" s="81"/>
      <c r="BV389" s="81"/>
      <c r="BW389" s="81"/>
      <c r="BX389" s="81"/>
      <c r="BY389" s="81"/>
      <c r="BZ389" s="81"/>
      <c r="CA389" s="81"/>
      <c r="CB389" s="81"/>
      <c r="CC389" s="81"/>
      <c r="CD389" s="81"/>
      <c r="CE389" s="81"/>
      <c r="CF389" s="81"/>
      <c r="CG389" s="81"/>
      <c r="CH389" s="81"/>
      <c r="CI389" s="81"/>
      <c r="CJ389" s="81"/>
      <c r="CK389" s="81"/>
      <c r="CL389" s="81"/>
      <c r="CM389" s="81"/>
      <c r="CN389" s="81"/>
      <c r="CO389" s="81"/>
      <c r="CP389" s="81"/>
      <c r="CQ389" s="81"/>
      <c r="CR389" s="81"/>
      <c r="CS389" s="81"/>
      <c r="CT389" s="81"/>
      <c r="CU389" s="81"/>
      <c r="CV389" s="81"/>
      <c r="CW389" s="81"/>
      <c r="CX389" s="81"/>
      <c r="CY389" s="81"/>
      <c r="CZ389" s="81"/>
      <c r="DA389" s="81"/>
      <c r="DB389" s="81"/>
      <c r="DC389" s="81"/>
      <c r="DD389" s="81"/>
      <c r="DE389" s="81"/>
      <c r="DF389" s="81"/>
      <c r="DG389" s="81"/>
      <c r="DH389" s="81"/>
      <c r="DI389" s="81"/>
      <c r="DJ389" s="81"/>
      <c r="DK389" s="81"/>
      <c r="DL389" s="81"/>
      <c r="DM389" s="81"/>
      <c r="DN389" s="81"/>
      <c r="DO389" s="81"/>
      <c r="DP389" s="81"/>
      <c r="DQ389" s="81"/>
      <c r="DR389" s="81"/>
      <c r="DS389" s="81"/>
      <c r="DT389" s="81"/>
      <c r="DU389" s="81"/>
      <c r="DV389" s="81"/>
      <c r="DW389" s="121"/>
    </row>
    <row r="390" spans="1:127" x14ac:dyDescent="0.25">
      <c r="A390" s="2">
        <f>COUNTIF($D$2:D390,'Reporte de Nomina'!$E$2)</f>
        <v>0</v>
      </c>
      <c r="B390" s="125">
        <f>Lista!A389</f>
        <v>0</v>
      </c>
      <c r="C390" s="125">
        <f>Lista!B389</f>
        <v>0</v>
      </c>
      <c r="D390" s="125">
        <f>Lista!C389</f>
        <v>0</v>
      </c>
      <c r="E390" s="125">
        <f>Lista!D389</f>
        <v>0</v>
      </c>
      <c r="F390" s="125">
        <f>Lista!E389</f>
        <v>0</v>
      </c>
      <c r="G390" s="125">
        <f>Lista!F389</f>
        <v>0</v>
      </c>
      <c r="H390" s="125">
        <f>Lista!G389</f>
        <v>0</v>
      </c>
      <c r="I390" s="125">
        <f>Lista!H389</f>
        <v>0</v>
      </c>
      <c r="J390" s="125">
        <f>Lista!I389</f>
        <v>0</v>
      </c>
      <c r="K390" s="125">
        <f>Lista!J389</f>
        <v>0</v>
      </c>
      <c r="L390" s="125">
        <f>Lista!K389</f>
        <v>0</v>
      </c>
      <c r="M390" s="125">
        <f>Lista!L389</f>
        <v>0</v>
      </c>
      <c r="N390" s="125">
        <f>Lista!M389</f>
        <v>0</v>
      </c>
      <c r="O390" s="125">
        <f>Lista!N389</f>
        <v>0</v>
      </c>
      <c r="P390" s="125">
        <f>Lista!O389</f>
        <v>0</v>
      </c>
      <c r="Q390" s="125">
        <f>Lista!P389</f>
        <v>0</v>
      </c>
      <c r="R390" s="125">
        <f>Lista!Q389</f>
        <v>0</v>
      </c>
      <c r="S390" s="125">
        <f>Lista!R389</f>
        <v>0</v>
      </c>
      <c r="T390" s="81"/>
      <c r="U390" s="81"/>
      <c r="V390" s="81"/>
      <c r="W390" s="81"/>
      <c r="X390" s="81"/>
      <c r="Y390" s="81"/>
      <c r="Z390" s="81"/>
      <c r="AA390" s="81"/>
      <c r="AB390" s="81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  <c r="BS390" s="81"/>
      <c r="BT390" s="81"/>
      <c r="BU390" s="81"/>
      <c r="BV390" s="81"/>
      <c r="BW390" s="81"/>
      <c r="BX390" s="81"/>
      <c r="BY390" s="81"/>
      <c r="BZ390" s="81"/>
      <c r="CA390" s="81"/>
      <c r="CB390" s="81"/>
      <c r="CC390" s="81"/>
      <c r="CD390" s="81"/>
      <c r="CE390" s="81"/>
      <c r="CF390" s="81"/>
      <c r="CG390" s="81"/>
      <c r="CH390" s="81"/>
      <c r="CI390" s="81"/>
      <c r="CJ390" s="81"/>
      <c r="CK390" s="81"/>
      <c r="CL390" s="81"/>
      <c r="CM390" s="81"/>
      <c r="CN390" s="81"/>
      <c r="CO390" s="81"/>
      <c r="CP390" s="81"/>
      <c r="CQ390" s="81"/>
      <c r="CR390" s="81"/>
      <c r="CS390" s="81"/>
      <c r="CT390" s="81"/>
      <c r="CU390" s="81"/>
      <c r="CV390" s="81"/>
      <c r="CW390" s="81"/>
      <c r="CX390" s="81"/>
      <c r="CY390" s="81"/>
      <c r="CZ390" s="81"/>
      <c r="DA390" s="81"/>
      <c r="DB390" s="81"/>
      <c r="DC390" s="81"/>
      <c r="DD390" s="81"/>
      <c r="DE390" s="81"/>
      <c r="DF390" s="81"/>
      <c r="DG390" s="81"/>
      <c r="DH390" s="81"/>
      <c r="DI390" s="81"/>
      <c r="DJ390" s="81"/>
      <c r="DK390" s="81"/>
      <c r="DL390" s="81"/>
      <c r="DM390" s="81"/>
      <c r="DN390" s="81"/>
      <c r="DO390" s="81"/>
      <c r="DP390" s="81"/>
      <c r="DQ390" s="81"/>
      <c r="DR390" s="81"/>
      <c r="DS390" s="81"/>
      <c r="DT390" s="81"/>
      <c r="DU390" s="81"/>
      <c r="DV390" s="81"/>
      <c r="DW390" s="121"/>
    </row>
    <row r="391" spans="1:127" x14ac:dyDescent="0.25">
      <c r="A391" s="2">
        <f>COUNTIF($D$2:D391,'Reporte de Nomina'!$E$2)</f>
        <v>0</v>
      </c>
      <c r="B391" s="125">
        <f>Lista!A390</f>
        <v>0</v>
      </c>
      <c r="C391" s="125">
        <f>Lista!B390</f>
        <v>0</v>
      </c>
      <c r="D391" s="125">
        <f>Lista!C390</f>
        <v>0</v>
      </c>
      <c r="E391" s="125">
        <f>Lista!D390</f>
        <v>0</v>
      </c>
      <c r="F391" s="125">
        <f>Lista!E390</f>
        <v>0</v>
      </c>
      <c r="G391" s="125">
        <f>Lista!F390</f>
        <v>0</v>
      </c>
      <c r="H391" s="125">
        <f>Lista!G390</f>
        <v>0</v>
      </c>
      <c r="I391" s="125">
        <f>Lista!H390</f>
        <v>0</v>
      </c>
      <c r="J391" s="125">
        <f>Lista!I390</f>
        <v>0</v>
      </c>
      <c r="K391" s="125">
        <f>Lista!J390</f>
        <v>0</v>
      </c>
      <c r="L391" s="125">
        <f>Lista!K390</f>
        <v>0</v>
      </c>
      <c r="M391" s="125">
        <f>Lista!L390</f>
        <v>0</v>
      </c>
      <c r="N391" s="125">
        <f>Lista!M390</f>
        <v>0</v>
      </c>
      <c r="O391" s="125">
        <f>Lista!N390</f>
        <v>0</v>
      </c>
      <c r="P391" s="125">
        <f>Lista!O390</f>
        <v>0</v>
      </c>
      <c r="Q391" s="125">
        <f>Lista!P390</f>
        <v>0</v>
      </c>
      <c r="R391" s="125">
        <f>Lista!Q390</f>
        <v>0</v>
      </c>
      <c r="S391" s="125">
        <f>Lista!R390</f>
        <v>0</v>
      </c>
      <c r="T391" s="81"/>
      <c r="U391" s="81"/>
      <c r="V391" s="81"/>
      <c r="W391" s="81"/>
      <c r="X391" s="81"/>
      <c r="Y391" s="81"/>
      <c r="Z391" s="81"/>
      <c r="AA391" s="81"/>
      <c r="AB391" s="81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  <c r="BS391" s="81"/>
      <c r="BT391" s="81"/>
      <c r="BU391" s="81"/>
      <c r="BV391" s="81"/>
      <c r="BW391" s="81"/>
      <c r="BX391" s="81"/>
      <c r="BY391" s="81"/>
      <c r="BZ391" s="81"/>
      <c r="CA391" s="81"/>
      <c r="CB391" s="81"/>
      <c r="CC391" s="81"/>
      <c r="CD391" s="81"/>
      <c r="CE391" s="81"/>
      <c r="CF391" s="81"/>
      <c r="CG391" s="81"/>
      <c r="CH391" s="81"/>
      <c r="CI391" s="81"/>
      <c r="CJ391" s="81"/>
      <c r="CK391" s="81"/>
      <c r="CL391" s="81"/>
      <c r="CM391" s="81"/>
      <c r="CN391" s="81"/>
      <c r="CO391" s="81"/>
      <c r="CP391" s="81"/>
      <c r="CQ391" s="81"/>
      <c r="CR391" s="81"/>
      <c r="CS391" s="81"/>
      <c r="CT391" s="81"/>
      <c r="CU391" s="81"/>
      <c r="CV391" s="81"/>
      <c r="CW391" s="81"/>
      <c r="CX391" s="81"/>
      <c r="CY391" s="81"/>
      <c r="CZ391" s="81"/>
      <c r="DA391" s="81"/>
      <c r="DB391" s="81"/>
      <c r="DC391" s="81"/>
      <c r="DD391" s="81"/>
      <c r="DE391" s="81"/>
      <c r="DF391" s="81"/>
      <c r="DG391" s="81"/>
      <c r="DH391" s="81"/>
      <c r="DI391" s="81"/>
      <c r="DJ391" s="81"/>
      <c r="DK391" s="81"/>
      <c r="DL391" s="81"/>
      <c r="DM391" s="81"/>
      <c r="DN391" s="81"/>
      <c r="DO391" s="81"/>
      <c r="DP391" s="81"/>
      <c r="DQ391" s="81"/>
      <c r="DR391" s="81"/>
      <c r="DS391" s="81"/>
      <c r="DT391" s="81"/>
      <c r="DU391" s="81"/>
      <c r="DV391" s="81"/>
      <c r="DW391" s="121"/>
    </row>
    <row r="392" spans="1:127" x14ac:dyDescent="0.25">
      <c r="A392" s="2">
        <f>COUNTIF($D$2:D392,'Reporte de Nomina'!$E$2)</f>
        <v>0</v>
      </c>
      <c r="B392" s="125">
        <f>Lista!A391</f>
        <v>0</v>
      </c>
      <c r="C392" s="125">
        <f>Lista!B391</f>
        <v>0</v>
      </c>
      <c r="D392" s="125">
        <f>Lista!C391</f>
        <v>0</v>
      </c>
      <c r="E392" s="125">
        <f>Lista!D391</f>
        <v>0</v>
      </c>
      <c r="F392" s="125">
        <f>Lista!E391</f>
        <v>0</v>
      </c>
      <c r="G392" s="125">
        <f>Lista!F391</f>
        <v>0</v>
      </c>
      <c r="H392" s="125">
        <f>Lista!G391</f>
        <v>0</v>
      </c>
      <c r="I392" s="125">
        <f>Lista!H391</f>
        <v>0</v>
      </c>
      <c r="J392" s="125">
        <f>Lista!I391</f>
        <v>0</v>
      </c>
      <c r="K392" s="125">
        <f>Lista!J391</f>
        <v>0</v>
      </c>
      <c r="L392" s="125">
        <f>Lista!K391</f>
        <v>0</v>
      </c>
      <c r="M392" s="125">
        <f>Lista!L391</f>
        <v>0</v>
      </c>
      <c r="N392" s="125">
        <f>Lista!M391</f>
        <v>0</v>
      </c>
      <c r="O392" s="125">
        <f>Lista!N391</f>
        <v>0</v>
      </c>
      <c r="P392" s="125">
        <f>Lista!O391</f>
        <v>0</v>
      </c>
      <c r="Q392" s="125">
        <f>Lista!P391</f>
        <v>0</v>
      </c>
      <c r="R392" s="125">
        <f>Lista!Q391</f>
        <v>0</v>
      </c>
      <c r="S392" s="125">
        <f>Lista!R391</f>
        <v>0</v>
      </c>
      <c r="T392" s="81"/>
      <c r="U392" s="81"/>
      <c r="V392" s="81"/>
      <c r="W392" s="81"/>
      <c r="X392" s="81"/>
      <c r="Y392" s="81"/>
      <c r="Z392" s="81"/>
      <c r="AA392" s="81"/>
      <c r="AB392" s="81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  <c r="BS392" s="81"/>
      <c r="BT392" s="81"/>
      <c r="BU392" s="81"/>
      <c r="BV392" s="81"/>
      <c r="BW392" s="81"/>
      <c r="BX392" s="81"/>
      <c r="BY392" s="81"/>
      <c r="BZ392" s="81"/>
      <c r="CA392" s="81"/>
      <c r="CB392" s="81"/>
      <c r="CC392" s="81"/>
      <c r="CD392" s="81"/>
      <c r="CE392" s="81"/>
      <c r="CF392" s="81"/>
      <c r="CG392" s="81"/>
      <c r="CH392" s="81"/>
      <c r="CI392" s="81"/>
      <c r="CJ392" s="81"/>
      <c r="CK392" s="81"/>
      <c r="CL392" s="81"/>
      <c r="CM392" s="81"/>
      <c r="CN392" s="81"/>
      <c r="CO392" s="81"/>
      <c r="CP392" s="81"/>
      <c r="CQ392" s="81"/>
      <c r="CR392" s="81"/>
      <c r="CS392" s="81"/>
      <c r="CT392" s="81"/>
      <c r="CU392" s="81"/>
      <c r="CV392" s="81"/>
      <c r="CW392" s="81"/>
      <c r="CX392" s="81"/>
      <c r="CY392" s="81"/>
      <c r="CZ392" s="81"/>
      <c r="DA392" s="81"/>
      <c r="DB392" s="81"/>
      <c r="DC392" s="81"/>
      <c r="DD392" s="81"/>
      <c r="DE392" s="81"/>
      <c r="DF392" s="81"/>
      <c r="DG392" s="81"/>
      <c r="DH392" s="81"/>
      <c r="DI392" s="81"/>
      <c r="DJ392" s="81"/>
      <c r="DK392" s="81"/>
      <c r="DL392" s="81"/>
      <c r="DM392" s="81"/>
      <c r="DN392" s="81"/>
      <c r="DO392" s="81"/>
      <c r="DP392" s="81"/>
      <c r="DQ392" s="81"/>
      <c r="DR392" s="81"/>
      <c r="DS392" s="81"/>
      <c r="DT392" s="81"/>
      <c r="DU392" s="81"/>
      <c r="DV392" s="81"/>
      <c r="DW392" s="121"/>
    </row>
    <row r="393" spans="1:127" x14ac:dyDescent="0.25">
      <c r="A393" s="2">
        <f>COUNTIF($D$2:D393,'Reporte de Nomina'!$E$2)</f>
        <v>0</v>
      </c>
      <c r="B393" s="125">
        <f>Lista!A392</f>
        <v>0</v>
      </c>
      <c r="C393" s="125">
        <f>Lista!B392</f>
        <v>0</v>
      </c>
      <c r="D393" s="125">
        <f>Lista!C392</f>
        <v>0</v>
      </c>
      <c r="E393" s="125">
        <f>Lista!D392</f>
        <v>0</v>
      </c>
      <c r="F393" s="125">
        <f>Lista!E392</f>
        <v>0</v>
      </c>
      <c r="G393" s="125">
        <f>Lista!F392</f>
        <v>0</v>
      </c>
      <c r="H393" s="125">
        <f>Lista!G392</f>
        <v>0</v>
      </c>
      <c r="I393" s="125">
        <f>Lista!H392</f>
        <v>0</v>
      </c>
      <c r="J393" s="125">
        <f>Lista!I392</f>
        <v>0</v>
      </c>
      <c r="K393" s="125">
        <f>Lista!J392</f>
        <v>0</v>
      </c>
      <c r="L393" s="125">
        <f>Lista!K392</f>
        <v>0</v>
      </c>
      <c r="M393" s="125">
        <f>Lista!L392</f>
        <v>0</v>
      </c>
      <c r="N393" s="125">
        <f>Lista!M392</f>
        <v>0</v>
      </c>
      <c r="O393" s="125">
        <f>Lista!N392</f>
        <v>0</v>
      </c>
      <c r="P393" s="125">
        <f>Lista!O392</f>
        <v>0</v>
      </c>
      <c r="Q393" s="125">
        <f>Lista!P392</f>
        <v>0</v>
      </c>
      <c r="R393" s="125">
        <f>Lista!Q392</f>
        <v>0</v>
      </c>
      <c r="S393" s="125">
        <f>Lista!R392</f>
        <v>0</v>
      </c>
      <c r="T393" s="81"/>
      <c r="U393" s="81"/>
      <c r="V393" s="81"/>
      <c r="W393" s="81"/>
      <c r="X393" s="81"/>
      <c r="Y393" s="81"/>
      <c r="Z393" s="81"/>
      <c r="AA393" s="81"/>
      <c r="AB393" s="81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  <c r="BS393" s="81"/>
      <c r="BT393" s="81"/>
      <c r="BU393" s="81"/>
      <c r="BV393" s="81"/>
      <c r="BW393" s="81"/>
      <c r="BX393" s="81"/>
      <c r="BY393" s="81"/>
      <c r="BZ393" s="81"/>
      <c r="CA393" s="81"/>
      <c r="CB393" s="81"/>
      <c r="CC393" s="81"/>
      <c r="CD393" s="81"/>
      <c r="CE393" s="81"/>
      <c r="CF393" s="81"/>
      <c r="CG393" s="81"/>
      <c r="CH393" s="81"/>
      <c r="CI393" s="81"/>
      <c r="CJ393" s="81"/>
      <c r="CK393" s="81"/>
      <c r="CL393" s="81"/>
      <c r="CM393" s="81"/>
      <c r="CN393" s="81"/>
      <c r="CO393" s="81"/>
      <c r="CP393" s="81"/>
      <c r="CQ393" s="81"/>
      <c r="CR393" s="81"/>
      <c r="CS393" s="81"/>
      <c r="CT393" s="81"/>
      <c r="CU393" s="81"/>
      <c r="CV393" s="81"/>
      <c r="CW393" s="81"/>
      <c r="CX393" s="81"/>
      <c r="CY393" s="81"/>
      <c r="CZ393" s="81"/>
      <c r="DA393" s="81"/>
      <c r="DB393" s="81"/>
      <c r="DC393" s="81"/>
      <c r="DD393" s="81"/>
      <c r="DE393" s="81"/>
      <c r="DF393" s="81"/>
      <c r="DG393" s="81"/>
      <c r="DH393" s="81"/>
      <c r="DI393" s="81"/>
      <c r="DJ393" s="81"/>
      <c r="DK393" s="81"/>
      <c r="DL393" s="81"/>
      <c r="DM393" s="81"/>
      <c r="DN393" s="81"/>
      <c r="DO393" s="81"/>
      <c r="DP393" s="81"/>
      <c r="DQ393" s="81"/>
      <c r="DR393" s="81"/>
      <c r="DS393" s="81"/>
      <c r="DT393" s="81"/>
      <c r="DU393" s="81"/>
      <c r="DV393" s="81"/>
      <c r="DW393" s="121"/>
    </row>
    <row r="394" spans="1:127" x14ac:dyDescent="0.25">
      <c r="A394" s="2">
        <f>COUNTIF($D$2:D394,'Reporte de Nomina'!$E$2)</f>
        <v>0</v>
      </c>
      <c r="B394" s="125">
        <f>Lista!A393</f>
        <v>0</v>
      </c>
      <c r="C394" s="125">
        <f>Lista!B393</f>
        <v>0</v>
      </c>
      <c r="D394" s="125">
        <f>Lista!C393</f>
        <v>0</v>
      </c>
      <c r="E394" s="125">
        <f>Lista!D393</f>
        <v>0</v>
      </c>
      <c r="F394" s="125">
        <f>Lista!E393</f>
        <v>0</v>
      </c>
      <c r="G394" s="125">
        <f>Lista!F393</f>
        <v>0</v>
      </c>
      <c r="H394" s="125">
        <f>Lista!G393</f>
        <v>0</v>
      </c>
      <c r="I394" s="125">
        <f>Lista!H393</f>
        <v>0</v>
      </c>
      <c r="J394" s="125">
        <f>Lista!I393</f>
        <v>0</v>
      </c>
      <c r="K394" s="125">
        <f>Lista!J393</f>
        <v>0</v>
      </c>
      <c r="L394" s="125">
        <f>Lista!K393</f>
        <v>0</v>
      </c>
      <c r="M394" s="125">
        <f>Lista!L393</f>
        <v>0</v>
      </c>
      <c r="N394" s="125">
        <f>Lista!M393</f>
        <v>0</v>
      </c>
      <c r="O394" s="125">
        <f>Lista!N393</f>
        <v>0</v>
      </c>
      <c r="P394" s="125">
        <f>Lista!O393</f>
        <v>0</v>
      </c>
      <c r="Q394" s="125">
        <f>Lista!P393</f>
        <v>0</v>
      </c>
      <c r="R394" s="125">
        <f>Lista!Q393</f>
        <v>0</v>
      </c>
      <c r="S394" s="125">
        <f>Lista!R393</f>
        <v>0</v>
      </c>
      <c r="T394" s="81"/>
      <c r="U394" s="81"/>
      <c r="V394" s="81"/>
      <c r="W394" s="81"/>
      <c r="X394" s="81"/>
      <c r="Y394" s="81"/>
      <c r="Z394" s="81"/>
      <c r="AA394" s="81"/>
      <c r="AB394" s="81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  <c r="BS394" s="81"/>
      <c r="BT394" s="81"/>
      <c r="BU394" s="81"/>
      <c r="BV394" s="81"/>
      <c r="BW394" s="81"/>
      <c r="BX394" s="81"/>
      <c r="BY394" s="81"/>
      <c r="BZ394" s="81"/>
      <c r="CA394" s="81"/>
      <c r="CB394" s="81"/>
      <c r="CC394" s="81"/>
      <c r="CD394" s="81"/>
      <c r="CE394" s="81"/>
      <c r="CF394" s="81"/>
      <c r="CG394" s="81"/>
      <c r="CH394" s="81"/>
      <c r="CI394" s="81"/>
      <c r="CJ394" s="81"/>
      <c r="CK394" s="81"/>
      <c r="CL394" s="81"/>
      <c r="CM394" s="81"/>
      <c r="CN394" s="81"/>
      <c r="CO394" s="81"/>
      <c r="CP394" s="81"/>
      <c r="CQ394" s="81"/>
      <c r="CR394" s="81"/>
      <c r="CS394" s="81"/>
      <c r="CT394" s="81"/>
      <c r="CU394" s="81"/>
      <c r="CV394" s="81"/>
      <c r="CW394" s="81"/>
      <c r="CX394" s="81"/>
      <c r="CY394" s="81"/>
      <c r="CZ394" s="81"/>
      <c r="DA394" s="81"/>
      <c r="DB394" s="81"/>
      <c r="DC394" s="81"/>
      <c r="DD394" s="81"/>
      <c r="DE394" s="81"/>
      <c r="DF394" s="81"/>
      <c r="DG394" s="81"/>
      <c r="DH394" s="81"/>
      <c r="DI394" s="81"/>
      <c r="DJ394" s="81"/>
      <c r="DK394" s="81"/>
      <c r="DL394" s="81"/>
      <c r="DM394" s="81"/>
      <c r="DN394" s="81"/>
      <c r="DO394" s="81"/>
      <c r="DP394" s="81"/>
      <c r="DQ394" s="81"/>
      <c r="DR394" s="81"/>
      <c r="DS394" s="81"/>
      <c r="DT394" s="81"/>
      <c r="DU394" s="81"/>
      <c r="DV394" s="81"/>
      <c r="DW394" s="121"/>
    </row>
    <row r="395" spans="1:127" x14ac:dyDescent="0.25">
      <c r="A395" s="2">
        <f>COUNTIF($D$2:D395,'Reporte de Nomina'!$E$2)</f>
        <v>0</v>
      </c>
      <c r="B395" s="125">
        <f>Lista!A394</f>
        <v>0</v>
      </c>
      <c r="C395" s="125">
        <f>Lista!B394</f>
        <v>0</v>
      </c>
      <c r="D395" s="125">
        <f>Lista!C394</f>
        <v>0</v>
      </c>
      <c r="E395" s="125">
        <f>Lista!D394</f>
        <v>0</v>
      </c>
      <c r="F395" s="125">
        <f>Lista!E394</f>
        <v>0</v>
      </c>
      <c r="G395" s="125">
        <f>Lista!F394</f>
        <v>0</v>
      </c>
      <c r="H395" s="125">
        <f>Lista!G394</f>
        <v>0</v>
      </c>
      <c r="I395" s="125">
        <f>Lista!H394</f>
        <v>0</v>
      </c>
      <c r="J395" s="125">
        <f>Lista!I394</f>
        <v>0</v>
      </c>
      <c r="K395" s="125">
        <f>Lista!J394</f>
        <v>0</v>
      </c>
      <c r="L395" s="125">
        <f>Lista!K394</f>
        <v>0</v>
      </c>
      <c r="M395" s="125">
        <f>Lista!L394</f>
        <v>0</v>
      </c>
      <c r="N395" s="125">
        <f>Lista!M394</f>
        <v>0</v>
      </c>
      <c r="O395" s="125">
        <f>Lista!N394</f>
        <v>0</v>
      </c>
      <c r="P395" s="125">
        <f>Lista!O394</f>
        <v>0</v>
      </c>
      <c r="Q395" s="125">
        <f>Lista!P394</f>
        <v>0</v>
      </c>
      <c r="R395" s="125">
        <f>Lista!Q394</f>
        <v>0</v>
      </c>
      <c r="S395" s="125">
        <f>Lista!R394</f>
        <v>0</v>
      </c>
      <c r="T395" s="81"/>
      <c r="U395" s="81"/>
      <c r="V395" s="81"/>
      <c r="W395" s="81"/>
      <c r="X395" s="81"/>
      <c r="Y395" s="81"/>
      <c r="Z395" s="81"/>
      <c r="AA395" s="81"/>
      <c r="AB395" s="81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  <c r="BS395" s="81"/>
      <c r="BT395" s="81"/>
      <c r="BU395" s="81"/>
      <c r="BV395" s="81"/>
      <c r="BW395" s="81"/>
      <c r="BX395" s="81"/>
      <c r="BY395" s="81"/>
      <c r="BZ395" s="81"/>
      <c r="CA395" s="81"/>
      <c r="CB395" s="81"/>
      <c r="CC395" s="81"/>
      <c r="CD395" s="81"/>
      <c r="CE395" s="81"/>
      <c r="CF395" s="81"/>
      <c r="CG395" s="81"/>
      <c r="CH395" s="81"/>
      <c r="CI395" s="81"/>
      <c r="CJ395" s="81"/>
      <c r="CK395" s="81"/>
      <c r="CL395" s="81"/>
      <c r="CM395" s="81"/>
      <c r="CN395" s="81"/>
      <c r="CO395" s="81"/>
      <c r="CP395" s="81"/>
      <c r="CQ395" s="81"/>
      <c r="CR395" s="81"/>
      <c r="CS395" s="81"/>
      <c r="CT395" s="81"/>
      <c r="CU395" s="81"/>
      <c r="CV395" s="81"/>
      <c r="CW395" s="81"/>
      <c r="CX395" s="81"/>
      <c r="CY395" s="81"/>
      <c r="CZ395" s="81"/>
      <c r="DA395" s="81"/>
      <c r="DB395" s="81"/>
      <c r="DC395" s="81"/>
      <c r="DD395" s="81"/>
      <c r="DE395" s="81"/>
      <c r="DF395" s="81"/>
      <c r="DG395" s="81"/>
      <c r="DH395" s="81"/>
      <c r="DI395" s="81"/>
      <c r="DJ395" s="81"/>
      <c r="DK395" s="81"/>
      <c r="DL395" s="81"/>
      <c r="DM395" s="81"/>
      <c r="DN395" s="81"/>
      <c r="DO395" s="81"/>
      <c r="DP395" s="81"/>
      <c r="DQ395" s="81"/>
      <c r="DR395" s="81"/>
      <c r="DS395" s="81"/>
      <c r="DT395" s="81"/>
      <c r="DU395" s="81"/>
      <c r="DV395" s="81"/>
      <c r="DW395" s="121"/>
    </row>
    <row r="396" spans="1:127" x14ac:dyDescent="0.25">
      <c r="A396" s="2">
        <f>COUNTIF($D$2:D396,'Reporte de Nomina'!$E$2)</f>
        <v>0</v>
      </c>
      <c r="B396" s="125">
        <f>Lista!A395</f>
        <v>0</v>
      </c>
      <c r="C396" s="125">
        <f>Lista!B395</f>
        <v>0</v>
      </c>
      <c r="D396" s="125">
        <f>Lista!C395</f>
        <v>0</v>
      </c>
      <c r="E396" s="125">
        <f>Lista!D395</f>
        <v>0</v>
      </c>
      <c r="F396" s="125">
        <f>Lista!E395</f>
        <v>0</v>
      </c>
      <c r="G396" s="125">
        <f>Lista!F395</f>
        <v>0</v>
      </c>
      <c r="H396" s="125">
        <f>Lista!G395</f>
        <v>0</v>
      </c>
      <c r="I396" s="125">
        <f>Lista!H395</f>
        <v>0</v>
      </c>
      <c r="J396" s="125">
        <f>Lista!I395</f>
        <v>0</v>
      </c>
      <c r="K396" s="125">
        <f>Lista!J395</f>
        <v>0</v>
      </c>
      <c r="L396" s="125">
        <f>Lista!K395</f>
        <v>0</v>
      </c>
      <c r="M396" s="125">
        <f>Lista!L395</f>
        <v>0</v>
      </c>
      <c r="N396" s="125">
        <f>Lista!M395</f>
        <v>0</v>
      </c>
      <c r="O396" s="125">
        <f>Lista!N395</f>
        <v>0</v>
      </c>
      <c r="P396" s="125">
        <f>Lista!O395</f>
        <v>0</v>
      </c>
      <c r="Q396" s="125">
        <f>Lista!P395</f>
        <v>0</v>
      </c>
      <c r="R396" s="125">
        <f>Lista!Q395</f>
        <v>0</v>
      </c>
      <c r="S396" s="125">
        <f>Lista!R395</f>
        <v>0</v>
      </c>
      <c r="T396" s="81"/>
      <c r="U396" s="81"/>
      <c r="V396" s="81"/>
      <c r="W396" s="81"/>
      <c r="X396" s="81"/>
      <c r="Y396" s="81"/>
      <c r="Z396" s="81"/>
      <c r="AA396" s="81"/>
      <c r="AB396" s="81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  <c r="BS396" s="81"/>
      <c r="BT396" s="81"/>
      <c r="BU396" s="81"/>
      <c r="BV396" s="81"/>
      <c r="BW396" s="81"/>
      <c r="BX396" s="81"/>
      <c r="BY396" s="81"/>
      <c r="BZ396" s="81"/>
      <c r="CA396" s="81"/>
      <c r="CB396" s="81"/>
      <c r="CC396" s="81"/>
      <c r="CD396" s="81"/>
      <c r="CE396" s="81"/>
      <c r="CF396" s="81"/>
      <c r="CG396" s="81"/>
      <c r="CH396" s="81"/>
      <c r="CI396" s="81"/>
      <c r="CJ396" s="81"/>
      <c r="CK396" s="81"/>
      <c r="CL396" s="81"/>
      <c r="CM396" s="81"/>
      <c r="CN396" s="81"/>
      <c r="CO396" s="81"/>
      <c r="CP396" s="81"/>
      <c r="CQ396" s="81"/>
      <c r="CR396" s="81"/>
      <c r="CS396" s="81"/>
      <c r="CT396" s="81"/>
      <c r="CU396" s="81"/>
      <c r="CV396" s="81"/>
      <c r="CW396" s="81"/>
      <c r="CX396" s="81"/>
      <c r="CY396" s="81"/>
      <c r="CZ396" s="81"/>
      <c r="DA396" s="81"/>
      <c r="DB396" s="81"/>
      <c r="DC396" s="81"/>
      <c r="DD396" s="81"/>
      <c r="DE396" s="81"/>
      <c r="DF396" s="81"/>
      <c r="DG396" s="81"/>
      <c r="DH396" s="81"/>
      <c r="DI396" s="81"/>
      <c r="DJ396" s="81"/>
      <c r="DK396" s="81"/>
      <c r="DL396" s="81"/>
      <c r="DM396" s="81"/>
      <c r="DN396" s="81"/>
      <c r="DO396" s="81"/>
      <c r="DP396" s="81"/>
      <c r="DQ396" s="81"/>
      <c r="DR396" s="81"/>
      <c r="DS396" s="81"/>
      <c r="DT396" s="81"/>
      <c r="DU396" s="81"/>
      <c r="DV396" s="81"/>
      <c r="DW396" s="121"/>
    </row>
    <row r="397" spans="1:127" x14ac:dyDescent="0.25">
      <c r="A397" s="2">
        <f>COUNTIF($D$2:D397,'Reporte de Nomina'!$E$2)</f>
        <v>0</v>
      </c>
      <c r="B397" s="125">
        <f>Lista!A396</f>
        <v>0</v>
      </c>
      <c r="C397" s="125">
        <f>Lista!B396</f>
        <v>0</v>
      </c>
      <c r="D397" s="125">
        <f>Lista!C396</f>
        <v>0</v>
      </c>
      <c r="E397" s="125">
        <f>Lista!D396</f>
        <v>0</v>
      </c>
      <c r="F397" s="125">
        <f>Lista!E396</f>
        <v>0</v>
      </c>
      <c r="G397" s="125">
        <f>Lista!F396</f>
        <v>0</v>
      </c>
      <c r="H397" s="125">
        <f>Lista!G396</f>
        <v>0</v>
      </c>
      <c r="I397" s="125">
        <f>Lista!H396</f>
        <v>0</v>
      </c>
      <c r="J397" s="125">
        <f>Lista!I396</f>
        <v>0</v>
      </c>
      <c r="K397" s="125">
        <f>Lista!J396</f>
        <v>0</v>
      </c>
      <c r="L397" s="125">
        <f>Lista!K396</f>
        <v>0</v>
      </c>
      <c r="M397" s="125">
        <f>Lista!L396</f>
        <v>0</v>
      </c>
      <c r="N397" s="125">
        <f>Lista!M396</f>
        <v>0</v>
      </c>
      <c r="O397" s="125">
        <f>Lista!N396</f>
        <v>0</v>
      </c>
      <c r="P397" s="125">
        <f>Lista!O396</f>
        <v>0</v>
      </c>
      <c r="Q397" s="125">
        <f>Lista!P396</f>
        <v>0</v>
      </c>
      <c r="R397" s="125">
        <f>Lista!Q396</f>
        <v>0</v>
      </c>
      <c r="S397" s="125">
        <f>Lista!R396</f>
        <v>0</v>
      </c>
      <c r="T397" s="81"/>
      <c r="U397" s="81"/>
      <c r="V397" s="81"/>
      <c r="W397" s="81"/>
      <c r="X397" s="81"/>
      <c r="Y397" s="81"/>
      <c r="Z397" s="81"/>
      <c r="AA397" s="81"/>
      <c r="AB397" s="81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  <c r="BS397" s="81"/>
      <c r="BT397" s="81"/>
      <c r="BU397" s="81"/>
      <c r="BV397" s="81"/>
      <c r="BW397" s="81"/>
      <c r="BX397" s="81"/>
      <c r="BY397" s="81"/>
      <c r="BZ397" s="81"/>
      <c r="CA397" s="81"/>
      <c r="CB397" s="81"/>
      <c r="CC397" s="81"/>
      <c r="CD397" s="81"/>
      <c r="CE397" s="81"/>
      <c r="CF397" s="81"/>
      <c r="CG397" s="81"/>
      <c r="CH397" s="81"/>
      <c r="CI397" s="81"/>
      <c r="CJ397" s="81"/>
      <c r="CK397" s="81"/>
      <c r="CL397" s="81"/>
      <c r="CM397" s="81"/>
      <c r="CN397" s="81"/>
      <c r="CO397" s="81"/>
      <c r="CP397" s="81"/>
      <c r="CQ397" s="81"/>
      <c r="CR397" s="81"/>
      <c r="CS397" s="81"/>
      <c r="CT397" s="81"/>
      <c r="CU397" s="81"/>
      <c r="CV397" s="81"/>
      <c r="CW397" s="81"/>
      <c r="CX397" s="81"/>
      <c r="CY397" s="81"/>
      <c r="CZ397" s="81"/>
      <c r="DA397" s="81"/>
      <c r="DB397" s="81"/>
      <c r="DC397" s="81"/>
      <c r="DD397" s="81"/>
      <c r="DE397" s="81"/>
      <c r="DF397" s="81"/>
      <c r="DG397" s="81"/>
      <c r="DH397" s="81"/>
      <c r="DI397" s="81"/>
      <c r="DJ397" s="81"/>
      <c r="DK397" s="81"/>
      <c r="DL397" s="81"/>
      <c r="DM397" s="81"/>
      <c r="DN397" s="81"/>
      <c r="DO397" s="81"/>
      <c r="DP397" s="81"/>
      <c r="DQ397" s="81"/>
      <c r="DR397" s="81"/>
      <c r="DS397" s="81"/>
      <c r="DT397" s="81"/>
      <c r="DU397" s="81"/>
      <c r="DV397" s="81"/>
      <c r="DW397" s="121"/>
    </row>
    <row r="398" spans="1:127" x14ac:dyDescent="0.25">
      <c r="A398" s="2">
        <f>COUNTIF($D$2:D398,'Reporte de Nomina'!$E$2)</f>
        <v>0</v>
      </c>
      <c r="B398" s="125">
        <f>Lista!A397</f>
        <v>0</v>
      </c>
      <c r="C398" s="125">
        <f>Lista!B397</f>
        <v>0</v>
      </c>
      <c r="D398" s="125">
        <f>Lista!C397</f>
        <v>0</v>
      </c>
      <c r="E398" s="125">
        <f>Lista!D397</f>
        <v>0</v>
      </c>
      <c r="F398" s="125">
        <f>Lista!E397</f>
        <v>0</v>
      </c>
      <c r="G398" s="125">
        <f>Lista!F397</f>
        <v>0</v>
      </c>
      <c r="H398" s="125">
        <f>Lista!G397</f>
        <v>0</v>
      </c>
      <c r="I398" s="125">
        <f>Lista!H397</f>
        <v>0</v>
      </c>
      <c r="J398" s="125">
        <f>Lista!I397</f>
        <v>0</v>
      </c>
      <c r="K398" s="125">
        <f>Lista!J397</f>
        <v>0</v>
      </c>
      <c r="L398" s="125">
        <f>Lista!K397</f>
        <v>0</v>
      </c>
      <c r="M398" s="125">
        <f>Lista!L397</f>
        <v>0</v>
      </c>
      <c r="N398" s="125">
        <f>Lista!M397</f>
        <v>0</v>
      </c>
      <c r="O398" s="125">
        <f>Lista!N397</f>
        <v>0</v>
      </c>
      <c r="P398" s="125">
        <f>Lista!O397</f>
        <v>0</v>
      </c>
      <c r="Q398" s="125">
        <f>Lista!P397</f>
        <v>0</v>
      </c>
      <c r="R398" s="125">
        <f>Lista!Q397</f>
        <v>0</v>
      </c>
      <c r="S398" s="125">
        <f>Lista!R397</f>
        <v>0</v>
      </c>
      <c r="T398" s="81"/>
      <c r="U398" s="81"/>
      <c r="V398" s="81"/>
      <c r="W398" s="81"/>
      <c r="X398" s="81"/>
      <c r="Y398" s="81"/>
      <c r="Z398" s="81"/>
      <c r="AA398" s="81"/>
      <c r="AB398" s="81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  <c r="BS398" s="81"/>
      <c r="BT398" s="81"/>
      <c r="BU398" s="81"/>
      <c r="BV398" s="81"/>
      <c r="BW398" s="81"/>
      <c r="BX398" s="81"/>
      <c r="BY398" s="81"/>
      <c r="BZ398" s="81"/>
      <c r="CA398" s="81"/>
      <c r="CB398" s="81"/>
      <c r="CC398" s="81"/>
      <c r="CD398" s="81"/>
      <c r="CE398" s="81"/>
      <c r="CF398" s="81"/>
      <c r="CG398" s="81"/>
      <c r="CH398" s="81"/>
      <c r="CI398" s="81"/>
      <c r="CJ398" s="81"/>
      <c r="CK398" s="81"/>
      <c r="CL398" s="81"/>
      <c r="CM398" s="81"/>
      <c r="CN398" s="81"/>
      <c r="CO398" s="81"/>
      <c r="CP398" s="81"/>
      <c r="CQ398" s="81"/>
      <c r="CR398" s="81"/>
      <c r="CS398" s="81"/>
      <c r="CT398" s="81"/>
      <c r="CU398" s="81"/>
      <c r="CV398" s="81"/>
      <c r="CW398" s="81"/>
      <c r="CX398" s="81"/>
      <c r="CY398" s="81"/>
      <c r="CZ398" s="81"/>
      <c r="DA398" s="81"/>
      <c r="DB398" s="81"/>
      <c r="DC398" s="81"/>
      <c r="DD398" s="81"/>
      <c r="DE398" s="81"/>
      <c r="DF398" s="81"/>
      <c r="DG398" s="81"/>
      <c r="DH398" s="81"/>
      <c r="DI398" s="81"/>
      <c r="DJ398" s="81"/>
      <c r="DK398" s="81"/>
      <c r="DL398" s="81"/>
      <c r="DM398" s="81"/>
      <c r="DN398" s="81"/>
      <c r="DO398" s="81"/>
      <c r="DP398" s="81"/>
      <c r="DQ398" s="81"/>
      <c r="DR398" s="81"/>
      <c r="DS398" s="81"/>
      <c r="DT398" s="81"/>
      <c r="DU398" s="81"/>
      <c r="DV398" s="81"/>
      <c r="DW398" s="121"/>
    </row>
    <row r="399" spans="1:127" x14ac:dyDescent="0.25">
      <c r="A399" s="2">
        <f>COUNTIF($D$2:D399,'Reporte de Nomina'!$E$2)</f>
        <v>0</v>
      </c>
      <c r="B399" s="125">
        <f>Lista!A398</f>
        <v>0</v>
      </c>
      <c r="C399" s="125">
        <f>Lista!B398</f>
        <v>0</v>
      </c>
      <c r="D399" s="125">
        <f>Lista!C398</f>
        <v>0</v>
      </c>
      <c r="E399" s="125">
        <f>Lista!D398</f>
        <v>0</v>
      </c>
      <c r="F399" s="125">
        <f>Lista!E398</f>
        <v>0</v>
      </c>
      <c r="G399" s="125">
        <f>Lista!F398</f>
        <v>0</v>
      </c>
      <c r="H399" s="125">
        <f>Lista!G398</f>
        <v>0</v>
      </c>
      <c r="I399" s="125">
        <f>Lista!H398</f>
        <v>0</v>
      </c>
      <c r="J399" s="125">
        <f>Lista!I398</f>
        <v>0</v>
      </c>
      <c r="K399" s="125">
        <f>Lista!J398</f>
        <v>0</v>
      </c>
      <c r="L399" s="125">
        <f>Lista!K398</f>
        <v>0</v>
      </c>
      <c r="M399" s="125">
        <f>Lista!L398</f>
        <v>0</v>
      </c>
      <c r="N399" s="125">
        <f>Lista!M398</f>
        <v>0</v>
      </c>
      <c r="O399" s="125">
        <f>Lista!N398</f>
        <v>0</v>
      </c>
      <c r="P399" s="125">
        <f>Lista!O398</f>
        <v>0</v>
      </c>
      <c r="Q399" s="125">
        <f>Lista!P398</f>
        <v>0</v>
      </c>
      <c r="R399" s="125">
        <f>Lista!Q398</f>
        <v>0</v>
      </c>
      <c r="S399" s="125">
        <f>Lista!R398</f>
        <v>0</v>
      </c>
      <c r="T399" s="81"/>
      <c r="U399" s="81"/>
      <c r="V399" s="81"/>
      <c r="W399" s="81"/>
      <c r="X399" s="81"/>
      <c r="Y399" s="81"/>
      <c r="Z399" s="81"/>
      <c r="AA399" s="81"/>
      <c r="AB399" s="81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  <c r="BS399" s="81"/>
      <c r="BT399" s="81"/>
      <c r="BU399" s="81"/>
      <c r="BV399" s="81"/>
      <c r="BW399" s="81"/>
      <c r="BX399" s="81"/>
      <c r="BY399" s="81"/>
      <c r="BZ399" s="81"/>
      <c r="CA399" s="81"/>
      <c r="CB399" s="81"/>
      <c r="CC399" s="81"/>
      <c r="CD399" s="81"/>
      <c r="CE399" s="81"/>
      <c r="CF399" s="81"/>
      <c r="CG399" s="81"/>
      <c r="CH399" s="81"/>
      <c r="CI399" s="81"/>
      <c r="CJ399" s="81"/>
      <c r="CK399" s="81"/>
      <c r="CL399" s="81"/>
      <c r="CM399" s="81"/>
      <c r="CN399" s="81"/>
      <c r="CO399" s="81"/>
      <c r="CP399" s="81"/>
      <c r="CQ399" s="81"/>
      <c r="CR399" s="81"/>
      <c r="CS399" s="81"/>
      <c r="CT399" s="81"/>
      <c r="CU399" s="81"/>
      <c r="CV399" s="81"/>
      <c r="CW399" s="81"/>
      <c r="CX399" s="81"/>
      <c r="CY399" s="81"/>
      <c r="CZ399" s="81"/>
      <c r="DA399" s="81"/>
      <c r="DB399" s="81"/>
      <c r="DC399" s="81"/>
      <c r="DD399" s="81"/>
      <c r="DE399" s="81"/>
      <c r="DF399" s="81"/>
      <c r="DG399" s="81"/>
      <c r="DH399" s="81"/>
      <c r="DI399" s="81"/>
      <c r="DJ399" s="81"/>
      <c r="DK399" s="81"/>
      <c r="DL399" s="81"/>
      <c r="DM399" s="81"/>
      <c r="DN399" s="81"/>
      <c r="DO399" s="81"/>
      <c r="DP399" s="81"/>
      <c r="DQ399" s="81"/>
      <c r="DR399" s="81"/>
      <c r="DS399" s="81"/>
      <c r="DT399" s="81"/>
      <c r="DU399" s="81"/>
      <c r="DV399" s="81"/>
      <c r="DW399" s="121"/>
    </row>
    <row r="400" spans="1:127" x14ac:dyDescent="0.25">
      <c r="A400" s="2">
        <f>COUNTIF($D$2:D400,'Reporte de Nomina'!$E$2)</f>
        <v>0</v>
      </c>
      <c r="B400" s="125">
        <f>Lista!A399</f>
        <v>0</v>
      </c>
      <c r="C400" s="125">
        <f>Lista!B399</f>
        <v>0</v>
      </c>
      <c r="D400" s="125">
        <f>Lista!C399</f>
        <v>0</v>
      </c>
      <c r="E400" s="125">
        <f>Lista!D399</f>
        <v>0</v>
      </c>
      <c r="F400" s="125">
        <f>Lista!E399</f>
        <v>0</v>
      </c>
      <c r="G400" s="125">
        <f>Lista!F399</f>
        <v>0</v>
      </c>
      <c r="H400" s="125">
        <f>Lista!G399</f>
        <v>0</v>
      </c>
      <c r="I400" s="125">
        <f>Lista!H399</f>
        <v>0</v>
      </c>
      <c r="J400" s="125">
        <f>Lista!I399</f>
        <v>0</v>
      </c>
      <c r="K400" s="125">
        <f>Lista!J399</f>
        <v>0</v>
      </c>
      <c r="L400" s="125">
        <f>Lista!K399</f>
        <v>0</v>
      </c>
      <c r="M400" s="125">
        <f>Lista!L399</f>
        <v>0</v>
      </c>
      <c r="N400" s="125">
        <f>Lista!M399</f>
        <v>0</v>
      </c>
      <c r="O400" s="125">
        <f>Lista!N399</f>
        <v>0</v>
      </c>
      <c r="P400" s="125">
        <f>Lista!O399</f>
        <v>0</v>
      </c>
      <c r="Q400" s="125">
        <f>Lista!P399</f>
        <v>0</v>
      </c>
      <c r="R400" s="125">
        <f>Lista!Q399</f>
        <v>0</v>
      </c>
      <c r="S400" s="125">
        <f>Lista!R399</f>
        <v>0</v>
      </c>
      <c r="T400" s="81"/>
      <c r="U400" s="81"/>
      <c r="V400" s="81"/>
      <c r="W400" s="81"/>
      <c r="X400" s="81"/>
      <c r="Y400" s="81"/>
      <c r="Z400" s="81"/>
      <c r="AA400" s="81"/>
      <c r="AB400" s="81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  <c r="BS400" s="81"/>
      <c r="BT400" s="81"/>
      <c r="BU400" s="81"/>
      <c r="BV400" s="81"/>
      <c r="BW400" s="81"/>
      <c r="BX400" s="81"/>
      <c r="BY400" s="81"/>
      <c r="BZ400" s="81"/>
      <c r="CA400" s="81"/>
      <c r="CB400" s="81"/>
      <c r="CC400" s="81"/>
      <c r="CD400" s="81"/>
      <c r="CE400" s="81"/>
      <c r="CF400" s="81"/>
      <c r="CG400" s="81"/>
      <c r="CH400" s="81"/>
      <c r="CI400" s="81"/>
      <c r="CJ400" s="81"/>
      <c r="CK400" s="81"/>
      <c r="CL400" s="81"/>
      <c r="CM400" s="81"/>
      <c r="CN400" s="81"/>
      <c r="CO400" s="81"/>
      <c r="CP400" s="81"/>
      <c r="CQ400" s="81"/>
      <c r="CR400" s="81"/>
      <c r="CS400" s="81"/>
      <c r="CT400" s="81"/>
      <c r="CU400" s="81"/>
      <c r="CV400" s="81"/>
      <c r="CW400" s="81"/>
      <c r="CX400" s="81"/>
      <c r="CY400" s="81"/>
      <c r="CZ400" s="81"/>
      <c r="DA400" s="81"/>
      <c r="DB400" s="81"/>
      <c r="DC400" s="81"/>
      <c r="DD400" s="81"/>
      <c r="DE400" s="81"/>
      <c r="DF400" s="81"/>
      <c r="DG400" s="81"/>
      <c r="DH400" s="81"/>
      <c r="DI400" s="81"/>
      <c r="DJ400" s="81"/>
      <c r="DK400" s="81"/>
      <c r="DL400" s="81"/>
      <c r="DM400" s="81"/>
      <c r="DN400" s="81"/>
      <c r="DO400" s="81"/>
      <c r="DP400" s="81"/>
      <c r="DQ400" s="81"/>
      <c r="DR400" s="81"/>
      <c r="DS400" s="81"/>
      <c r="DT400" s="81"/>
      <c r="DU400" s="81"/>
      <c r="DV400" s="81"/>
      <c r="DW400" s="121"/>
    </row>
    <row r="401" spans="1:127" x14ac:dyDescent="0.25">
      <c r="A401" s="2">
        <f>COUNTIF($D$2:D401,'Reporte de Nomina'!$E$2)</f>
        <v>0</v>
      </c>
      <c r="B401" s="125">
        <f>Lista!A400</f>
        <v>0</v>
      </c>
      <c r="C401" s="125">
        <f>Lista!B400</f>
        <v>0</v>
      </c>
      <c r="D401" s="125">
        <f>Lista!C400</f>
        <v>0</v>
      </c>
      <c r="E401" s="125">
        <f>Lista!D400</f>
        <v>0</v>
      </c>
      <c r="F401" s="125">
        <f>Lista!E400</f>
        <v>0</v>
      </c>
      <c r="G401" s="125">
        <f>Lista!F400</f>
        <v>0</v>
      </c>
      <c r="H401" s="125">
        <f>Lista!G400</f>
        <v>0</v>
      </c>
      <c r="I401" s="125">
        <f>Lista!H400</f>
        <v>0</v>
      </c>
      <c r="J401" s="125">
        <f>Lista!I400</f>
        <v>0</v>
      </c>
      <c r="K401" s="125">
        <f>Lista!J400</f>
        <v>0</v>
      </c>
      <c r="L401" s="125">
        <f>Lista!K400</f>
        <v>0</v>
      </c>
      <c r="M401" s="125">
        <f>Lista!L400</f>
        <v>0</v>
      </c>
      <c r="N401" s="125">
        <f>Lista!M400</f>
        <v>0</v>
      </c>
      <c r="O401" s="125">
        <f>Lista!N400</f>
        <v>0</v>
      </c>
      <c r="P401" s="125">
        <f>Lista!O400</f>
        <v>0</v>
      </c>
      <c r="Q401" s="125">
        <f>Lista!P400</f>
        <v>0</v>
      </c>
      <c r="R401" s="125">
        <f>Lista!Q400</f>
        <v>0</v>
      </c>
      <c r="S401" s="125">
        <f>Lista!R400</f>
        <v>0</v>
      </c>
      <c r="T401" s="81"/>
      <c r="U401" s="81"/>
      <c r="V401" s="81"/>
      <c r="W401" s="81"/>
      <c r="X401" s="81"/>
      <c r="Y401" s="81"/>
      <c r="Z401" s="81"/>
      <c r="AA401" s="81"/>
      <c r="AB401" s="81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  <c r="BS401" s="81"/>
      <c r="BT401" s="81"/>
      <c r="BU401" s="81"/>
      <c r="BV401" s="81"/>
      <c r="BW401" s="81"/>
      <c r="BX401" s="81"/>
      <c r="BY401" s="81"/>
      <c r="BZ401" s="81"/>
      <c r="CA401" s="81"/>
      <c r="CB401" s="81"/>
      <c r="CC401" s="81"/>
      <c r="CD401" s="81"/>
      <c r="CE401" s="81"/>
      <c r="CF401" s="81"/>
      <c r="CG401" s="81"/>
      <c r="CH401" s="81"/>
      <c r="CI401" s="81"/>
      <c r="CJ401" s="81"/>
      <c r="CK401" s="81"/>
      <c r="CL401" s="81"/>
      <c r="CM401" s="81"/>
      <c r="CN401" s="81"/>
      <c r="CO401" s="81"/>
      <c r="CP401" s="81"/>
      <c r="CQ401" s="81"/>
      <c r="CR401" s="81"/>
      <c r="CS401" s="81"/>
      <c r="CT401" s="81"/>
      <c r="CU401" s="81"/>
      <c r="CV401" s="81"/>
      <c r="CW401" s="81"/>
      <c r="CX401" s="81"/>
      <c r="CY401" s="81"/>
      <c r="CZ401" s="81"/>
      <c r="DA401" s="81"/>
      <c r="DB401" s="81"/>
      <c r="DC401" s="81"/>
      <c r="DD401" s="81"/>
      <c r="DE401" s="81"/>
      <c r="DF401" s="81"/>
      <c r="DG401" s="81"/>
      <c r="DH401" s="81"/>
      <c r="DI401" s="81"/>
      <c r="DJ401" s="81"/>
      <c r="DK401" s="81"/>
      <c r="DL401" s="81"/>
      <c r="DM401" s="81"/>
      <c r="DN401" s="81"/>
      <c r="DO401" s="81"/>
      <c r="DP401" s="81"/>
      <c r="DQ401" s="81"/>
      <c r="DR401" s="81"/>
      <c r="DS401" s="81"/>
      <c r="DT401" s="81"/>
      <c r="DU401" s="81"/>
      <c r="DV401" s="81"/>
      <c r="DW401" s="121"/>
    </row>
    <row r="402" spans="1:127" x14ac:dyDescent="0.25">
      <c r="A402" s="2">
        <f>COUNTIF($D$2:D402,'Reporte de Nomina'!$E$2)</f>
        <v>0</v>
      </c>
      <c r="B402" s="125">
        <f>Lista!A401</f>
        <v>0</v>
      </c>
      <c r="C402" s="125">
        <f>Lista!B401</f>
        <v>0</v>
      </c>
      <c r="D402" s="125">
        <f>Lista!C401</f>
        <v>0</v>
      </c>
      <c r="E402" s="125">
        <f>Lista!D401</f>
        <v>0</v>
      </c>
      <c r="F402" s="125">
        <f>Lista!E401</f>
        <v>0</v>
      </c>
      <c r="G402" s="125">
        <f>Lista!F401</f>
        <v>0</v>
      </c>
      <c r="H402" s="125">
        <f>Lista!G401</f>
        <v>0</v>
      </c>
      <c r="I402" s="125">
        <f>Lista!H401</f>
        <v>0</v>
      </c>
      <c r="J402" s="125">
        <f>Lista!I401</f>
        <v>0</v>
      </c>
      <c r="K402" s="125">
        <f>Lista!J401</f>
        <v>0</v>
      </c>
      <c r="L402" s="125">
        <f>Lista!K401</f>
        <v>0</v>
      </c>
      <c r="M402" s="125">
        <f>Lista!L401</f>
        <v>0</v>
      </c>
      <c r="N402" s="125">
        <f>Lista!M401</f>
        <v>0</v>
      </c>
      <c r="O402" s="125">
        <f>Lista!N401</f>
        <v>0</v>
      </c>
      <c r="P402" s="125">
        <f>Lista!O401</f>
        <v>0</v>
      </c>
      <c r="Q402" s="125">
        <f>Lista!P401</f>
        <v>0</v>
      </c>
      <c r="R402" s="125">
        <f>Lista!Q401</f>
        <v>0</v>
      </c>
      <c r="S402" s="125">
        <f>Lista!R401</f>
        <v>0</v>
      </c>
      <c r="T402" s="81"/>
      <c r="U402" s="81"/>
      <c r="V402" s="81"/>
      <c r="W402" s="81"/>
      <c r="X402" s="81"/>
      <c r="Y402" s="81"/>
      <c r="Z402" s="81"/>
      <c r="AA402" s="81"/>
      <c r="AB402" s="81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  <c r="BS402" s="81"/>
      <c r="BT402" s="81"/>
      <c r="BU402" s="81"/>
      <c r="BV402" s="81"/>
      <c r="BW402" s="81"/>
      <c r="BX402" s="81"/>
      <c r="BY402" s="81"/>
      <c r="BZ402" s="81"/>
      <c r="CA402" s="81"/>
      <c r="CB402" s="81"/>
      <c r="CC402" s="81"/>
      <c r="CD402" s="81"/>
      <c r="CE402" s="81"/>
      <c r="CF402" s="81"/>
      <c r="CG402" s="81"/>
      <c r="CH402" s="81"/>
      <c r="CI402" s="81"/>
      <c r="CJ402" s="81"/>
      <c r="CK402" s="81"/>
      <c r="CL402" s="81"/>
      <c r="CM402" s="81"/>
      <c r="CN402" s="81"/>
      <c r="CO402" s="81"/>
      <c r="CP402" s="81"/>
      <c r="CQ402" s="81"/>
      <c r="CR402" s="81"/>
      <c r="CS402" s="81"/>
      <c r="CT402" s="81"/>
      <c r="CU402" s="81"/>
      <c r="CV402" s="81"/>
      <c r="CW402" s="81"/>
      <c r="CX402" s="81"/>
      <c r="CY402" s="81"/>
      <c r="CZ402" s="81"/>
      <c r="DA402" s="81"/>
      <c r="DB402" s="81"/>
      <c r="DC402" s="81"/>
      <c r="DD402" s="81"/>
      <c r="DE402" s="81"/>
      <c r="DF402" s="81"/>
      <c r="DG402" s="81"/>
      <c r="DH402" s="81"/>
      <c r="DI402" s="81"/>
      <c r="DJ402" s="81"/>
      <c r="DK402" s="81"/>
      <c r="DL402" s="81"/>
      <c r="DM402" s="81"/>
      <c r="DN402" s="81"/>
      <c r="DO402" s="81"/>
      <c r="DP402" s="81"/>
      <c r="DQ402" s="81"/>
      <c r="DR402" s="81"/>
      <c r="DS402" s="81"/>
      <c r="DT402" s="81"/>
      <c r="DU402" s="81"/>
      <c r="DV402" s="81"/>
      <c r="DW402" s="121"/>
    </row>
    <row r="403" spans="1:127" x14ac:dyDescent="0.25">
      <c r="A403" s="2">
        <f>COUNTIF($D$2:D403,'Reporte de Nomina'!$E$2)</f>
        <v>0</v>
      </c>
      <c r="B403" s="125">
        <f>Lista!A402</f>
        <v>0</v>
      </c>
      <c r="C403" s="125">
        <f>Lista!B402</f>
        <v>0</v>
      </c>
      <c r="D403" s="125">
        <f>Lista!C402</f>
        <v>0</v>
      </c>
      <c r="E403" s="125">
        <f>Lista!D402</f>
        <v>0</v>
      </c>
      <c r="F403" s="125">
        <f>Lista!E402</f>
        <v>0</v>
      </c>
      <c r="G403" s="125">
        <f>Lista!F402</f>
        <v>0</v>
      </c>
      <c r="H403" s="125">
        <f>Lista!G402</f>
        <v>0</v>
      </c>
      <c r="I403" s="125">
        <f>Lista!H402</f>
        <v>0</v>
      </c>
      <c r="J403" s="125">
        <f>Lista!I402</f>
        <v>0</v>
      </c>
      <c r="K403" s="125">
        <f>Lista!J402</f>
        <v>0</v>
      </c>
      <c r="L403" s="125">
        <f>Lista!K402</f>
        <v>0</v>
      </c>
      <c r="M403" s="125">
        <f>Lista!L402</f>
        <v>0</v>
      </c>
      <c r="N403" s="125">
        <f>Lista!M402</f>
        <v>0</v>
      </c>
      <c r="O403" s="125">
        <f>Lista!N402</f>
        <v>0</v>
      </c>
      <c r="P403" s="125">
        <f>Lista!O402</f>
        <v>0</v>
      </c>
      <c r="Q403" s="125">
        <f>Lista!P402</f>
        <v>0</v>
      </c>
      <c r="R403" s="125">
        <f>Lista!Q402</f>
        <v>0</v>
      </c>
      <c r="S403" s="125">
        <f>Lista!R402</f>
        <v>0</v>
      </c>
      <c r="T403" s="81"/>
      <c r="U403" s="81"/>
      <c r="V403" s="81"/>
      <c r="W403" s="81"/>
      <c r="X403" s="81"/>
      <c r="Y403" s="81"/>
      <c r="Z403" s="81"/>
      <c r="AA403" s="81"/>
      <c r="AB403" s="81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  <c r="BS403" s="81"/>
      <c r="BT403" s="81"/>
      <c r="BU403" s="81"/>
      <c r="BV403" s="81"/>
      <c r="BW403" s="81"/>
      <c r="BX403" s="81"/>
      <c r="BY403" s="81"/>
      <c r="BZ403" s="81"/>
      <c r="CA403" s="81"/>
      <c r="CB403" s="81"/>
      <c r="CC403" s="81"/>
      <c r="CD403" s="81"/>
      <c r="CE403" s="81"/>
      <c r="CF403" s="81"/>
      <c r="CG403" s="81"/>
      <c r="CH403" s="81"/>
      <c r="CI403" s="81"/>
      <c r="CJ403" s="81"/>
      <c r="CK403" s="81"/>
      <c r="CL403" s="81"/>
      <c r="CM403" s="81"/>
      <c r="CN403" s="81"/>
      <c r="CO403" s="81"/>
      <c r="CP403" s="81"/>
      <c r="CQ403" s="81"/>
      <c r="CR403" s="81"/>
      <c r="CS403" s="81"/>
      <c r="CT403" s="81"/>
      <c r="CU403" s="81"/>
      <c r="CV403" s="81"/>
      <c r="CW403" s="81"/>
      <c r="CX403" s="81"/>
      <c r="CY403" s="81"/>
      <c r="CZ403" s="81"/>
      <c r="DA403" s="81"/>
      <c r="DB403" s="81"/>
      <c r="DC403" s="81"/>
      <c r="DD403" s="81"/>
      <c r="DE403" s="81"/>
      <c r="DF403" s="81"/>
      <c r="DG403" s="81"/>
      <c r="DH403" s="81"/>
      <c r="DI403" s="81"/>
      <c r="DJ403" s="81"/>
      <c r="DK403" s="81"/>
      <c r="DL403" s="81"/>
      <c r="DM403" s="81"/>
      <c r="DN403" s="81"/>
      <c r="DO403" s="81"/>
      <c r="DP403" s="81"/>
      <c r="DQ403" s="81"/>
      <c r="DR403" s="81"/>
      <c r="DS403" s="81"/>
      <c r="DT403" s="81"/>
      <c r="DU403" s="81"/>
      <c r="DV403" s="81"/>
      <c r="DW403" s="121"/>
    </row>
    <row r="404" spans="1:127" x14ac:dyDescent="0.25">
      <c r="A404" s="2">
        <f>COUNTIF($D$2:D404,'Reporte de Nomina'!$E$2)</f>
        <v>0</v>
      </c>
      <c r="B404" s="125">
        <f>Lista!A403</f>
        <v>0</v>
      </c>
      <c r="C404" s="125">
        <f>Lista!B403</f>
        <v>0</v>
      </c>
      <c r="D404" s="125">
        <f>Lista!C403</f>
        <v>0</v>
      </c>
      <c r="E404" s="125">
        <f>Lista!D403</f>
        <v>0</v>
      </c>
      <c r="F404" s="125">
        <f>Lista!E403</f>
        <v>0</v>
      </c>
      <c r="G404" s="125">
        <f>Lista!F403</f>
        <v>0</v>
      </c>
      <c r="H404" s="125">
        <f>Lista!G403</f>
        <v>0</v>
      </c>
      <c r="I404" s="125">
        <f>Lista!H403</f>
        <v>0</v>
      </c>
      <c r="J404" s="125">
        <f>Lista!I403</f>
        <v>0</v>
      </c>
      <c r="K404" s="125">
        <f>Lista!J403</f>
        <v>0</v>
      </c>
      <c r="L404" s="125">
        <f>Lista!K403</f>
        <v>0</v>
      </c>
      <c r="M404" s="125">
        <f>Lista!L403</f>
        <v>0</v>
      </c>
      <c r="N404" s="125">
        <f>Lista!M403</f>
        <v>0</v>
      </c>
      <c r="O404" s="125">
        <f>Lista!N403</f>
        <v>0</v>
      </c>
      <c r="P404" s="125">
        <f>Lista!O403</f>
        <v>0</v>
      </c>
      <c r="Q404" s="125">
        <f>Lista!P403</f>
        <v>0</v>
      </c>
      <c r="R404" s="125">
        <f>Lista!Q403</f>
        <v>0</v>
      </c>
      <c r="S404" s="125">
        <f>Lista!R403</f>
        <v>0</v>
      </c>
      <c r="T404" s="81"/>
      <c r="U404" s="81"/>
      <c r="V404" s="81"/>
      <c r="W404" s="81"/>
      <c r="X404" s="81"/>
      <c r="Y404" s="81"/>
      <c r="Z404" s="81"/>
      <c r="AA404" s="81"/>
      <c r="AB404" s="81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  <c r="BS404" s="81"/>
      <c r="BT404" s="81"/>
      <c r="BU404" s="81"/>
      <c r="BV404" s="81"/>
      <c r="BW404" s="81"/>
      <c r="BX404" s="81"/>
      <c r="BY404" s="81"/>
      <c r="BZ404" s="81"/>
      <c r="CA404" s="81"/>
      <c r="CB404" s="81"/>
      <c r="CC404" s="81"/>
      <c r="CD404" s="81"/>
      <c r="CE404" s="81"/>
      <c r="CF404" s="81"/>
      <c r="CG404" s="81"/>
      <c r="CH404" s="81"/>
      <c r="CI404" s="81"/>
      <c r="CJ404" s="81"/>
      <c r="CK404" s="81"/>
      <c r="CL404" s="81"/>
      <c r="CM404" s="81"/>
      <c r="CN404" s="81"/>
      <c r="CO404" s="81"/>
      <c r="CP404" s="81"/>
      <c r="CQ404" s="81"/>
      <c r="CR404" s="81"/>
      <c r="CS404" s="81"/>
      <c r="CT404" s="81"/>
      <c r="CU404" s="81"/>
      <c r="CV404" s="81"/>
      <c r="CW404" s="81"/>
      <c r="CX404" s="81"/>
      <c r="CY404" s="81"/>
      <c r="CZ404" s="81"/>
      <c r="DA404" s="81"/>
      <c r="DB404" s="81"/>
      <c r="DC404" s="81"/>
      <c r="DD404" s="81"/>
      <c r="DE404" s="81"/>
      <c r="DF404" s="81"/>
      <c r="DG404" s="81"/>
      <c r="DH404" s="81"/>
      <c r="DI404" s="81"/>
      <c r="DJ404" s="81"/>
      <c r="DK404" s="81"/>
      <c r="DL404" s="81"/>
      <c r="DM404" s="81"/>
      <c r="DN404" s="81"/>
      <c r="DO404" s="81"/>
      <c r="DP404" s="81"/>
      <c r="DQ404" s="81"/>
      <c r="DR404" s="81"/>
      <c r="DS404" s="81"/>
      <c r="DT404" s="81"/>
      <c r="DU404" s="81"/>
      <c r="DV404" s="81"/>
      <c r="DW404" s="121"/>
    </row>
    <row r="405" spans="1:127" x14ac:dyDescent="0.25">
      <c r="A405" s="2">
        <f>COUNTIF($D$2:D405,'Reporte de Nomina'!$E$2)</f>
        <v>0</v>
      </c>
      <c r="B405" s="125">
        <f>Lista!A404</f>
        <v>0</v>
      </c>
      <c r="C405" s="125">
        <f>Lista!B404</f>
        <v>0</v>
      </c>
      <c r="D405" s="125">
        <f>Lista!C404</f>
        <v>0</v>
      </c>
      <c r="E405" s="125">
        <f>Lista!D404</f>
        <v>0</v>
      </c>
      <c r="F405" s="125">
        <f>Lista!E404</f>
        <v>0</v>
      </c>
      <c r="G405" s="125">
        <f>Lista!F404</f>
        <v>0</v>
      </c>
      <c r="H405" s="125">
        <f>Lista!G404</f>
        <v>0</v>
      </c>
      <c r="I405" s="125">
        <f>Lista!H404</f>
        <v>0</v>
      </c>
      <c r="J405" s="125">
        <f>Lista!I404</f>
        <v>0</v>
      </c>
      <c r="K405" s="125">
        <f>Lista!J404</f>
        <v>0</v>
      </c>
      <c r="L405" s="125">
        <f>Lista!K404</f>
        <v>0</v>
      </c>
      <c r="M405" s="125">
        <f>Lista!L404</f>
        <v>0</v>
      </c>
      <c r="N405" s="125">
        <f>Lista!M404</f>
        <v>0</v>
      </c>
      <c r="O405" s="125">
        <f>Lista!N404</f>
        <v>0</v>
      </c>
      <c r="P405" s="125">
        <f>Lista!O404</f>
        <v>0</v>
      </c>
      <c r="Q405" s="125">
        <f>Lista!P404</f>
        <v>0</v>
      </c>
      <c r="R405" s="125">
        <f>Lista!Q404</f>
        <v>0</v>
      </c>
      <c r="S405" s="125">
        <f>Lista!R404</f>
        <v>0</v>
      </c>
      <c r="T405" s="81"/>
      <c r="U405" s="81"/>
      <c r="V405" s="81"/>
      <c r="W405" s="81"/>
      <c r="X405" s="81"/>
      <c r="Y405" s="81"/>
      <c r="Z405" s="81"/>
      <c r="AA405" s="81"/>
      <c r="AB405" s="81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  <c r="BS405" s="81"/>
      <c r="BT405" s="81"/>
      <c r="BU405" s="81"/>
      <c r="BV405" s="81"/>
      <c r="BW405" s="81"/>
      <c r="BX405" s="81"/>
      <c r="BY405" s="81"/>
      <c r="BZ405" s="81"/>
      <c r="CA405" s="81"/>
      <c r="CB405" s="81"/>
      <c r="CC405" s="81"/>
      <c r="CD405" s="81"/>
      <c r="CE405" s="81"/>
      <c r="CF405" s="81"/>
      <c r="CG405" s="81"/>
      <c r="CH405" s="81"/>
      <c r="CI405" s="81"/>
      <c r="CJ405" s="81"/>
      <c r="CK405" s="81"/>
      <c r="CL405" s="81"/>
      <c r="CM405" s="81"/>
      <c r="CN405" s="81"/>
      <c r="CO405" s="81"/>
      <c r="CP405" s="81"/>
      <c r="CQ405" s="81"/>
      <c r="CR405" s="81"/>
      <c r="CS405" s="81"/>
      <c r="CT405" s="81"/>
      <c r="CU405" s="81"/>
      <c r="CV405" s="81"/>
      <c r="CW405" s="81"/>
      <c r="CX405" s="81"/>
      <c r="CY405" s="81"/>
      <c r="CZ405" s="81"/>
      <c r="DA405" s="81"/>
      <c r="DB405" s="81"/>
      <c r="DC405" s="81"/>
      <c r="DD405" s="81"/>
      <c r="DE405" s="81"/>
      <c r="DF405" s="81"/>
      <c r="DG405" s="81"/>
      <c r="DH405" s="81"/>
      <c r="DI405" s="81"/>
      <c r="DJ405" s="81"/>
      <c r="DK405" s="81"/>
      <c r="DL405" s="81"/>
      <c r="DM405" s="81"/>
      <c r="DN405" s="81"/>
      <c r="DO405" s="81"/>
      <c r="DP405" s="81"/>
      <c r="DQ405" s="81"/>
      <c r="DR405" s="81"/>
      <c r="DS405" s="81"/>
      <c r="DT405" s="81"/>
      <c r="DU405" s="81"/>
      <c r="DV405" s="81"/>
      <c r="DW405" s="121"/>
    </row>
    <row r="406" spans="1:127" x14ac:dyDescent="0.25">
      <c r="A406" s="2">
        <f>COUNTIF($D$2:D406,'Reporte de Nomina'!$E$2)</f>
        <v>0</v>
      </c>
      <c r="B406" s="125">
        <f>Lista!A405</f>
        <v>0</v>
      </c>
      <c r="C406" s="125">
        <f>Lista!B405</f>
        <v>0</v>
      </c>
      <c r="D406" s="125">
        <f>Lista!C405</f>
        <v>0</v>
      </c>
      <c r="E406" s="125">
        <f>Lista!D405</f>
        <v>0</v>
      </c>
      <c r="F406" s="125">
        <f>Lista!E405</f>
        <v>0</v>
      </c>
      <c r="G406" s="125">
        <f>Lista!F405</f>
        <v>0</v>
      </c>
      <c r="H406" s="125">
        <f>Lista!G405</f>
        <v>0</v>
      </c>
      <c r="I406" s="125">
        <f>Lista!H405</f>
        <v>0</v>
      </c>
      <c r="J406" s="125">
        <f>Lista!I405</f>
        <v>0</v>
      </c>
      <c r="K406" s="125">
        <f>Lista!J405</f>
        <v>0</v>
      </c>
      <c r="L406" s="125">
        <f>Lista!K405</f>
        <v>0</v>
      </c>
      <c r="M406" s="125">
        <f>Lista!L405</f>
        <v>0</v>
      </c>
      <c r="N406" s="125">
        <f>Lista!M405</f>
        <v>0</v>
      </c>
      <c r="O406" s="125">
        <f>Lista!N405</f>
        <v>0</v>
      </c>
      <c r="P406" s="125">
        <f>Lista!O405</f>
        <v>0</v>
      </c>
      <c r="Q406" s="125">
        <f>Lista!P405</f>
        <v>0</v>
      </c>
      <c r="R406" s="125">
        <f>Lista!Q405</f>
        <v>0</v>
      </c>
      <c r="S406" s="125">
        <f>Lista!R405</f>
        <v>0</v>
      </c>
      <c r="T406" s="81"/>
      <c r="U406" s="81"/>
      <c r="V406" s="81"/>
      <c r="W406" s="81"/>
      <c r="X406" s="81"/>
      <c r="Y406" s="81"/>
      <c r="Z406" s="81"/>
      <c r="AA406" s="81"/>
      <c r="AB406" s="81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  <c r="BS406" s="81"/>
      <c r="BT406" s="81"/>
      <c r="BU406" s="81"/>
      <c r="BV406" s="81"/>
      <c r="BW406" s="81"/>
      <c r="BX406" s="81"/>
      <c r="BY406" s="81"/>
      <c r="BZ406" s="81"/>
      <c r="CA406" s="81"/>
      <c r="CB406" s="81"/>
      <c r="CC406" s="81"/>
      <c r="CD406" s="81"/>
      <c r="CE406" s="81"/>
      <c r="CF406" s="81"/>
      <c r="CG406" s="81"/>
      <c r="CH406" s="81"/>
      <c r="CI406" s="81"/>
      <c r="CJ406" s="81"/>
      <c r="CK406" s="81"/>
      <c r="CL406" s="81"/>
      <c r="CM406" s="81"/>
      <c r="CN406" s="81"/>
      <c r="CO406" s="81"/>
      <c r="CP406" s="81"/>
      <c r="CQ406" s="81"/>
      <c r="CR406" s="81"/>
      <c r="CS406" s="81"/>
      <c r="CT406" s="81"/>
      <c r="CU406" s="81"/>
      <c r="CV406" s="81"/>
      <c r="CW406" s="81"/>
      <c r="CX406" s="81"/>
      <c r="CY406" s="81"/>
      <c r="CZ406" s="81"/>
      <c r="DA406" s="81"/>
      <c r="DB406" s="81"/>
      <c r="DC406" s="81"/>
      <c r="DD406" s="81"/>
      <c r="DE406" s="81"/>
      <c r="DF406" s="81"/>
      <c r="DG406" s="81"/>
      <c r="DH406" s="81"/>
      <c r="DI406" s="81"/>
      <c r="DJ406" s="81"/>
      <c r="DK406" s="81"/>
      <c r="DL406" s="81"/>
      <c r="DM406" s="81"/>
      <c r="DN406" s="81"/>
      <c r="DO406" s="81"/>
      <c r="DP406" s="81"/>
      <c r="DQ406" s="81"/>
      <c r="DR406" s="81"/>
      <c r="DS406" s="81"/>
      <c r="DT406" s="81"/>
      <c r="DU406" s="81"/>
      <c r="DV406" s="81"/>
      <c r="DW406" s="121"/>
    </row>
    <row r="407" spans="1:127" x14ac:dyDescent="0.25">
      <c r="A407" s="2">
        <f>COUNTIF($D$2:D407,'Reporte de Nomina'!$E$2)</f>
        <v>0</v>
      </c>
      <c r="B407" s="125">
        <f>Lista!A406</f>
        <v>0</v>
      </c>
      <c r="C407" s="125">
        <f>Lista!B406</f>
        <v>0</v>
      </c>
      <c r="D407" s="125">
        <f>Lista!C406</f>
        <v>0</v>
      </c>
      <c r="E407" s="125">
        <f>Lista!D406</f>
        <v>0</v>
      </c>
      <c r="F407" s="125">
        <f>Lista!E406</f>
        <v>0</v>
      </c>
      <c r="G407" s="125">
        <f>Lista!F406</f>
        <v>0</v>
      </c>
      <c r="H407" s="125">
        <f>Lista!G406</f>
        <v>0</v>
      </c>
      <c r="I407" s="125">
        <f>Lista!H406</f>
        <v>0</v>
      </c>
      <c r="J407" s="125">
        <f>Lista!I406</f>
        <v>0</v>
      </c>
      <c r="K407" s="125">
        <f>Lista!J406</f>
        <v>0</v>
      </c>
      <c r="L407" s="125">
        <f>Lista!K406</f>
        <v>0</v>
      </c>
      <c r="M407" s="125">
        <f>Lista!L406</f>
        <v>0</v>
      </c>
      <c r="N407" s="125">
        <f>Lista!M406</f>
        <v>0</v>
      </c>
      <c r="O407" s="125">
        <f>Lista!N406</f>
        <v>0</v>
      </c>
      <c r="P407" s="125">
        <f>Lista!O406</f>
        <v>0</v>
      </c>
      <c r="Q407" s="125">
        <f>Lista!P406</f>
        <v>0</v>
      </c>
      <c r="R407" s="125">
        <f>Lista!Q406</f>
        <v>0</v>
      </c>
      <c r="S407" s="125">
        <f>Lista!R406</f>
        <v>0</v>
      </c>
      <c r="T407" s="81"/>
      <c r="U407" s="81"/>
      <c r="V407" s="81"/>
      <c r="W407" s="81"/>
      <c r="X407" s="81"/>
      <c r="Y407" s="81"/>
      <c r="Z407" s="81"/>
      <c r="AA407" s="81"/>
      <c r="AB407" s="81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  <c r="BS407" s="81"/>
      <c r="BT407" s="81"/>
      <c r="BU407" s="81"/>
      <c r="BV407" s="81"/>
      <c r="BW407" s="81"/>
      <c r="BX407" s="81"/>
      <c r="BY407" s="81"/>
      <c r="BZ407" s="81"/>
      <c r="CA407" s="81"/>
      <c r="CB407" s="81"/>
      <c r="CC407" s="81"/>
      <c r="CD407" s="81"/>
      <c r="CE407" s="81"/>
      <c r="CF407" s="81"/>
      <c r="CG407" s="81"/>
      <c r="CH407" s="81"/>
      <c r="CI407" s="81"/>
      <c r="CJ407" s="81"/>
      <c r="CK407" s="81"/>
      <c r="CL407" s="81"/>
      <c r="CM407" s="81"/>
      <c r="CN407" s="81"/>
      <c r="CO407" s="81"/>
      <c r="CP407" s="81"/>
      <c r="CQ407" s="81"/>
      <c r="CR407" s="81"/>
      <c r="CS407" s="81"/>
      <c r="CT407" s="81"/>
      <c r="CU407" s="81"/>
      <c r="CV407" s="81"/>
      <c r="CW407" s="81"/>
      <c r="CX407" s="81"/>
      <c r="CY407" s="81"/>
      <c r="CZ407" s="81"/>
      <c r="DA407" s="81"/>
      <c r="DB407" s="81"/>
      <c r="DC407" s="81"/>
      <c r="DD407" s="81"/>
      <c r="DE407" s="81"/>
      <c r="DF407" s="81"/>
      <c r="DG407" s="81"/>
      <c r="DH407" s="81"/>
      <c r="DI407" s="81"/>
      <c r="DJ407" s="81"/>
      <c r="DK407" s="81"/>
      <c r="DL407" s="81"/>
      <c r="DM407" s="81"/>
      <c r="DN407" s="81"/>
      <c r="DO407" s="81"/>
      <c r="DP407" s="81"/>
      <c r="DQ407" s="81"/>
      <c r="DR407" s="81"/>
      <c r="DS407" s="81"/>
      <c r="DT407" s="81"/>
      <c r="DU407" s="81"/>
      <c r="DV407" s="81"/>
      <c r="DW407" s="121"/>
    </row>
    <row r="408" spans="1:127" x14ac:dyDescent="0.25">
      <c r="A408" s="2">
        <f>COUNTIF($D$2:D408,'Reporte de Nomina'!$E$2)</f>
        <v>0</v>
      </c>
      <c r="B408" s="125">
        <f>Lista!A407</f>
        <v>0</v>
      </c>
      <c r="C408" s="125">
        <f>Lista!B407</f>
        <v>0</v>
      </c>
      <c r="D408" s="125">
        <f>Lista!C407</f>
        <v>0</v>
      </c>
      <c r="E408" s="125">
        <f>Lista!D407</f>
        <v>0</v>
      </c>
      <c r="F408" s="125">
        <f>Lista!E407</f>
        <v>0</v>
      </c>
      <c r="G408" s="125">
        <f>Lista!F407</f>
        <v>0</v>
      </c>
      <c r="H408" s="125">
        <f>Lista!G407</f>
        <v>0</v>
      </c>
      <c r="I408" s="125">
        <f>Lista!H407</f>
        <v>0</v>
      </c>
      <c r="J408" s="125">
        <f>Lista!I407</f>
        <v>0</v>
      </c>
      <c r="K408" s="125">
        <f>Lista!J407</f>
        <v>0</v>
      </c>
      <c r="L408" s="125">
        <f>Lista!K407</f>
        <v>0</v>
      </c>
      <c r="M408" s="125">
        <f>Lista!L407</f>
        <v>0</v>
      </c>
      <c r="N408" s="125">
        <f>Lista!M407</f>
        <v>0</v>
      </c>
      <c r="O408" s="125">
        <f>Lista!N407</f>
        <v>0</v>
      </c>
      <c r="P408" s="125">
        <f>Lista!O407</f>
        <v>0</v>
      </c>
      <c r="Q408" s="125">
        <f>Lista!P407</f>
        <v>0</v>
      </c>
      <c r="R408" s="125">
        <f>Lista!Q407</f>
        <v>0</v>
      </c>
      <c r="S408" s="125">
        <f>Lista!R407</f>
        <v>0</v>
      </c>
      <c r="T408" s="81"/>
      <c r="U408" s="81"/>
      <c r="V408" s="81"/>
      <c r="W408" s="81"/>
      <c r="X408" s="81"/>
      <c r="Y408" s="81"/>
      <c r="Z408" s="81"/>
      <c r="AA408" s="81"/>
      <c r="AB408" s="81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  <c r="BS408" s="81"/>
      <c r="BT408" s="81"/>
      <c r="BU408" s="81"/>
      <c r="BV408" s="81"/>
      <c r="BW408" s="81"/>
      <c r="BX408" s="81"/>
      <c r="BY408" s="81"/>
      <c r="BZ408" s="81"/>
      <c r="CA408" s="81"/>
      <c r="CB408" s="81"/>
      <c r="CC408" s="81"/>
      <c r="CD408" s="81"/>
      <c r="CE408" s="81"/>
      <c r="CF408" s="81"/>
      <c r="CG408" s="81"/>
      <c r="CH408" s="81"/>
      <c r="CI408" s="81"/>
      <c r="CJ408" s="81"/>
      <c r="CK408" s="81"/>
      <c r="CL408" s="81"/>
      <c r="CM408" s="81"/>
      <c r="CN408" s="81"/>
      <c r="CO408" s="81"/>
      <c r="CP408" s="81"/>
      <c r="CQ408" s="81"/>
      <c r="CR408" s="81"/>
      <c r="CS408" s="81"/>
      <c r="CT408" s="81"/>
      <c r="CU408" s="81"/>
      <c r="CV408" s="81"/>
      <c r="CW408" s="81"/>
      <c r="CX408" s="81"/>
      <c r="CY408" s="81"/>
      <c r="CZ408" s="81"/>
      <c r="DA408" s="81"/>
      <c r="DB408" s="81"/>
      <c r="DC408" s="81"/>
      <c r="DD408" s="81"/>
      <c r="DE408" s="81"/>
      <c r="DF408" s="81"/>
      <c r="DG408" s="81"/>
      <c r="DH408" s="81"/>
      <c r="DI408" s="81"/>
      <c r="DJ408" s="81"/>
      <c r="DK408" s="81"/>
      <c r="DL408" s="81"/>
      <c r="DM408" s="81"/>
      <c r="DN408" s="81"/>
      <c r="DO408" s="81"/>
      <c r="DP408" s="81"/>
      <c r="DQ408" s="81"/>
      <c r="DR408" s="81"/>
      <c r="DS408" s="81"/>
      <c r="DT408" s="81"/>
      <c r="DU408" s="81"/>
      <c r="DV408" s="81"/>
      <c r="DW408" s="121"/>
    </row>
    <row r="409" spans="1:127" x14ac:dyDescent="0.25">
      <c r="A409" s="2">
        <f>COUNTIF($D$2:D409,'Reporte de Nomina'!$E$2)</f>
        <v>0</v>
      </c>
      <c r="B409" s="125">
        <f>Lista!A408</f>
        <v>0</v>
      </c>
      <c r="C409" s="125">
        <f>Lista!B408</f>
        <v>0</v>
      </c>
      <c r="D409" s="125">
        <f>Lista!C408</f>
        <v>0</v>
      </c>
      <c r="E409" s="125">
        <f>Lista!D408</f>
        <v>0</v>
      </c>
      <c r="F409" s="125">
        <f>Lista!E408</f>
        <v>0</v>
      </c>
      <c r="G409" s="125">
        <f>Lista!F408</f>
        <v>0</v>
      </c>
      <c r="H409" s="125">
        <f>Lista!G408</f>
        <v>0</v>
      </c>
      <c r="I409" s="125">
        <f>Lista!H408</f>
        <v>0</v>
      </c>
      <c r="J409" s="125">
        <f>Lista!I408</f>
        <v>0</v>
      </c>
      <c r="K409" s="125">
        <f>Lista!J408</f>
        <v>0</v>
      </c>
      <c r="L409" s="125">
        <f>Lista!K408</f>
        <v>0</v>
      </c>
      <c r="M409" s="125">
        <f>Lista!L408</f>
        <v>0</v>
      </c>
      <c r="N409" s="125">
        <f>Lista!M408</f>
        <v>0</v>
      </c>
      <c r="O409" s="125">
        <f>Lista!N408</f>
        <v>0</v>
      </c>
      <c r="P409" s="125">
        <f>Lista!O408</f>
        <v>0</v>
      </c>
      <c r="Q409" s="125">
        <f>Lista!P408</f>
        <v>0</v>
      </c>
      <c r="R409" s="125">
        <f>Lista!Q408</f>
        <v>0</v>
      </c>
      <c r="S409" s="125">
        <f>Lista!R408</f>
        <v>0</v>
      </c>
      <c r="T409" s="81"/>
      <c r="U409" s="81"/>
      <c r="V409" s="81"/>
      <c r="W409" s="81"/>
      <c r="X409" s="81"/>
      <c r="Y409" s="81"/>
      <c r="Z409" s="81"/>
      <c r="AA409" s="81"/>
      <c r="AB409" s="81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  <c r="BS409" s="81"/>
      <c r="BT409" s="81"/>
      <c r="BU409" s="81"/>
      <c r="BV409" s="81"/>
      <c r="BW409" s="81"/>
      <c r="BX409" s="81"/>
      <c r="BY409" s="81"/>
      <c r="BZ409" s="81"/>
      <c r="CA409" s="81"/>
      <c r="CB409" s="81"/>
      <c r="CC409" s="81"/>
      <c r="CD409" s="81"/>
      <c r="CE409" s="81"/>
      <c r="CF409" s="81"/>
      <c r="CG409" s="81"/>
      <c r="CH409" s="81"/>
      <c r="CI409" s="81"/>
      <c r="CJ409" s="81"/>
      <c r="CK409" s="81"/>
      <c r="CL409" s="81"/>
      <c r="CM409" s="81"/>
      <c r="CN409" s="81"/>
      <c r="CO409" s="81"/>
      <c r="CP409" s="81"/>
      <c r="CQ409" s="81"/>
      <c r="CR409" s="81"/>
      <c r="CS409" s="81"/>
      <c r="CT409" s="81"/>
      <c r="CU409" s="81"/>
      <c r="CV409" s="81"/>
      <c r="CW409" s="81"/>
      <c r="CX409" s="81"/>
      <c r="CY409" s="81"/>
      <c r="CZ409" s="81"/>
      <c r="DA409" s="81"/>
      <c r="DB409" s="81"/>
      <c r="DC409" s="81"/>
      <c r="DD409" s="81"/>
      <c r="DE409" s="81"/>
      <c r="DF409" s="81"/>
      <c r="DG409" s="81"/>
      <c r="DH409" s="81"/>
      <c r="DI409" s="81"/>
      <c r="DJ409" s="81"/>
      <c r="DK409" s="81"/>
      <c r="DL409" s="81"/>
      <c r="DM409" s="81"/>
      <c r="DN409" s="81"/>
      <c r="DO409" s="81"/>
      <c r="DP409" s="81"/>
      <c r="DQ409" s="81"/>
      <c r="DR409" s="81"/>
      <c r="DS409" s="81"/>
      <c r="DT409" s="81"/>
      <c r="DU409" s="81"/>
      <c r="DV409" s="81"/>
      <c r="DW409" s="121"/>
    </row>
    <row r="410" spans="1:127" x14ac:dyDescent="0.25">
      <c r="A410" s="2">
        <f>COUNTIF($D$2:D410,'Reporte de Nomina'!$E$2)</f>
        <v>0</v>
      </c>
      <c r="B410" s="125">
        <f>Lista!A409</f>
        <v>0</v>
      </c>
      <c r="C410" s="125">
        <f>Lista!B409</f>
        <v>0</v>
      </c>
      <c r="D410" s="125">
        <f>Lista!C409</f>
        <v>0</v>
      </c>
      <c r="E410" s="125">
        <f>Lista!D409</f>
        <v>0</v>
      </c>
      <c r="F410" s="125">
        <f>Lista!E409</f>
        <v>0</v>
      </c>
      <c r="G410" s="125">
        <f>Lista!F409</f>
        <v>0</v>
      </c>
      <c r="H410" s="125">
        <f>Lista!G409</f>
        <v>0</v>
      </c>
      <c r="I410" s="125">
        <f>Lista!H409</f>
        <v>0</v>
      </c>
      <c r="J410" s="125">
        <f>Lista!I409</f>
        <v>0</v>
      </c>
      <c r="K410" s="125">
        <f>Lista!J409</f>
        <v>0</v>
      </c>
      <c r="L410" s="125">
        <f>Lista!K409</f>
        <v>0</v>
      </c>
      <c r="M410" s="125">
        <f>Lista!L409</f>
        <v>0</v>
      </c>
      <c r="N410" s="125">
        <f>Lista!M409</f>
        <v>0</v>
      </c>
      <c r="O410" s="125">
        <f>Lista!N409</f>
        <v>0</v>
      </c>
      <c r="P410" s="125">
        <f>Lista!O409</f>
        <v>0</v>
      </c>
      <c r="Q410" s="125">
        <f>Lista!P409</f>
        <v>0</v>
      </c>
      <c r="R410" s="125">
        <f>Lista!Q409</f>
        <v>0</v>
      </c>
      <c r="S410" s="125">
        <f>Lista!R409</f>
        <v>0</v>
      </c>
      <c r="T410" s="81"/>
      <c r="U410" s="81"/>
      <c r="V410" s="81"/>
      <c r="W410" s="81"/>
      <c r="X410" s="81"/>
      <c r="Y410" s="81"/>
      <c r="Z410" s="81"/>
      <c r="AA410" s="81"/>
      <c r="AB410" s="81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  <c r="BS410" s="81"/>
      <c r="BT410" s="81"/>
      <c r="BU410" s="81"/>
      <c r="BV410" s="81"/>
      <c r="BW410" s="81"/>
      <c r="BX410" s="81"/>
      <c r="BY410" s="81"/>
      <c r="BZ410" s="81"/>
      <c r="CA410" s="81"/>
      <c r="CB410" s="81"/>
      <c r="CC410" s="81"/>
      <c r="CD410" s="81"/>
      <c r="CE410" s="81"/>
      <c r="CF410" s="81"/>
      <c r="CG410" s="81"/>
      <c r="CH410" s="81"/>
      <c r="CI410" s="81"/>
      <c r="CJ410" s="81"/>
      <c r="CK410" s="81"/>
      <c r="CL410" s="81"/>
      <c r="CM410" s="81"/>
      <c r="CN410" s="81"/>
      <c r="CO410" s="81"/>
      <c r="CP410" s="81"/>
      <c r="CQ410" s="81"/>
      <c r="CR410" s="81"/>
      <c r="CS410" s="81"/>
      <c r="CT410" s="81"/>
      <c r="CU410" s="81"/>
      <c r="CV410" s="81"/>
      <c r="CW410" s="81"/>
      <c r="CX410" s="81"/>
      <c r="CY410" s="81"/>
      <c r="CZ410" s="81"/>
      <c r="DA410" s="81"/>
      <c r="DB410" s="81"/>
      <c r="DC410" s="81"/>
      <c r="DD410" s="81"/>
      <c r="DE410" s="81"/>
      <c r="DF410" s="81"/>
      <c r="DG410" s="81"/>
      <c r="DH410" s="81"/>
      <c r="DI410" s="81"/>
      <c r="DJ410" s="81"/>
      <c r="DK410" s="81"/>
      <c r="DL410" s="81"/>
      <c r="DM410" s="81"/>
      <c r="DN410" s="81"/>
      <c r="DO410" s="81"/>
      <c r="DP410" s="81"/>
      <c r="DQ410" s="81"/>
      <c r="DR410" s="81"/>
      <c r="DS410" s="81"/>
      <c r="DT410" s="81"/>
      <c r="DU410" s="81"/>
      <c r="DV410" s="81"/>
      <c r="DW410" s="121"/>
    </row>
    <row r="411" spans="1:127" x14ac:dyDescent="0.25">
      <c r="A411" s="2">
        <f>COUNTIF($D$2:D411,'Reporte de Nomina'!$E$2)</f>
        <v>0</v>
      </c>
      <c r="B411" s="125">
        <f>Lista!A410</f>
        <v>0</v>
      </c>
      <c r="C411" s="125">
        <f>Lista!B410</f>
        <v>0</v>
      </c>
      <c r="D411" s="125">
        <f>Lista!C410</f>
        <v>0</v>
      </c>
      <c r="E411" s="125">
        <f>Lista!D410</f>
        <v>0</v>
      </c>
      <c r="F411" s="125">
        <f>Lista!E410</f>
        <v>0</v>
      </c>
      <c r="G411" s="125">
        <f>Lista!F410</f>
        <v>0</v>
      </c>
      <c r="H411" s="125">
        <f>Lista!G410</f>
        <v>0</v>
      </c>
      <c r="I411" s="125">
        <f>Lista!H410</f>
        <v>0</v>
      </c>
      <c r="J411" s="125">
        <f>Lista!I410</f>
        <v>0</v>
      </c>
      <c r="K411" s="125">
        <f>Lista!J410</f>
        <v>0</v>
      </c>
      <c r="L411" s="125">
        <f>Lista!K410</f>
        <v>0</v>
      </c>
      <c r="M411" s="125">
        <f>Lista!L410</f>
        <v>0</v>
      </c>
      <c r="N411" s="125">
        <f>Lista!M410</f>
        <v>0</v>
      </c>
      <c r="O411" s="125">
        <f>Lista!N410</f>
        <v>0</v>
      </c>
      <c r="P411" s="125">
        <f>Lista!O410</f>
        <v>0</v>
      </c>
      <c r="Q411" s="125">
        <f>Lista!P410</f>
        <v>0</v>
      </c>
      <c r="R411" s="125">
        <f>Lista!Q410</f>
        <v>0</v>
      </c>
      <c r="S411" s="125">
        <f>Lista!R410</f>
        <v>0</v>
      </c>
      <c r="T411" s="81"/>
      <c r="U411" s="81"/>
      <c r="V411" s="81"/>
      <c r="W411" s="81"/>
      <c r="X411" s="81"/>
      <c r="Y411" s="81"/>
      <c r="Z411" s="81"/>
      <c r="AA411" s="81"/>
      <c r="AB411" s="81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  <c r="BS411" s="81"/>
      <c r="BT411" s="81"/>
      <c r="BU411" s="81"/>
      <c r="BV411" s="81"/>
      <c r="BW411" s="81"/>
      <c r="BX411" s="81"/>
      <c r="BY411" s="81"/>
      <c r="BZ411" s="81"/>
      <c r="CA411" s="81"/>
      <c r="CB411" s="81"/>
      <c r="CC411" s="81"/>
      <c r="CD411" s="81"/>
      <c r="CE411" s="81"/>
      <c r="CF411" s="81"/>
      <c r="CG411" s="81"/>
      <c r="CH411" s="81"/>
      <c r="CI411" s="81"/>
      <c r="CJ411" s="81"/>
      <c r="CK411" s="81"/>
      <c r="CL411" s="81"/>
      <c r="CM411" s="81"/>
      <c r="CN411" s="81"/>
      <c r="CO411" s="81"/>
      <c r="CP411" s="81"/>
      <c r="CQ411" s="81"/>
      <c r="CR411" s="81"/>
      <c r="CS411" s="81"/>
      <c r="CT411" s="81"/>
      <c r="CU411" s="81"/>
      <c r="CV411" s="81"/>
      <c r="CW411" s="81"/>
      <c r="CX411" s="81"/>
      <c r="CY411" s="81"/>
      <c r="CZ411" s="81"/>
      <c r="DA411" s="81"/>
      <c r="DB411" s="81"/>
      <c r="DC411" s="81"/>
      <c r="DD411" s="81"/>
      <c r="DE411" s="81"/>
      <c r="DF411" s="81"/>
      <c r="DG411" s="81"/>
      <c r="DH411" s="81"/>
      <c r="DI411" s="81"/>
      <c r="DJ411" s="81"/>
      <c r="DK411" s="81"/>
      <c r="DL411" s="81"/>
      <c r="DM411" s="81"/>
      <c r="DN411" s="81"/>
      <c r="DO411" s="81"/>
      <c r="DP411" s="81"/>
      <c r="DQ411" s="81"/>
      <c r="DR411" s="81"/>
      <c r="DS411" s="81"/>
      <c r="DT411" s="81"/>
      <c r="DU411" s="81"/>
      <c r="DV411" s="81"/>
      <c r="DW411" s="121"/>
    </row>
    <row r="412" spans="1:127" x14ac:dyDescent="0.25">
      <c r="A412" s="2">
        <f>COUNTIF($D$2:D412,'Reporte de Nomina'!$E$2)</f>
        <v>0</v>
      </c>
      <c r="B412" s="125">
        <f>Lista!A411</f>
        <v>0</v>
      </c>
      <c r="C412" s="125">
        <f>Lista!B411</f>
        <v>0</v>
      </c>
      <c r="D412" s="125">
        <f>Lista!C411</f>
        <v>0</v>
      </c>
      <c r="E412" s="125">
        <f>Lista!D411</f>
        <v>0</v>
      </c>
      <c r="F412" s="125">
        <f>Lista!E411</f>
        <v>0</v>
      </c>
      <c r="G412" s="125">
        <f>Lista!F411</f>
        <v>0</v>
      </c>
      <c r="H412" s="125">
        <f>Lista!G411</f>
        <v>0</v>
      </c>
      <c r="I412" s="125">
        <f>Lista!H411</f>
        <v>0</v>
      </c>
      <c r="J412" s="125">
        <f>Lista!I411</f>
        <v>0</v>
      </c>
      <c r="K412" s="125">
        <f>Lista!J411</f>
        <v>0</v>
      </c>
      <c r="L412" s="125">
        <f>Lista!K411</f>
        <v>0</v>
      </c>
      <c r="M412" s="125">
        <f>Lista!L411</f>
        <v>0</v>
      </c>
      <c r="N412" s="125">
        <f>Lista!M411</f>
        <v>0</v>
      </c>
      <c r="O412" s="125">
        <f>Lista!N411</f>
        <v>0</v>
      </c>
      <c r="P412" s="125">
        <f>Lista!O411</f>
        <v>0</v>
      </c>
      <c r="Q412" s="125">
        <f>Lista!P411</f>
        <v>0</v>
      </c>
      <c r="R412" s="125">
        <f>Lista!Q411</f>
        <v>0</v>
      </c>
      <c r="S412" s="125">
        <f>Lista!R411</f>
        <v>0</v>
      </c>
      <c r="T412" s="81"/>
      <c r="U412" s="81"/>
      <c r="V412" s="81"/>
      <c r="W412" s="81"/>
      <c r="X412" s="81"/>
      <c r="Y412" s="81"/>
      <c r="Z412" s="81"/>
      <c r="AA412" s="81"/>
      <c r="AB412" s="81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  <c r="BS412" s="81"/>
      <c r="BT412" s="81"/>
      <c r="BU412" s="81"/>
      <c r="BV412" s="81"/>
      <c r="BW412" s="81"/>
      <c r="BX412" s="81"/>
      <c r="BY412" s="81"/>
      <c r="BZ412" s="81"/>
      <c r="CA412" s="81"/>
      <c r="CB412" s="81"/>
      <c r="CC412" s="81"/>
      <c r="CD412" s="81"/>
      <c r="CE412" s="81"/>
      <c r="CF412" s="81"/>
      <c r="CG412" s="81"/>
      <c r="CH412" s="81"/>
      <c r="CI412" s="81"/>
      <c r="CJ412" s="81"/>
      <c r="CK412" s="81"/>
      <c r="CL412" s="81"/>
      <c r="CM412" s="81"/>
      <c r="CN412" s="81"/>
      <c r="CO412" s="81"/>
      <c r="CP412" s="81"/>
      <c r="CQ412" s="81"/>
      <c r="CR412" s="81"/>
      <c r="CS412" s="81"/>
      <c r="CT412" s="81"/>
      <c r="CU412" s="81"/>
      <c r="CV412" s="81"/>
      <c r="CW412" s="81"/>
      <c r="CX412" s="81"/>
      <c r="CY412" s="81"/>
      <c r="CZ412" s="81"/>
      <c r="DA412" s="81"/>
      <c r="DB412" s="81"/>
      <c r="DC412" s="81"/>
      <c r="DD412" s="81"/>
      <c r="DE412" s="81"/>
      <c r="DF412" s="81"/>
      <c r="DG412" s="81"/>
      <c r="DH412" s="81"/>
      <c r="DI412" s="81"/>
      <c r="DJ412" s="81"/>
      <c r="DK412" s="81"/>
      <c r="DL412" s="81"/>
      <c r="DM412" s="81"/>
      <c r="DN412" s="81"/>
      <c r="DO412" s="81"/>
      <c r="DP412" s="81"/>
      <c r="DQ412" s="81"/>
      <c r="DR412" s="81"/>
      <c r="DS412" s="81"/>
      <c r="DT412" s="81"/>
      <c r="DU412" s="81"/>
      <c r="DV412" s="81"/>
      <c r="DW412" s="121"/>
    </row>
    <row r="413" spans="1:127" x14ac:dyDescent="0.25">
      <c r="A413" s="2">
        <f>COUNTIF($D$2:D413,'Reporte de Nomina'!$E$2)</f>
        <v>0</v>
      </c>
      <c r="B413" s="125">
        <f>Lista!A412</f>
        <v>0</v>
      </c>
      <c r="C413" s="125">
        <f>Lista!B412</f>
        <v>0</v>
      </c>
      <c r="D413" s="125">
        <f>Lista!C412</f>
        <v>0</v>
      </c>
      <c r="E413" s="125">
        <f>Lista!D412</f>
        <v>0</v>
      </c>
      <c r="F413" s="125">
        <f>Lista!E412</f>
        <v>0</v>
      </c>
      <c r="G413" s="125">
        <f>Lista!F412</f>
        <v>0</v>
      </c>
      <c r="H413" s="125">
        <f>Lista!G412</f>
        <v>0</v>
      </c>
      <c r="I413" s="125">
        <f>Lista!H412</f>
        <v>0</v>
      </c>
      <c r="J413" s="125">
        <f>Lista!I412</f>
        <v>0</v>
      </c>
      <c r="K413" s="125">
        <f>Lista!J412</f>
        <v>0</v>
      </c>
      <c r="L413" s="125">
        <f>Lista!K412</f>
        <v>0</v>
      </c>
      <c r="M413" s="125">
        <f>Lista!L412</f>
        <v>0</v>
      </c>
      <c r="N413" s="125">
        <f>Lista!M412</f>
        <v>0</v>
      </c>
      <c r="O413" s="125">
        <f>Lista!N412</f>
        <v>0</v>
      </c>
      <c r="P413" s="125">
        <f>Lista!O412</f>
        <v>0</v>
      </c>
      <c r="Q413" s="125">
        <f>Lista!P412</f>
        <v>0</v>
      </c>
      <c r="R413" s="125">
        <f>Lista!Q412</f>
        <v>0</v>
      </c>
      <c r="S413" s="125">
        <f>Lista!R412</f>
        <v>0</v>
      </c>
      <c r="T413" s="81"/>
      <c r="U413" s="81"/>
      <c r="V413" s="81"/>
      <c r="W413" s="81"/>
      <c r="X413" s="81"/>
      <c r="Y413" s="81"/>
      <c r="Z413" s="81"/>
      <c r="AA413" s="81"/>
      <c r="AB413" s="81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  <c r="BS413" s="81"/>
      <c r="BT413" s="81"/>
      <c r="BU413" s="81"/>
      <c r="BV413" s="81"/>
      <c r="BW413" s="81"/>
      <c r="BX413" s="81"/>
      <c r="BY413" s="81"/>
      <c r="BZ413" s="81"/>
      <c r="CA413" s="81"/>
      <c r="CB413" s="81"/>
      <c r="CC413" s="81"/>
      <c r="CD413" s="81"/>
      <c r="CE413" s="81"/>
      <c r="CF413" s="81"/>
      <c r="CG413" s="81"/>
      <c r="CH413" s="81"/>
      <c r="CI413" s="81"/>
      <c r="CJ413" s="81"/>
      <c r="CK413" s="81"/>
      <c r="CL413" s="81"/>
      <c r="CM413" s="81"/>
      <c r="CN413" s="81"/>
      <c r="CO413" s="81"/>
      <c r="CP413" s="81"/>
      <c r="CQ413" s="81"/>
      <c r="CR413" s="81"/>
      <c r="CS413" s="81"/>
      <c r="CT413" s="81"/>
      <c r="CU413" s="81"/>
      <c r="CV413" s="81"/>
      <c r="CW413" s="81"/>
      <c r="CX413" s="81"/>
      <c r="CY413" s="81"/>
      <c r="CZ413" s="81"/>
      <c r="DA413" s="81"/>
      <c r="DB413" s="81"/>
      <c r="DC413" s="81"/>
      <c r="DD413" s="81"/>
      <c r="DE413" s="81"/>
      <c r="DF413" s="81"/>
      <c r="DG413" s="81"/>
      <c r="DH413" s="81"/>
      <c r="DI413" s="81"/>
      <c r="DJ413" s="81"/>
      <c r="DK413" s="81"/>
      <c r="DL413" s="81"/>
      <c r="DM413" s="81"/>
      <c r="DN413" s="81"/>
      <c r="DO413" s="81"/>
      <c r="DP413" s="81"/>
      <c r="DQ413" s="81"/>
      <c r="DR413" s="81"/>
      <c r="DS413" s="81"/>
      <c r="DT413" s="81"/>
      <c r="DU413" s="81"/>
      <c r="DV413" s="81"/>
      <c r="DW413" s="121"/>
    </row>
    <row r="414" spans="1:127" x14ac:dyDescent="0.25">
      <c r="A414" s="2">
        <f>COUNTIF($D$2:D414,'Reporte de Nomina'!$E$2)</f>
        <v>0</v>
      </c>
      <c r="B414" s="125">
        <f>Lista!A413</f>
        <v>0</v>
      </c>
      <c r="C414" s="125">
        <f>Lista!B413</f>
        <v>0</v>
      </c>
      <c r="D414" s="125">
        <f>Lista!C413</f>
        <v>0</v>
      </c>
      <c r="E414" s="125">
        <f>Lista!D413</f>
        <v>0</v>
      </c>
      <c r="F414" s="125">
        <f>Lista!E413</f>
        <v>0</v>
      </c>
      <c r="G414" s="125">
        <f>Lista!F413</f>
        <v>0</v>
      </c>
      <c r="H414" s="125">
        <f>Lista!G413</f>
        <v>0</v>
      </c>
      <c r="I414" s="125">
        <f>Lista!H413</f>
        <v>0</v>
      </c>
      <c r="J414" s="125">
        <f>Lista!I413</f>
        <v>0</v>
      </c>
      <c r="K414" s="125">
        <f>Lista!J413</f>
        <v>0</v>
      </c>
      <c r="L414" s="125">
        <f>Lista!K413</f>
        <v>0</v>
      </c>
      <c r="M414" s="125">
        <f>Lista!L413</f>
        <v>0</v>
      </c>
      <c r="N414" s="125">
        <f>Lista!M413</f>
        <v>0</v>
      </c>
      <c r="O414" s="125">
        <f>Lista!N413</f>
        <v>0</v>
      </c>
      <c r="P414" s="125">
        <f>Lista!O413</f>
        <v>0</v>
      </c>
      <c r="Q414" s="125">
        <f>Lista!P413</f>
        <v>0</v>
      </c>
      <c r="R414" s="125">
        <f>Lista!Q413</f>
        <v>0</v>
      </c>
      <c r="S414" s="125">
        <f>Lista!R413</f>
        <v>0</v>
      </c>
      <c r="T414" s="81"/>
      <c r="U414" s="81"/>
      <c r="V414" s="81"/>
      <c r="W414" s="81"/>
      <c r="X414" s="81"/>
      <c r="Y414" s="81"/>
      <c r="Z414" s="81"/>
      <c r="AA414" s="81"/>
      <c r="AB414" s="81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  <c r="BS414" s="81"/>
      <c r="BT414" s="81"/>
      <c r="BU414" s="81"/>
      <c r="BV414" s="81"/>
      <c r="BW414" s="81"/>
      <c r="BX414" s="81"/>
      <c r="BY414" s="81"/>
      <c r="BZ414" s="81"/>
      <c r="CA414" s="81"/>
      <c r="CB414" s="81"/>
      <c r="CC414" s="81"/>
      <c r="CD414" s="81"/>
      <c r="CE414" s="81"/>
      <c r="CF414" s="81"/>
      <c r="CG414" s="81"/>
      <c r="CH414" s="81"/>
      <c r="CI414" s="81"/>
      <c r="CJ414" s="81"/>
      <c r="CK414" s="81"/>
      <c r="CL414" s="81"/>
      <c r="CM414" s="81"/>
      <c r="CN414" s="81"/>
      <c r="CO414" s="81"/>
      <c r="CP414" s="81"/>
      <c r="CQ414" s="81"/>
      <c r="CR414" s="81"/>
      <c r="CS414" s="81"/>
      <c r="CT414" s="81"/>
      <c r="CU414" s="81"/>
      <c r="CV414" s="81"/>
      <c r="CW414" s="81"/>
      <c r="CX414" s="81"/>
      <c r="CY414" s="81"/>
      <c r="CZ414" s="81"/>
      <c r="DA414" s="81"/>
      <c r="DB414" s="81"/>
      <c r="DC414" s="81"/>
      <c r="DD414" s="81"/>
      <c r="DE414" s="81"/>
      <c r="DF414" s="81"/>
      <c r="DG414" s="81"/>
      <c r="DH414" s="81"/>
      <c r="DI414" s="81"/>
      <c r="DJ414" s="81"/>
      <c r="DK414" s="81"/>
      <c r="DL414" s="81"/>
      <c r="DM414" s="81"/>
      <c r="DN414" s="81"/>
      <c r="DO414" s="81"/>
      <c r="DP414" s="81"/>
      <c r="DQ414" s="81"/>
      <c r="DR414" s="81"/>
      <c r="DS414" s="81"/>
      <c r="DT414" s="81"/>
      <c r="DU414" s="81"/>
      <c r="DV414" s="81"/>
      <c r="DW414" s="121"/>
    </row>
    <row r="415" spans="1:127" x14ac:dyDescent="0.25">
      <c r="A415" s="2">
        <f>COUNTIF($D$2:D415,'Reporte de Nomina'!$E$2)</f>
        <v>0</v>
      </c>
      <c r="B415" s="125">
        <f>Lista!A414</f>
        <v>0</v>
      </c>
      <c r="C415" s="125">
        <f>Lista!B414</f>
        <v>0</v>
      </c>
      <c r="D415" s="125">
        <f>Lista!C414</f>
        <v>0</v>
      </c>
      <c r="E415" s="125">
        <f>Lista!D414</f>
        <v>0</v>
      </c>
      <c r="F415" s="125">
        <f>Lista!E414</f>
        <v>0</v>
      </c>
      <c r="G415" s="125">
        <f>Lista!F414</f>
        <v>0</v>
      </c>
      <c r="H415" s="125">
        <f>Lista!G414</f>
        <v>0</v>
      </c>
      <c r="I415" s="125">
        <f>Lista!H414</f>
        <v>0</v>
      </c>
      <c r="J415" s="125">
        <f>Lista!I414</f>
        <v>0</v>
      </c>
      <c r="K415" s="125">
        <f>Lista!J414</f>
        <v>0</v>
      </c>
      <c r="L415" s="125">
        <f>Lista!K414</f>
        <v>0</v>
      </c>
      <c r="M415" s="125">
        <f>Lista!L414</f>
        <v>0</v>
      </c>
      <c r="N415" s="125">
        <f>Lista!M414</f>
        <v>0</v>
      </c>
      <c r="O415" s="125">
        <f>Lista!N414</f>
        <v>0</v>
      </c>
      <c r="P415" s="125">
        <f>Lista!O414</f>
        <v>0</v>
      </c>
      <c r="Q415" s="125">
        <f>Lista!P414</f>
        <v>0</v>
      </c>
      <c r="R415" s="125">
        <f>Lista!Q414</f>
        <v>0</v>
      </c>
      <c r="S415" s="125">
        <f>Lista!R414</f>
        <v>0</v>
      </c>
      <c r="T415" s="81"/>
      <c r="U415" s="81"/>
      <c r="V415" s="81"/>
      <c r="W415" s="81"/>
      <c r="X415" s="81"/>
      <c r="Y415" s="81"/>
      <c r="Z415" s="81"/>
      <c r="AA415" s="81"/>
      <c r="AB415" s="81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  <c r="BS415" s="81"/>
      <c r="BT415" s="81"/>
      <c r="BU415" s="81"/>
      <c r="BV415" s="81"/>
      <c r="BW415" s="81"/>
      <c r="BX415" s="81"/>
      <c r="BY415" s="81"/>
      <c r="BZ415" s="81"/>
      <c r="CA415" s="81"/>
      <c r="CB415" s="81"/>
      <c r="CC415" s="81"/>
      <c r="CD415" s="81"/>
      <c r="CE415" s="81"/>
      <c r="CF415" s="81"/>
      <c r="CG415" s="81"/>
      <c r="CH415" s="81"/>
      <c r="CI415" s="81"/>
      <c r="CJ415" s="81"/>
      <c r="CK415" s="81"/>
      <c r="CL415" s="81"/>
      <c r="CM415" s="81"/>
      <c r="CN415" s="81"/>
      <c r="CO415" s="81"/>
      <c r="CP415" s="81"/>
      <c r="CQ415" s="81"/>
      <c r="CR415" s="81"/>
      <c r="CS415" s="81"/>
      <c r="CT415" s="81"/>
      <c r="CU415" s="81"/>
      <c r="CV415" s="81"/>
      <c r="CW415" s="81"/>
      <c r="CX415" s="81"/>
      <c r="CY415" s="81"/>
      <c r="CZ415" s="81"/>
      <c r="DA415" s="81"/>
      <c r="DB415" s="81"/>
      <c r="DC415" s="81"/>
      <c r="DD415" s="81"/>
      <c r="DE415" s="81"/>
      <c r="DF415" s="81"/>
      <c r="DG415" s="81"/>
      <c r="DH415" s="81"/>
      <c r="DI415" s="81"/>
      <c r="DJ415" s="81"/>
      <c r="DK415" s="81"/>
      <c r="DL415" s="81"/>
      <c r="DM415" s="81"/>
      <c r="DN415" s="81"/>
      <c r="DO415" s="81"/>
      <c r="DP415" s="81"/>
      <c r="DQ415" s="81"/>
      <c r="DR415" s="81"/>
      <c r="DS415" s="81"/>
      <c r="DT415" s="81"/>
      <c r="DU415" s="81"/>
      <c r="DV415" s="81"/>
      <c r="DW415" s="121"/>
    </row>
    <row r="416" spans="1:127" x14ac:dyDescent="0.25">
      <c r="A416" s="2">
        <f>COUNTIF($D$2:D416,'Reporte de Nomina'!$E$2)</f>
        <v>0</v>
      </c>
      <c r="B416" s="125">
        <f>Lista!A415</f>
        <v>0</v>
      </c>
      <c r="C416" s="125">
        <f>Lista!B415</f>
        <v>0</v>
      </c>
      <c r="D416" s="125">
        <f>Lista!C415</f>
        <v>0</v>
      </c>
      <c r="E416" s="125">
        <f>Lista!D415</f>
        <v>0</v>
      </c>
      <c r="F416" s="125">
        <f>Lista!E415</f>
        <v>0</v>
      </c>
      <c r="G416" s="125">
        <f>Lista!F415</f>
        <v>0</v>
      </c>
      <c r="H416" s="125">
        <f>Lista!G415</f>
        <v>0</v>
      </c>
      <c r="I416" s="125">
        <f>Lista!H415</f>
        <v>0</v>
      </c>
      <c r="J416" s="125">
        <f>Lista!I415</f>
        <v>0</v>
      </c>
      <c r="K416" s="125">
        <f>Lista!J415</f>
        <v>0</v>
      </c>
      <c r="L416" s="125">
        <f>Lista!K415</f>
        <v>0</v>
      </c>
      <c r="M416" s="125">
        <f>Lista!L415</f>
        <v>0</v>
      </c>
      <c r="N416" s="125">
        <f>Lista!M415</f>
        <v>0</v>
      </c>
      <c r="O416" s="125">
        <f>Lista!N415</f>
        <v>0</v>
      </c>
      <c r="P416" s="125">
        <f>Lista!O415</f>
        <v>0</v>
      </c>
      <c r="Q416" s="125">
        <f>Lista!P415</f>
        <v>0</v>
      </c>
      <c r="R416" s="125">
        <f>Lista!Q415</f>
        <v>0</v>
      </c>
      <c r="S416" s="125">
        <f>Lista!R415</f>
        <v>0</v>
      </c>
      <c r="T416" s="81"/>
      <c r="U416" s="81"/>
      <c r="V416" s="81"/>
      <c r="W416" s="81"/>
      <c r="X416" s="81"/>
      <c r="Y416" s="81"/>
      <c r="Z416" s="81"/>
      <c r="AA416" s="81"/>
      <c r="AB416" s="81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  <c r="BS416" s="81"/>
      <c r="BT416" s="81"/>
      <c r="BU416" s="81"/>
      <c r="BV416" s="81"/>
      <c r="BW416" s="81"/>
      <c r="BX416" s="81"/>
      <c r="BY416" s="81"/>
      <c r="BZ416" s="81"/>
      <c r="CA416" s="81"/>
      <c r="CB416" s="81"/>
      <c r="CC416" s="81"/>
      <c r="CD416" s="81"/>
      <c r="CE416" s="81"/>
      <c r="CF416" s="81"/>
      <c r="CG416" s="81"/>
      <c r="CH416" s="81"/>
      <c r="CI416" s="81"/>
      <c r="CJ416" s="81"/>
      <c r="CK416" s="81"/>
      <c r="CL416" s="81"/>
      <c r="CM416" s="81"/>
      <c r="CN416" s="81"/>
      <c r="CO416" s="81"/>
      <c r="CP416" s="81"/>
      <c r="CQ416" s="81"/>
      <c r="CR416" s="81"/>
      <c r="CS416" s="81"/>
      <c r="CT416" s="81"/>
      <c r="CU416" s="81"/>
      <c r="CV416" s="81"/>
      <c r="CW416" s="81"/>
      <c r="CX416" s="81"/>
      <c r="CY416" s="81"/>
      <c r="CZ416" s="81"/>
      <c r="DA416" s="81"/>
      <c r="DB416" s="81"/>
      <c r="DC416" s="81"/>
      <c r="DD416" s="81"/>
      <c r="DE416" s="81"/>
      <c r="DF416" s="81"/>
      <c r="DG416" s="81"/>
      <c r="DH416" s="81"/>
      <c r="DI416" s="81"/>
      <c r="DJ416" s="81"/>
      <c r="DK416" s="81"/>
      <c r="DL416" s="81"/>
      <c r="DM416" s="81"/>
      <c r="DN416" s="81"/>
      <c r="DO416" s="81"/>
      <c r="DP416" s="81"/>
      <c r="DQ416" s="81"/>
      <c r="DR416" s="81"/>
      <c r="DS416" s="81"/>
      <c r="DT416" s="81"/>
      <c r="DU416" s="81"/>
      <c r="DV416" s="81"/>
      <c r="DW416" s="121"/>
    </row>
    <row r="417" spans="1:127" x14ac:dyDescent="0.25">
      <c r="A417" s="2">
        <f>COUNTIF($D$2:D417,'Reporte de Nomina'!$E$2)</f>
        <v>0</v>
      </c>
      <c r="B417" s="125">
        <f>Lista!A416</f>
        <v>0</v>
      </c>
      <c r="C417" s="125">
        <f>Lista!B416</f>
        <v>0</v>
      </c>
      <c r="D417" s="125">
        <f>Lista!C416</f>
        <v>0</v>
      </c>
      <c r="E417" s="125">
        <f>Lista!D416</f>
        <v>0</v>
      </c>
      <c r="F417" s="125">
        <f>Lista!E416</f>
        <v>0</v>
      </c>
      <c r="G417" s="125">
        <f>Lista!F416</f>
        <v>0</v>
      </c>
      <c r="H417" s="125">
        <f>Lista!G416</f>
        <v>0</v>
      </c>
      <c r="I417" s="125">
        <f>Lista!H416</f>
        <v>0</v>
      </c>
      <c r="J417" s="125">
        <f>Lista!I416</f>
        <v>0</v>
      </c>
      <c r="K417" s="125">
        <f>Lista!J416</f>
        <v>0</v>
      </c>
      <c r="L417" s="125">
        <f>Lista!K416</f>
        <v>0</v>
      </c>
      <c r="M417" s="125">
        <f>Lista!L416</f>
        <v>0</v>
      </c>
      <c r="N417" s="125">
        <f>Lista!M416</f>
        <v>0</v>
      </c>
      <c r="O417" s="125">
        <f>Lista!N416</f>
        <v>0</v>
      </c>
      <c r="P417" s="125">
        <f>Lista!O416</f>
        <v>0</v>
      </c>
      <c r="Q417" s="125">
        <f>Lista!P416</f>
        <v>0</v>
      </c>
      <c r="R417" s="125">
        <f>Lista!Q416</f>
        <v>0</v>
      </c>
      <c r="S417" s="125">
        <f>Lista!R416</f>
        <v>0</v>
      </c>
      <c r="T417" s="81"/>
      <c r="U417" s="81"/>
      <c r="V417" s="81"/>
      <c r="W417" s="81"/>
      <c r="X417" s="81"/>
      <c r="Y417" s="81"/>
      <c r="Z417" s="81"/>
      <c r="AA417" s="81"/>
      <c r="AB417" s="81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  <c r="BS417" s="81"/>
      <c r="BT417" s="81"/>
      <c r="BU417" s="81"/>
      <c r="BV417" s="81"/>
      <c r="BW417" s="81"/>
      <c r="BX417" s="81"/>
      <c r="BY417" s="81"/>
      <c r="BZ417" s="81"/>
      <c r="CA417" s="81"/>
      <c r="CB417" s="81"/>
      <c r="CC417" s="81"/>
      <c r="CD417" s="81"/>
      <c r="CE417" s="81"/>
      <c r="CF417" s="81"/>
      <c r="CG417" s="81"/>
      <c r="CH417" s="81"/>
      <c r="CI417" s="81"/>
      <c r="CJ417" s="81"/>
      <c r="CK417" s="81"/>
      <c r="CL417" s="81"/>
      <c r="CM417" s="81"/>
      <c r="CN417" s="81"/>
      <c r="CO417" s="81"/>
      <c r="CP417" s="81"/>
      <c r="CQ417" s="81"/>
      <c r="CR417" s="81"/>
      <c r="CS417" s="81"/>
      <c r="CT417" s="81"/>
      <c r="CU417" s="81"/>
      <c r="CV417" s="81"/>
      <c r="CW417" s="81"/>
      <c r="CX417" s="81"/>
      <c r="CY417" s="81"/>
      <c r="CZ417" s="81"/>
      <c r="DA417" s="81"/>
      <c r="DB417" s="81"/>
      <c r="DC417" s="81"/>
      <c r="DD417" s="81"/>
      <c r="DE417" s="81"/>
      <c r="DF417" s="81"/>
      <c r="DG417" s="81"/>
      <c r="DH417" s="81"/>
      <c r="DI417" s="81"/>
      <c r="DJ417" s="81"/>
      <c r="DK417" s="81"/>
      <c r="DL417" s="81"/>
      <c r="DM417" s="81"/>
      <c r="DN417" s="81"/>
      <c r="DO417" s="81"/>
      <c r="DP417" s="81"/>
      <c r="DQ417" s="81"/>
      <c r="DR417" s="81"/>
      <c r="DS417" s="81"/>
      <c r="DT417" s="81"/>
      <c r="DU417" s="81"/>
      <c r="DV417" s="81"/>
      <c r="DW417" s="121"/>
    </row>
    <row r="418" spans="1:127" x14ac:dyDescent="0.25">
      <c r="A418" s="2">
        <f>COUNTIF($D$2:D418,'Reporte de Nomina'!$E$2)</f>
        <v>0</v>
      </c>
      <c r="B418" s="125">
        <f>Lista!A417</f>
        <v>0</v>
      </c>
      <c r="C418" s="125">
        <f>Lista!B417</f>
        <v>0</v>
      </c>
      <c r="D418" s="125">
        <f>Lista!C417</f>
        <v>0</v>
      </c>
      <c r="E418" s="125">
        <f>Lista!D417</f>
        <v>0</v>
      </c>
      <c r="F418" s="125">
        <f>Lista!E417</f>
        <v>0</v>
      </c>
      <c r="G418" s="125">
        <f>Lista!F417</f>
        <v>0</v>
      </c>
      <c r="H418" s="125">
        <f>Lista!G417</f>
        <v>0</v>
      </c>
      <c r="I418" s="125">
        <f>Lista!H417</f>
        <v>0</v>
      </c>
      <c r="J418" s="125">
        <f>Lista!I417</f>
        <v>0</v>
      </c>
      <c r="K418" s="125">
        <f>Lista!J417</f>
        <v>0</v>
      </c>
      <c r="L418" s="125">
        <f>Lista!K417</f>
        <v>0</v>
      </c>
      <c r="M418" s="125">
        <f>Lista!L417</f>
        <v>0</v>
      </c>
      <c r="N418" s="125">
        <f>Lista!M417</f>
        <v>0</v>
      </c>
      <c r="O418" s="125">
        <f>Lista!N417</f>
        <v>0</v>
      </c>
      <c r="P418" s="125">
        <f>Lista!O417</f>
        <v>0</v>
      </c>
      <c r="Q418" s="125">
        <f>Lista!P417</f>
        <v>0</v>
      </c>
      <c r="R418" s="125">
        <f>Lista!Q417</f>
        <v>0</v>
      </c>
      <c r="S418" s="125">
        <f>Lista!R417</f>
        <v>0</v>
      </c>
      <c r="T418" s="81"/>
      <c r="U418" s="81"/>
      <c r="V418" s="81"/>
      <c r="W418" s="81"/>
      <c r="X418" s="81"/>
      <c r="Y418" s="81"/>
      <c r="Z418" s="81"/>
      <c r="AA418" s="81"/>
      <c r="AB418" s="81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  <c r="BS418" s="81"/>
      <c r="BT418" s="81"/>
      <c r="BU418" s="81"/>
      <c r="BV418" s="81"/>
      <c r="BW418" s="81"/>
      <c r="BX418" s="81"/>
      <c r="BY418" s="81"/>
      <c r="BZ418" s="81"/>
      <c r="CA418" s="81"/>
      <c r="CB418" s="81"/>
      <c r="CC418" s="81"/>
      <c r="CD418" s="81"/>
      <c r="CE418" s="81"/>
      <c r="CF418" s="81"/>
      <c r="CG418" s="81"/>
      <c r="CH418" s="81"/>
      <c r="CI418" s="81"/>
      <c r="CJ418" s="81"/>
      <c r="CK418" s="81"/>
      <c r="CL418" s="81"/>
      <c r="CM418" s="81"/>
      <c r="CN418" s="81"/>
      <c r="CO418" s="81"/>
      <c r="CP418" s="81"/>
      <c r="CQ418" s="81"/>
      <c r="CR418" s="81"/>
      <c r="CS418" s="81"/>
      <c r="CT418" s="81"/>
      <c r="CU418" s="81"/>
      <c r="CV418" s="81"/>
      <c r="CW418" s="81"/>
      <c r="CX418" s="81"/>
      <c r="CY418" s="81"/>
      <c r="CZ418" s="81"/>
      <c r="DA418" s="81"/>
      <c r="DB418" s="81"/>
      <c r="DC418" s="81"/>
      <c r="DD418" s="81"/>
      <c r="DE418" s="81"/>
      <c r="DF418" s="81"/>
      <c r="DG418" s="81"/>
      <c r="DH418" s="81"/>
      <c r="DI418" s="81"/>
      <c r="DJ418" s="81"/>
      <c r="DK418" s="81"/>
      <c r="DL418" s="81"/>
      <c r="DM418" s="81"/>
      <c r="DN418" s="81"/>
      <c r="DO418" s="81"/>
      <c r="DP418" s="81"/>
      <c r="DQ418" s="81"/>
      <c r="DR418" s="81"/>
      <c r="DS418" s="81"/>
      <c r="DT418" s="81"/>
      <c r="DU418" s="81"/>
      <c r="DV418" s="81"/>
      <c r="DW418" s="121"/>
    </row>
    <row r="419" spans="1:127" x14ac:dyDescent="0.25">
      <c r="A419" s="2">
        <f>COUNTIF($D$2:D419,'Reporte de Nomina'!$E$2)</f>
        <v>0</v>
      </c>
      <c r="B419" s="125">
        <f>Lista!A418</f>
        <v>0</v>
      </c>
      <c r="C419" s="125">
        <f>Lista!B418</f>
        <v>0</v>
      </c>
      <c r="D419" s="125">
        <f>Lista!C418</f>
        <v>0</v>
      </c>
      <c r="E419" s="125">
        <f>Lista!D418</f>
        <v>0</v>
      </c>
      <c r="F419" s="125">
        <f>Lista!E418</f>
        <v>0</v>
      </c>
      <c r="G419" s="125">
        <f>Lista!F418</f>
        <v>0</v>
      </c>
      <c r="H419" s="125">
        <f>Lista!G418</f>
        <v>0</v>
      </c>
      <c r="I419" s="125">
        <f>Lista!H418</f>
        <v>0</v>
      </c>
      <c r="J419" s="125">
        <f>Lista!I418</f>
        <v>0</v>
      </c>
      <c r="K419" s="125">
        <f>Lista!J418</f>
        <v>0</v>
      </c>
      <c r="L419" s="125">
        <f>Lista!K418</f>
        <v>0</v>
      </c>
      <c r="M419" s="125">
        <f>Lista!L418</f>
        <v>0</v>
      </c>
      <c r="N419" s="125">
        <f>Lista!M418</f>
        <v>0</v>
      </c>
      <c r="O419" s="125">
        <f>Lista!N418</f>
        <v>0</v>
      </c>
      <c r="P419" s="125">
        <f>Lista!O418</f>
        <v>0</v>
      </c>
      <c r="Q419" s="125">
        <f>Lista!P418</f>
        <v>0</v>
      </c>
      <c r="R419" s="125">
        <f>Lista!Q418</f>
        <v>0</v>
      </c>
      <c r="S419" s="125">
        <f>Lista!R418</f>
        <v>0</v>
      </c>
      <c r="T419" s="81"/>
      <c r="U419" s="81"/>
      <c r="V419" s="81"/>
      <c r="W419" s="81"/>
      <c r="X419" s="81"/>
      <c r="Y419" s="81"/>
      <c r="Z419" s="81"/>
      <c r="AA419" s="81"/>
      <c r="AB419" s="81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  <c r="BS419" s="81"/>
      <c r="BT419" s="81"/>
      <c r="BU419" s="81"/>
      <c r="BV419" s="81"/>
      <c r="BW419" s="81"/>
      <c r="BX419" s="81"/>
      <c r="BY419" s="81"/>
      <c r="BZ419" s="81"/>
      <c r="CA419" s="81"/>
      <c r="CB419" s="81"/>
      <c r="CC419" s="81"/>
      <c r="CD419" s="81"/>
      <c r="CE419" s="81"/>
      <c r="CF419" s="81"/>
      <c r="CG419" s="81"/>
      <c r="CH419" s="81"/>
      <c r="CI419" s="81"/>
      <c r="CJ419" s="81"/>
      <c r="CK419" s="81"/>
      <c r="CL419" s="81"/>
      <c r="CM419" s="81"/>
      <c r="CN419" s="81"/>
      <c r="CO419" s="81"/>
      <c r="CP419" s="81"/>
      <c r="CQ419" s="81"/>
      <c r="CR419" s="81"/>
      <c r="CS419" s="81"/>
      <c r="CT419" s="81"/>
      <c r="CU419" s="81"/>
      <c r="CV419" s="81"/>
      <c r="CW419" s="81"/>
      <c r="CX419" s="81"/>
      <c r="CY419" s="81"/>
      <c r="CZ419" s="81"/>
      <c r="DA419" s="81"/>
      <c r="DB419" s="81"/>
      <c r="DC419" s="81"/>
      <c r="DD419" s="81"/>
      <c r="DE419" s="81"/>
      <c r="DF419" s="81"/>
      <c r="DG419" s="81"/>
      <c r="DH419" s="81"/>
      <c r="DI419" s="81"/>
      <c r="DJ419" s="81"/>
      <c r="DK419" s="81"/>
      <c r="DL419" s="81"/>
      <c r="DM419" s="81"/>
      <c r="DN419" s="81"/>
      <c r="DO419" s="81"/>
      <c r="DP419" s="81"/>
      <c r="DQ419" s="81"/>
      <c r="DR419" s="81"/>
      <c r="DS419" s="81"/>
      <c r="DT419" s="81"/>
      <c r="DU419" s="81"/>
      <c r="DV419" s="81"/>
      <c r="DW419" s="121"/>
    </row>
    <row r="420" spans="1:127" x14ac:dyDescent="0.25">
      <c r="A420" s="2">
        <f>COUNTIF($D$2:D420,'Reporte de Nomina'!$E$2)</f>
        <v>0</v>
      </c>
      <c r="B420" s="125">
        <f>Lista!A419</f>
        <v>0</v>
      </c>
      <c r="C420" s="125">
        <f>Lista!B419</f>
        <v>0</v>
      </c>
      <c r="D420" s="125">
        <f>Lista!C419</f>
        <v>0</v>
      </c>
      <c r="E420" s="125">
        <f>Lista!D419</f>
        <v>0</v>
      </c>
      <c r="F420" s="125">
        <f>Lista!E419</f>
        <v>0</v>
      </c>
      <c r="G420" s="125">
        <f>Lista!F419</f>
        <v>0</v>
      </c>
      <c r="H420" s="125">
        <f>Lista!G419</f>
        <v>0</v>
      </c>
      <c r="I420" s="125">
        <f>Lista!H419</f>
        <v>0</v>
      </c>
      <c r="J420" s="125">
        <f>Lista!I419</f>
        <v>0</v>
      </c>
      <c r="K420" s="125">
        <f>Lista!J419</f>
        <v>0</v>
      </c>
      <c r="L420" s="125">
        <f>Lista!K419</f>
        <v>0</v>
      </c>
      <c r="M420" s="125">
        <f>Lista!L419</f>
        <v>0</v>
      </c>
      <c r="N420" s="125">
        <f>Lista!M419</f>
        <v>0</v>
      </c>
      <c r="O420" s="125">
        <f>Lista!N419</f>
        <v>0</v>
      </c>
      <c r="P420" s="125">
        <f>Lista!O419</f>
        <v>0</v>
      </c>
      <c r="Q420" s="125">
        <f>Lista!P419</f>
        <v>0</v>
      </c>
      <c r="R420" s="125">
        <f>Lista!Q419</f>
        <v>0</v>
      </c>
      <c r="S420" s="125">
        <f>Lista!R419</f>
        <v>0</v>
      </c>
      <c r="T420" s="81"/>
      <c r="U420" s="81"/>
      <c r="V420" s="81"/>
      <c r="W420" s="81"/>
      <c r="X420" s="81"/>
      <c r="Y420" s="81"/>
      <c r="Z420" s="81"/>
      <c r="AA420" s="81"/>
      <c r="AB420" s="81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  <c r="BS420" s="81"/>
      <c r="BT420" s="81"/>
      <c r="BU420" s="81"/>
      <c r="BV420" s="81"/>
      <c r="BW420" s="81"/>
      <c r="BX420" s="81"/>
      <c r="BY420" s="81"/>
      <c r="BZ420" s="81"/>
      <c r="CA420" s="81"/>
      <c r="CB420" s="81"/>
      <c r="CC420" s="81"/>
      <c r="CD420" s="81"/>
      <c r="CE420" s="81"/>
      <c r="CF420" s="81"/>
      <c r="CG420" s="81"/>
      <c r="CH420" s="81"/>
      <c r="CI420" s="81"/>
      <c r="CJ420" s="81"/>
      <c r="CK420" s="81"/>
      <c r="CL420" s="81"/>
      <c r="CM420" s="81"/>
      <c r="CN420" s="81"/>
      <c r="CO420" s="81"/>
      <c r="CP420" s="81"/>
      <c r="CQ420" s="81"/>
      <c r="CR420" s="81"/>
      <c r="CS420" s="81"/>
      <c r="CT420" s="81"/>
      <c r="CU420" s="81"/>
      <c r="CV420" s="81"/>
      <c r="CW420" s="81"/>
      <c r="CX420" s="81"/>
      <c r="CY420" s="81"/>
      <c r="CZ420" s="81"/>
      <c r="DA420" s="81"/>
      <c r="DB420" s="81"/>
      <c r="DC420" s="81"/>
      <c r="DD420" s="81"/>
      <c r="DE420" s="81"/>
      <c r="DF420" s="81"/>
      <c r="DG420" s="81"/>
      <c r="DH420" s="81"/>
      <c r="DI420" s="81"/>
      <c r="DJ420" s="81"/>
      <c r="DK420" s="81"/>
      <c r="DL420" s="81"/>
      <c r="DM420" s="81"/>
      <c r="DN420" s="81"/>
      <c r="DO420" s="81"/>
      <c r="DP420" s="81"/>
      <c r="DQ420" s="81"/>
      <c r="DR420" s="81"/>
      <c r="DS420" s="81"/>
      <c r="DT420" s="81"/>
      <c r="DU420" s="81"/>
      <c r="DV420" s="81"/>
      <c r="DW420" s="121"/>
    </row>
    <row r="421" spans="1:127" x14ac:dyDescent="0.25">
      <c r="A421" s="2">
        <f>COUNTIF($D$2:D421,'Reporte de Nomina'!$E$2)</f>
        <v>0</v>
      </c>
      <c r="B421" s="125">
        <f>Lista!A420</f>
        <v>0</v>
      </c>
      <c r="C421" s="125">
        <f>Lista!B420</f>
        <v>0</v>
      </c>
      <c r="D421" s="125">
        <f>Lista!C420</f>
        <v>0</v>
      </c>
      <c r="E421" s="125">
        <f>Lista!D420</f>
        <v>0</v>
      </c>
      <c r="F421" s="125">
        <f>Lista!E420</f>
        <v>0</v>
      </c>
      <c r="G421" s="125">
        <f>Lista!F420</f>
        <v>0</v>
      </c>
      <c r="H421" s="125">
        <f>Lista!G420</f>
        <v>0</v>
      </c>
      <c r="I421" s="125">
        <f>Lista!H420</f>
        <v>0</v>
      </c>
      <c r="J421" s="125">
        <f>Lista!I420</f>
        <v>0</v>
      </c>
      <c r="K421" s="125">
        <f>Lista!J420</f>
        <v>0</v>
      </c>
      <c r="L421" s="125">
        <f>Lista!K420</f>
        <v>0</v>
      </c>
      <c r="M421" s="125">
        <f>Lista!L420</f>
        <v>0</v>
      </c>
      <c r="N421" s="125">
        <f>Lista!M420</f>
        <v>0</v>
      </c>
      <c r="O421" s="125">
        <f>Lista!N420</f>
        <v>0</v>
      </c>
      <c r="P421" s="125">
        <f>Lista!O420</f>
        <v>0</v>
      </c>
      <c r="Q421" s="125">
        <f>Lista!P420</f>
        <v>0</v>
      </c>
      <c r="R421" s="125">
        <f>Lista!Q420</f>
        <v>0</v>
      </c>
      <c r="S421" s="125">
        <f>Lista!R420</f>
        <v>0</v>
      </c>
      <c r="T421" s="81"/>
      <c r="U421" s="81"/>
      <c r="V421" s="81"/>
      <c r="W421" s="81"/>
      <c r="X421" s="81"/>
      <c r="Y421" s="81"/>
      <c r="Z421" s="81"/>
      <c r="AA421" s="81"/>
      <c r="AB421" s="81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  <c r="BS421" s="81"/>
      <c r="BT421" s="81"/>
      <c r="BU421" s="81"/>
      <c r="BV421" s="81"/>
      <c r="BW421" s="81"/>
      <c r="BX421" s="81"/>
      <c r="BY421" s="81"/>
      <c r="BZ421" s="81"/>
      <c r="CA421" s="81"/>
      <c r="CB421" s="81"/>
      <c r="CC421" s="81"/>
      <c r="CD421" s="81"/>
      <c r="CE421" s="81"/>
      <c r="CF421" s="81"/>
      <c r="CG421" s="81"/>
      <c r="CH421" s="81"/>
      <c r="CI421" s="81"/>
      <c r="CJ421" s="81"/>
      <c r="CK421" s="81"/>
      <c r="CL421" s="81"/>
      <c r="CM421" s="81"/>
      <c r="CN421" s="81"/>
      <c r="CO421" s="81"/>
      <c r="CP421" s="81"/>
      <c r="CQ421" s="81"/>
      <c r="CR421" s="81"/>
      <c r="CS421" s="81"/>
      <c r="CT421" s="81"/>
      <c r="CU421" s="81"/>
      <c r="CV421" s="81"/>
      <c r="CW421" s="81"/>
      <c r="CX421" s="81"/>
      <c r="CY421" s="81"/>
      <c r="CZ421" s="81"/>
      <c r="DA421" s="81"/>
      <c r="DB421" s="81"/>
      <c r="DC421" s="81"/>
      <c r="DD421" s="81"/>
      <c r="DE421" s="81"/>
      <c r="DF421" s="81"/>
      <c r="DG421" s="81"/>
      <c r="DH421" s="81"/>
      <c r="DI421" s="81"/>
      <c r="DJ421" s="81"/>
      <c r="DK421" s="81"/>
      <c r="DL421" s="81"/>
      <c r="DM421" s="81"/>
      <c r="DN421" s="81"/>
      <c r="DO421" s="81"/>
      <c r="DP421" s="81"/>
      <c r="DQ421" s="81"/>
      <c r="DR421" s="81"/>
      <c r="DS421" s="81"/>
      <c r="DT421" s="81"/>
      <c r="DU421" s="81"/>
      <c r="DV421" s="81"/>
      <c r="DW421" s="121"/>
    </row>
    <row r="422" spans="1:127" x14ac:dyDescent="0.25">
      <c r="A422" s="2">
        <f>COUNTIF($D$2:D422,'Reporte de Nomina'!$E$2)</f>
        <v>0</v>
      </c>
      <c r="B422" s="125">
        <f>Lista!A421</f>
        <v>0</v>
      </c>
      <c r="C422" s="125">
        <f>Lista!B421</f>
        <v>0</v>
      </c>
      <c r="D422" s="125">
        <f>Lista!C421</f>
        <v>0</v>
      </c>
      <c r="E422" s="125">
        <f>Lista!D421</f>
        <v>0</v>
      </c>
      <c r="F422" s="125">
        <f>Lista!E421</f>
        <v>0</v>
      </c>
      <c r="G422" s="125">
        <f>Lista!F421</f>
        <v>0</v>
      </c>
      <c r="H422" s="125">
        <f>Lista!G421</f>
        <v>0</v>
      </c>
      <c r="I422" s="125">
        <f>Lista!H421</f>
        <v>0</v>
      </c>
      <c r="J422" s="125">
        <f>Lista!I421</f>
        <v>0</v>
      </c>
      <c r="K422" s="125">
        <f>Lista!J421</f>
        <v>0</v>
      </c>
      <c r="L422" s="125">
        <f>Lista!K421</f>
        <v>0</v>
      </c>
      <c r="M422" s="125">
        <f>Lista!L421</f>
        <v>0</v>
      </c>
      <c r="N422" s="125">
        <f>Lista!M421</f>
        <v>0</v>
      </c>
      <c r="O422" s="125">
        <f>Lista!N421</f>
        <v>0</v>
      </c>
      <c r="P422" s="125">
        <f>Lista!O421</f>
        <v>0</v>
      </c>
      <c r="Q422" s="125">
        <f>Lista!P421</f>
        <v>0</v>
      </c>
      <c r="R422" s="125">
        <f>Lista!Q421</f>
        <v>0</v>
      </c>
      <c r="S422" s="125">
        <f>Lista!R421</f>
        <v>0</v>
      </c>
      <c r="T422" s="81"/>
      <c r="U422" s="81"/>
      <c r="V422" s="81"/>
      <c r="W422" s="81"/>
      <c r="X422" s="81"/>
      <c r="Y422" s="81"/>
      <c r="Z422" s="81"/>
      <c r="AA422" s="81"/>
      <c r="AB422" s="81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  <c r="BS422" s="81"/>
      <c r="BT422" s="81"/>
      <c r="BU422" s="81"/>
      <c r="BV422" s="81"/>
      <c r="BW422" s="81"/>
      <c r="BX422" s="81"/>
      <c r="BY422" s="81"/>
      <c r="BZ422" s="81"/>
      <c r="CA422" s="81"/>
      <c r="CB422" s="81"/>
      <c r="CC422" s="81"/>
      <c r="CD422" s="81"/>
      <c r="CE422" s="81"/>
      <c r="CF422" s="81"/>
      <c r="CG422" s="81"/>
      <c r="CH422" s="81"/>
      <c r="CI422" s="81"/>
      <c r="CJ422" s="81"/>
      <c r="CK422" s="81"/>
      <c r="CL422" s="81"/>
      <c r="CM422" s="81"/>
      <c r="CN422" s="81"/>
      <c r="CO422" s="81"/>
      <c r="CP422" s="81"/>
      <c r="CQ422" s="81"/>
      <c r="CR422" s="81"/>
      <c r="CS422" s="81"/>
      <c r="CT422" s="81"/>
      <c r="CU422" s="81"/>
      <c r="CV422" s="81"/>
      <c r="CW422" s="81"/>
      <c r="CX422" s="81"/>
      <c r="CY422" s="81"/>
      <c r="CZ422" s="81"/>
      <c r="DA422" s="81"/>
      <c r="DB422" s="81"/>
      <c r="DC422" s="81"/>
      <c r="DD422" s="81"/>
      <c r="DE422" s="81"/>
      <c r="DF422" s="81"/>
      <c r="DG422" s="81"/>
      <c r="DH422" s="81"/>
      <c r="DI422" s="81"/>
      <c r="DJ422" s="81"/>
      <c r="DK422" s="81"/>
      <c r="DL422" s="81"/>
      <c r="DM422" s="81"/>
      <c r="DN422" s="81"/>
      <c r="DO422" s="81"/>
      <c r="DP422" s="81"/>
      <c r="DQ422" s="81"/>
      <c r="DR422" s="81"/>
      <c r="DS422" s="81"/>
      <c r="DT422" s="81"/>
      <c r="DU422" s="81"/>
      <c r="DV422" s="81"/>
      <c r="DW422" s="121"/>
    </row>
    <row r="423" spans="1:127" x14ac:dyDescent="0.25">
      <c r="A423" s="2">
        <f>COUNTIF($D$2:D423,'Reporte de Nomina'!$E$2)</f>
        <v>0</v>
      </c>
      <c r="B423" s="125">
        <f>Lista!A422</f>
        <v>0</v>
      </c>
      <c r="C423" s="125">
        <f>Lista!B422</f>
        <v>0</v>
      </c>
      <c r="D423" s="125">
        <f>Lista!C422</f>
        <v>0</v>
      </c>
      <c r="E423" s="125">
        <f>Lista!D422</f>
        <v>0</v>
      </c>
      <c r="F423" s="125">
        <f>Lista!E422</f>
        <v>0</v>
      </c>
      <c r="G423" s="125">
        <f>Lista!F422</f>
        <v>0</v>
      </c>
      <c r="H423" s="125">
        <f>Lista!G422</f>
        <v>0</v>
      </c>
      <c r="I423" s="125">
        <f>Lista!H422</f>
        <v>0</v>
      </c>
      <c r="J423" s="125">
        <f>Lista!I422</f>
        <v>0</v>
      </c>
      <c r="K423" s="125">
        <f>Lista!J422</f>
        <v>0</v>
      </c>
      <c r="L423" s="125">
        <f>Lista!K422</f>
        <v>0</v>
      </c>
      <c r="M423" s="125">
        <f>Lista!L422</f>
        <v>0</v>
      </c>
      <c r="N423" s="125">
        <f>Lista!M422</f>
        <v>0</v>
      </c>
      <c r="O423" s="125">
        <f>Lista!N422</f>
        <v>0</v>
      </c>
      <c r="P423" s="125">
        <f>Lista!O422</f>
        <v>0</v>
      </c>
      <c r="Q423" s="125">
        <f>Lista!P422</f>
        <v>0</v>
      </c>
      <c r="R423" s="125">
        <f>Lista!Q422</f>
        <v>0</v>
      </c>
      <c r="S423" s="125">
        <f>Lista!R422</f>
        <v>0</v>
      </c>
      <c r="T423" s="81"/>
      <c r="U423" s="81"/>
      <c r="V423" s="81"/>
      <c r="W423" s="81"/>
      <c r="X423" s="81"/>
      <c r="Y423" s="81"/>
      <c r="Z423" s="81"/>
      <c r="AA423" s="81"/>
      <c r="AB423" s="81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  <c r="BS423" s="81"/>
      <c r="BT423" s="81"/>
      <c r="BU423" s="81"/>
      <c r="BV423" s="81"/>
      <c r="BW423" s="81"/>
      <c r="BX423" s="81"/>
      <c r="BY423" s="81"/>
      <c r="BZ423" s="81"/>
      <c r="CA423" s="81"/>
      <c r="CB423" s="81"/>
      <c r="CC423" s="81"/>
      <c r="CD423" s="81"/>
      <c r="CE423" s="81"/>
      <c r="CF423" s="81"/>
      <c r="CG423" s="81"/>
      <c r="CH423" s="81"/>
      <c r="CI423" s="81"/>
      <c r="CJ423" s="81"/>
      <c r="CK423" s="81"/>
      <c r="CL423" s="81"/>
      <c r="CM423" s="81"/>
      <c r="CN423" s="81"/>
      <c r="CO423" s="81"/>
      <c r="CP423" s="81"/>
      <c r="CQ423" s="81"/>
      <c r="CR423" s="81"/>
      <c r="CS423" s="81"/>
      <c r="CT423" s="81"/>
      <c r="CU423" s="81"/>
      <c r="CV423" s="81"/>
      <c r="CW423" s="81"/>
      <c r="CX423" s="81"/>
      <c r="CY423" s="81"/>
      <c r="CZ423" s="81"/>
      <c r="DA423" s="81"/>
      <c r="DB423" s="81"/>
      <c r="DC423" s="81"/>
      <c r="DD423" s="81"/>
      <c r="DE423" s="81"/>
      <c r="DF423" s="81"/>
      <c r="DG423" s="81"/>
      <c r="DH423" s="81"/>
      <c r="DI423" s="81"/>
      <c r="DJ423" s="81"/>
      <c r="DK423" s="81"/>
      <c r="DL423" s="81"/>
      <c r="DM423" s="81"/>
      <c r="DN423" s="81"/>
      <c r="DO423" s="81"/>
      <c r="DP423" s="81"/>
      <c r="DQ423" s="81"/>
      <c r="DR423" s="81"/>
      <c r="DS423" s="81"/>
      <c r="DT423" s="81"/>
      <c r="DU423" s="81"/>
      <c r="DV423" s="81"/>
      <c r="DW423" s="121"/>
    </row>
    <row r="424" spans="1:127" x14ac:dyDescent="0.25">
      <c r="A424" s="2">
        <f>COUNTIF($D$2:D424,'Reporte de Nomina'!$E$2)</f>
        <v>0</v>
      </c>
      <c r="B424" s="125">
        <f>Lista!A423</f>
        <v>0</v>
      </c>
      <c r="C424" s="125">
        <f>Lista!B423</f>
        <v>0</v>
      </c>
      <c r="D424" s="125">
        <f>Lista!C423</f>
        <v>0</v>
      </c>
      <c r="E424" s="125">
        <f>Lista!D423</f>
        <v>0</v>
      </c>
      <c r="F424" s="125">
        <f>Lista!E423</f>
        <v>0</v>
      </c>
      <c r="G424" s="125">
        <f>Lista!F423</f>
        <v>0</v>
      </c>
      <c r="H424" s="125">
        <f>Lista!G423</f>
        <v>0</v>
      </c>
      <c r="I424" s="125">
        <f>Lista!H423</f>
        <v>0</v>
      </c>
      <c r="J424" s="125">
        <f>Lista!I423</f>
        <v>0</v>
      </c>
      <c r="K424" s="125">
        <f>Lista!J423</f>
        <v>0</v>
      </c>
      <c r="L424" s="125">
        <f>Lista!K423</f>
        <v>0</v>
      </c>
      <c r="M424" s="125">
        <f>Lista!L423</f>
        <v>0</v>
      </c>
      <c r="N424" s="125">
        <f>Lista!M423</f>
        <v>0</v>
      </c>
      <c r="O424" s="125">
        <f>Lista!N423</f>
        <v>0</v>
      </c>
      <c r="P424" s="125">
        <f>Lista!O423</f>
        <v>0</v>
      </c>
      <c r="Q424" s="125">
        <f>Lista!P423</f>
        <v>0</v>
      </c>
      <c r="R424" s="125">
        <f>Lista!Q423</f>
        <v>0</v>
      </c>
      <c r="S424" s="125">
        <f>Lista!R423</f>
        <v>0</v>
      </c>
      <c r="T424" s="81"/>
      <c r="U424" s="81"/>
      <c r="V424" s="81"/>
      <c r="W424" s="81"/>
      <c r="X424" s="81"/>
      <c r="Y424" s="81"/>
      <c r="Z424" s="81"/>
      <c r="AA424" s="81"/>
      <c r="AB424" s="81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  <c r="BS424" s="81"/>
      <c r="BT424" s="81"/>
      <c r="BU424" s="81"/>
      <c r="BV424" s="81"/>
      <c r="BW424" s="81"/>
      <c r="BX424" s="81"/>
      <c r="BY424" s="81"/>
      <c r="BZ424" s="81"/>
      <c r="CA424" s="81"/>
      <c r="CB424" s="81"/>
      <c r="CC424" s="81"/>
      <c r="CD424" s="81"/>
      <c r="CE424" s="81"/>
      <c r="CF424" s="81"/>
      <c r="CG424" s="81"/>
      <c r="CH424" s="81"/>
      <c r="CI424" s="81"/>
      <c r="CJ424" s="81"/>
      <c r="CK424" s="81"/>
      <c r="CL424" s="81"/>
      <c r="CM424" s="81"/>
      <c r="CN424" s="81"/>
      <c r="CO424" s="81"/>
      <c r="CP424" s="81"/>
      <c r="CQ424" s="81"/>
      <c r="CR424" s="81"/>
      <c r="CS424" s="81"/>
      <c r="CT424" s="81"/>
      <c r="CU424" s="81"/>
      <c r="CV424" s="81"/>
      <c r="CW424" s="81"/>
      <c r="CX424" s="81"/>
      <c r="CY424" s="81"/>
      <c r="CZ424" s="81"/>
      <c r="DA424" s="81"/>
      <c r="DB424" s="81"/>
      <c r="DC424" s="81"/>
      <c r="DD424" s="81"/>
      <c r="DE424" s="81"/>
      <c r="DF424" s="81"/>
      <c r="DG424" s="81"/>
      <c r="DH424" s="81"/>
      <c r="DI424" s="81"/>
      <c r="DJ424" s="81"/>
      <c r="DK424" s="81"/>
      <c r="DL424" s="81"/>
      <c r="DM424" s="81"/>
      <c r="DN424" s="81"/>
      <c r="DO424" s="81"/>
      <c r="DP424" s="81"/>
      <c r="DQ424" s="81"/>
      <c r="DR424" s="81"/>
      <c r="DS424" s="81"/>
      <c r="DT424" s="81"/>
      <c r="DU424" s="81"/>
      <c r="DV424" s="81"/>
      <c r="DW424" s="121"/>
    </row>
    <row r="425" spans="1:127" x14ac:dyDescent="0.25">
      <c r="A425" s="2">
        <f>COUNTIF($D$2:D425,'Reporte de Nomina'!$E$2)</f>
        <v>0</v>
      </c>
      <c r="B425" s="125">
        <f>Lista!A424</f>
        <v>0</v>
      </c>
      <c r="C425" s="125">
        <f>Lista!B424</f>
        <v>0</v>
      </c>
      <c r="D425" s="125">
        <f>Lista!C424</f>
        <v>0</v>
      </c>
      <c r="E425" s="125">
        <f>Lista!D424</f>
        <v>0</v>
      </c>
      <c r="F425" s="125">
        <f>Lista!E424</f>
        <v>0</v>
      </c>
      <c r="G425" s="125">
        <f>Lista!F424</f>
        <v>0</v>
      </c>
      <c r="H425" s="125">
        <f>Lista!G424</f>
        <v>0</v>
      </c>
      <c r="I425" s="125">
        <f>Lista!H424</f>
        <v>0</v>
      </c>
      <c r="J425" s="125">
        <f>Lista!I424</f>
        <v>0</v>
      </c>
      <c r="K425" s="125">
        <f>Lista!J424</f>
        <v>0</v>
      </c>
      <c r="L425" s="125">
        <f>Lista!K424</f>
        <v>0</v>
      </c>
      <c r="M425" s="125">
        <f>Lista!L424</f>
        <v>0</v>
      </c>
      <c r="N425" s="125">
        <f>Lista!M424</f>
        <v>0</v>
      </c>
      <c r="O425" s="125">
        <f>Lista!N424</f>
        <v>0</v>
      </c>
      <c r="P425" s="125">
        <f>Lista!O424</f>
        <v>0</v>
      </c>
      <c r="Q425" s="125">
        <f>Lista!P424</f>
        <v>0</v>
      </c>
      <c r="R425" s="125">
        <f>Lista!Q424</f>
        <v>0</v>
      </c>
      <c r="S425" s="125">
        <f>Lista!R424</f>
        <v>0</v>
      </c>
      <c r="T425" s="81"/>
      <c r="U425" s="81"/>
      <c r="V425" s="81"/>
      <c r="W425" s="81"/>
      <c r="X425" s="81"/>
      <c r="Y425" s="81"/>
      <c r="Z425" s="81"/>
      <c r="AA425" s="81"/>
      <c r="AB425" s="81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  <c r="BS425" s="81"/>
      <c r="BT425" s="81"/>
      <c r="BU425" s="81"/>
      <c r="BV425" s="81"/>
      <c r="BW425" s="81"/>
      <c r="BX425" s="81"/>
      <c r="BY425" s="81"/>
      <c r="BZ425" s="81"/>
      <c r="CA425" s="81"/>
      <c r="CB425" s="81"/>
      <c r="CC425" s="81"/>
      <c r="CD425" s="81"/>
      <c r="CE425" s="81"/>
      <c r="CF425" s="81"/>
      <c r="CG425" s="81"/>
      <c r="CH425" s="81"/>
      <c r="CI425" s="81"/>
      <c r="CJ425" s="81"/>
      <c r="CK425" s="81"/>
      <c r="CL425" s="81"/>
      <c r="CM425" s="81"/>
      <c r="CN425" s="81"/>
      <c r="CO425" s="81"/>
      <c r="CP425" s="81"/>
      <c r="CQ425" s="81"/>
      <c r="CR425" s="81"/>
      <c r="CS425" s="81"/>
      <c r="CT425" s="81"/>
      <c r="CU425" s="81"/>
      <c r="CV425" s="81"/>
      <c r="CW425" s="81"/>
      <c r="CX425" s="81"/>
      <c r="CY425" s="81"/>
      <c r="CZ425" s="81"/>
      <c r="DA425" s="81"/>
      <c r="DB425" s="81"/>
      <c r="DC425" s="81"/>
      <c r="DD425" s="81"/>
      <c r="DE425" s="81"/>
      <c r="DF425" s="81"/>
      <c r="DG425" s="81"/>
      <c r="DH425" s="81"/>
      <c r="DI425" s="81"/>
      <c r="DJ425" s="81"/>
      <c r="DK425" s="81"/>
      <c r="DL425" s="81"/>
      <c r="DM425" s="81"/>
      <c r="DN425" s="81"/>
      <c r="DO425" s="81"/>
      <c r="DP425" s="81"/>
      <c r="DQ425" s="81"/>
      <c r="DR425" s="81"/>
      <c r="DS425" s="81"/>
      <c r="DT425" s="81"/>
      <c r="DU425" s="81"/>
      <c r="DV425" s="81"/>
      <c r="DW425" s="121"/>
    </row>
    <row r="426" spans="1:127" x14ac:dyDescent="0.25">
      <c r="A426" s="2">
        <f>COUNTIF($D$2:D426,'Reporte de Nomina'!$E$2)</f>
        <v>0</v>
      </c>
      <c r="B426" s="125">
        <f>Lista!A425</f>
        <v>0</v>
      </c>
      <c r="C426" s="125">
        <f>Lista!B425</f>
        <v>0</v>
      </c>
      <c r="D426" s="125">
        <f>Lista!C425</f>
        <v>0</v>
      </c>
      <c r="E426" s="125">
        <f>Lista!D425</f>
        <v>0</v>
      </c>
      <c r="F426" s="125">
        <f>Lista!E425</f>
        <v>0</v>
      </c>
      <c r="G426" s="125">
        <f>Lista!F425</f>
        <v>0</v>
      </c>
      <c r="H426" s="125">
        <f>Lista!G425</f>
        <v>0</v>
      </c>
      <c r="I426" s="125">
        <f>Lista!H425</f>
        <v>0</v>
      </c>
      <c r="J426" s="125">
        <f>Lista!I425</f>
        <v>0</v>
      </c>
      <c r="K426" s="125">
        <f>Lista!J425</f>
        <v>0</v>
      </c>
      <c r="L426" s="125">
        <f>Lista!K425</f>
        <v>0</v>
      </c>
      <c r="M426" s="125">
        <f>Lista!L425</f>
        <v>0</v>
      </c>
      <c r="N426" s="125">
        <f>Lista!M425</f>
        <v>0</v>
      </c>
      <c r="O426" s="125">
        <f>Lista!N425</f>
        <v>0</v>
      </c>
      <c r="P426" s="125">
        <f>Lista!O425</f>
        <v>0</v>
      </c>
      <c r="Q426" s="125">
        <f>Lista!P425</f>
        <v>0</v>
      </c>
      <c r="R426" s="125">
        <f>Lista!Q425</f>
        <v>0</v>
      </c>
      <c r="S426" s="125">
        <f>Lista!R425</f>
        <v>0</v>
      </c>
      <c r="T426" s="81"/>
      <c r="U426" s="81"/>
      <c r="V426" s="81"/>
      <c r="W426" s="81"/>
      <c r="X426" s="81"/>
      <c r="Y426" s="81"/>
      <c r="Z426" s="81"/>
      <c r="AA426" s="81"/>
      <c r="AB426" s="81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  <c r="BS426" s="81"/>
      <c r="BT426" s="81"/>
      <c r="BU426" s="81"/>
      <c r="BV426" s="81"/>
      <c r="BW426" s="81"/>
      <c r="BX426" s="81"/>
      <c r="BY426" s="81"/>
      <c r="BZ426" s="81"/>
      <c r="CA426" s="81"/>
      <c r="CB426" s="81"/>
      <c r="CC426" s="81"/>
      <c r="CD426" s="81"/>
      <c r="CE426" s="81"/>
      <c r="CF426" s="81"/>
      <c r="CG426" s="81"/>
      <c r="CH426" s="81"/>
      <c r="CI426" s="81"/>
      <c r="CJ426" s="81"/>
      <c r="CK426" s="81"/>
      <c r="CL426" s="81"/>
      <c r="CM426" s="81"/>
      <c r="CN426" s="81"/>
      <c r="CO426" s="81"/>
      <c r="CP426" s="81"/>
      <c r="CQ426" s="81"/>
      <c r="CR426" s="81"/>
      <c r="CS426" s="81"/>
      <c r="CT426" s="81"/>
      <c r="CU426" s="81"/>
      <c r="CV426" s="81"/>
      <c r="CW426" s="81"/>
      <c r="CX426" s="81"/>
      <c r="CY426" s="81"/>
      <c r="CZ426" s="81"/>
      <c r="DA426" s="81"/>
      <c r="DB426" s="81"/>
      <c r="DC426" s="81"/>
      <c r="DD426" s="81"/>
      <c r="DE426" s="81"/>
      <c r="DF426" s="81"/>
      <c r="DG426" s="81"/>
      <c r="DH426" s="81"/>
      <c r="DI426" s="81"/>
      <c r="DJ426" s="81"/>
      <c r="DK426" s="81"/>
      <c r="DL426" s="81"/>
      <c r="DM426" s="81"/>
      <c r="DN426" s="81"/>
      <c r="DO426" s="81"/>
      <c r="DP426" s="81"/>
      <c r="DQ426" s="81"/>
      <c r="DR426" s="81"/>
      <c r="DS426" s="81"/>
      <c r="DT426" s="81"/>
      <c r="DU426" s="81"/>
      <c r="DV426" s="81"/>
      <c r="DW426" s="121"/>
    </row>
    <row r="427" spans="1:127" x14ac:dyDescent="0.25">
      <c r="A427" s="2">
        <f>COUNTIF($D$2:D427,'Reporte de Nomina'!$E$2)</f>
        <v>0</v>
      </c>
      <c r="B427" s="125">
        <f>Lista!A426</f>
        <v>0</v>
      </c>
      <c r="C427" s="125">
        <f>Lista!B426</f>
        <v>0</v>
      </c>
      <c r="D427" s="125">
        <f>Lista!C426</f>
        <v>0</v>
      </c>
      <c r="E427" s="125">
        <f>Lista!D426</f>
        <v>0</v>
      </c>
      <c r="F427" s="125">
        <f>Lista!E426</f>
        <v>0</v>
      </c>
      <c r="G427" s="125">
        <f>Lista!F426</f>
        <v>0</v>
      </c>
      <c r="H427" s="125">
        <f>Lista!G426</f>
        <v>0</v>
      </c>
      <c r="I427" s="125">
        <f>Lista!H426</f>
        <v>0</v>
      </c>
      <c r="J427" s="125">
        <f>Lista!I426</f>
        <v>0</v>
      </c>
      <c r="K427" s="125">
        <f>Lista!J426</f>
        <v>0</v>
      </c>
      <c r="L427" s="125">
        <f>Lista!K426</f>
        <v>0</v>
      </c>
      <c r="M427" s="125">
        <f>Lista!L426</f>
        <v>0</v>
      </c>
      <c r="N427" s="125">
        <f>Lista!M426</f>
        <v>0</v>
      </c>
      <c r="O427" s="125">
        <f>Lista!N426</f>
        <v>0</v>
      </c>
      <c r="P427" s="125">
        <f>Lista!O426</f>
        <v>0</v>
      </c>
      <c r="Q427" s="125">
        <f>Lista!P426</f>
        <v>0</v>
      </c>
      <c r="R427" s="125">
        <f>Lista!Q426</f>
        <v>0</v>
      </c>
      <c r="S427" s="125">
        <f>Lista!R426</f>
        <v>0</v>
      </c>
      <c r="T427" s="81"/>
      <c r="U427" s="81"/>
      <c r="V427" s="81"/>
      <c r="W427" s="81"/>
      <c r="X427" s="81"/>
      <c r="Y427" s="81"/>
      <c r="Z427" s="81"/>
      <c r="AA427" s="81"/>
      <c r="AB427" s="81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  <c r="BS427" s="81"/>
      <c r="BT427" s="81"/>
      <c r="BU427" s="81"/>
      <c r="BV427" s="81"/>
      <c r="BW427" s="81"/>
      <c r="BX427" s="81"/>
      <c r="BY427" s="81"/>
      <c r="BZ427" s="81"/>
      <c r="CA427" s="81"/>
      <c r="CB427" s="81"/>
      <c r="CC427" s="81"/>
      <c r="CD427" s="81"/>
      <c r="CE427" s="81"/>
      <c r="CF427" s="81"/>
      <c r="CG427" s="81"/>
      <c r="CH427" s="81"/>
      <c r="CI427" s="81"/>
      <c r="CJ427" s="81"/>
      <c r="CK427" s="81"/>
      <c r="CL427" s="81"/>
      <c r="CM427" s="81"/>
      <c r="CN427" s="81"/>
      <c r="CO427" s="81"/>
      <c r="CP427" s="81"/>
      <c r="CQ427" s="81"/>
      <c r="CR427" s="81"/>
      <c r="CS427" s="81"/>
      <c r="CT427" s="81"/>
      <c r="CU427" s="81"/>
      <c r="CV427" s="81"/>
      <c r="CW427" s="81"/>
      <c r="CX427" s="81"/>
      <c r="CY427" s="81"/>
      <c r="CZ427" s="81"/>
      <c r="DA427" s="81"/>
      <c r="DB427" s="81"/>
      <c r="DC427" s="81"/>
      <c r="DD427" s="81"/>
      <c r="DE427" s="81"/>
      <c r="DF427" s="81"/>
      <c r="DG427" s="81"/>
      <c r="DH427" s="81"/>
      <c r="DI427" s="81"/>
      <c r="DJ427" s="81"/>
      <c r="DK427" s="81"/>
      <c r="DL427" s="81"/>
      <c r="DM427" s="81"/>
      <c r="DN427" s="81"/>
      <c r="DO427" s="81"/>
      <c r="DP427" s="81"/>
      <c r="DQ427" s="81"/>
      <c r="DR427" s="81"/>
      <c r="DS427" s="81"/>
      <c r="DT427" s="81"/>
      <c r="DU427" s="81"/>
      <c r="DV427" s="81"/>
      <c r="DW427" s="121"/>
    </row>
    <row r="428" spans="1:127" x14ac:dyDescent="0.25">
      <c r="A428" s="2">
        <f>COUNTIF($D$2:D428,'Reporte de Nomina'!$E$2)</f>
        <v>0</v>
      </c>
      <c r="B428" s="125">
        <f>Lista!A427</f>
        <v>0</v>
      </c>
      <c r="C428" s="125">
        <f>Lista!B427</f>
        <v>0</v>
      </c>
      <c r="D428" s="125">
        <f>Lista!C427</f>
        <v>0</v>
      </c>
      <c r="E428" s="125">
        <f>Lista!D427</f>
        <v>0</v>
      </c>
      <c r="F428" s="125">
        <f>Lista!E427</f>
        <v>0</v>
      </c>
      <c r="G428" s="125">
        <f>Lista!F427</f>
        <v>0</v>
      </c>
      <c r="H428" s="125">
        <f>Lista!G427</f>
        <v>0</v>
      </c>
      <c r="I428" s="125">
        <f>Lista!H427</f>
        <v>0</v>
      </c>
      <c r="J428" s="125">
        <f>Lista!I427</f>
        <v>0</v>
      </c>
      <c r="K428" s="125">
        <f>Lista!J427</f>
        <v>0</v>
      </c>
      <c r="L428" s="125">
        <f>Lista!K427</f>
        <v>0</v>
      </c>
      <c r="M428" s="125">
        <f>Lista!L427</f>
        <v>0</v>
      </c>
      <c r="N428" s="125">
        <f>Lista!M427</f>
        <v>0</v>
      </c>
      <c r="O428" s="125">
        <f>Lista!N427</f>
        <v>0</v>
      </c>
      <c r="P428" s="125">
        <f>Lista!O427</f>
        <v>0</v>
      </c>
      <c r="Q428" s="125">
        <f>Lista!P427</f>
        <v>0</v>
      </c>
      <c r="R428" s="125">
        <f>Lista!Q427</f>
        <v>0</v>
      </c>
      <c r="S428" s="125">
        <f>Lista!R427</f>
        <v>0</v>
      </c>
      <c r="T428" s="81"/>
      <c r="U428" s="81"/>
      <c r="V428" s="81"/>
      <c r="W428" s="81"/>
      <c r="X428" s="81"/>
      <c r="Y428" s="81"/>
      <c r="Z428" s="81"/>
      <c r="AA428" s="81"/>
      <c r="AB428" s="81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  <c r="BS428" s="81"/>
      <c r="BT428" s="81"/>
      <c r="BU428" s="81"/>
      <c r="BV428" s="81"/>
      <c r="BW428" s="81"/>
      <c r="BX428" s="81"/>
      <c r="BY428" s="81"/>
      <c r="BZ428" s="81"/>
      <c r="CA428" s="81"/>
      <c r="CB428" s="81"/>
      <c r="CC428" s="81"/>
      <c r="CD428" s="81"/>
      <c r="CE428" s="81"/>
      <c r="CF428" s="81"/>
      <c r="CG428" s="81"/>
      <c r="CH428" s="81"/>
      <c r="CI428" s="81"/>
      <c r="CJ428" s="81"/>
      <c r="CK428" s="81"/>
      <c r="CL428" s="81"/>
      <c r="CM428" s="81"/>
      <c r="CN428" s="81"/>
      <c r="CO428" s="81"/>
      <c r="CP428" s="81"/>
      <c r="CQ428" s="81"/>
      <c r="CR428" s="81"/>
      <c r="CS428" s="81"/>
      <c r="CT428" s="81"/>
      <c r="CU428" s="81"/>
      <c r="CV428" s="81"/>
      <c r="CW428" s="81"/>
      <c r="CX428" s="81"/>
      <c r="CY428" s="81"/>
      <c r="CZ428" s="81"/>
      <c r="DA428" s="81"/>
      <c r="DB428" s="81"/>
      <c r="DC428" s="81"/>
      <c r="DD428" s="81"/>
      <c r="DE428" s="81"/>
      <c r="DF428" s="81"/>
      <c r="DG428" s="81"/>
      <c r="DH428" s="81"/>
      <c r="DI428" s="81"/>
      <c r="DJ428" s="81"/>
      <c r="DK428" s="81"/>
      <c r="DL428" s="81"/>
      <c r="DM428" s="81"/>
      <c r="DN428" s="81"/>
      <c r="DO428" s="81"/>
      <c r="DP428" s="81"/>
      <c r="DQ428" s="81"/>
      <c r="DR428" s="81"/>
      <c r="DS428" s="81"/>
      <c r="DT428" s="81"/>
      <c r="DU428" s="81"/>
      <c r="DV428" s="81"/>
      <c r="DW428" s="121"/>
    </row>
    <row r="429" spans="1:127" x14ac:dyDescent="0.25">
      <c r="A429" s="2">
        <f>COUNTIF($D$2:D429,'Reporte de Nomina'!$E$2)</f>
        <v>0</v>
      </c>
      <c r="B429" s="125">
        <f>Lista!A428</f>
        <v>0</v>
      </c>
      <c r="C429" s="125">
        <f>Lista!B428</f>
        <v>0</v>
      </c>
      <c r="D429" s="125">
        <f>Lista!C428</f>
        <v>0</v>
      </c>
      <c r="E429" s="125">
        <f>Lista!D428</f>
        <v>0</v>
      </c>
      <c r="F429" s="125">
        <f>Lista!E428</f>
        <v>0</v>
      </c>
      <c r="G429" s="125">
        <f>Lista!F428</f>
        <v>0</v>
      </c>
      <c r="H429" s="125">
        <f>Lista!G428</f>
        <v>0</v>
      </c>
      <c r="I429" s="125">
        <f>Lista!H428</f>
        <v>0</v>
      </c>
      <c r="J429" s="125">
        <f>Lista!I428</f>
        <v>0</v>
      </c>
      <c r="K429" s="125">
        <f>Lista!J428</f>
        <v>0</v>
      </c>
      <c r="L429" s="125">
        <f>Lista!K428</f>
        <v>0</v>
      </c>
      <c r="M429" s="125">
        <f>Lista!L428</f>
        <v>0</v>
      </c>
      <c r="N429" s="125">
        <f>Lista!M428</f>
        <v>0</v>
      </c>
      <c r="O429" s="125">
        <f>Lista!N428</f>
        <v>0</v>
      </c>
      <c r="P429" s="125">
        <f>Lista!O428</f>
        <v>0</v>
      </c>
      <c r="Q429" s="125">
        <f>Lista!P428</f>
        <v>0</v>
      </c>
      <c r="R429" s="125">
        <f>Lista!Q428</f>
        <v>0</v>
      </c>
      <c r="S429" s="125">
        <f>Lista!R428</f>
        <v>0</v>
      </c>
      <c r="T429" s="81"/>
      <c r="U429" s="81"/>
      <c r="V429" s="81"/>
      <c r="W429" s="81"/>
      <c r="X429" s="81"/>
      <c r="Y429" s="81"/>
      <c r="Z429" s="81"/>
      <c r="AA429" s="81"/>
      <c r="AB429" s="81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  <c r="BS429" s="81"/>
      <c r="BT429" s="81"/>
      <c r="BU429" s="81"/>
      <c r="BV429" s="81"/>
      <c r="BW429" s="81"/>
      <c r="BX429" s="81"/>
      <c r="BY429" s="81"/>
      <c r="BZ429" s="81"/>
      <c r="CA429" s="81"/>
      <c r="CB429" s="81"/>
      <c r="CC429" s="81"/>
      <c r="CD429" s="81"/>
      <c r="CE429" s="81"/>
      <c r="CF429" s="81"/>
      <c r="CG429" s="81"/>
      <c r="CH429" s="81"/>
      <c r="CI429" s="81"/>
      <c r="CJ429" s="81"/>
      <c r="CK429" s="81"/>
      <c r="CL429" s="81"/>
      <c r="CM429" s="81"/>
      <c r="CN429" s="81"/>
      <c r="CO429" s="81"/>
      <c r="CP429" s="81"/>
      <c r="CQ429" s="81"/>
      <c r="CR429" s="81"/>
      <c r="CS429" s="81"/>
      <c r="CT429" s="81"/>
      <c r="CU429" s="81"/>
      <c r="CV429" s="81"/>
      <c r="CW429" s="81"/>
      <c r="CX429" s="81"/>
      <c r="CY429" s="81"/>
      <c r="CZ429" s="81"/>
      <c r="DA429" s="81"/>
      <c r="DB429" s="81"/>
      <c r="DC429" s="81"/>
      <c r="DD429" s="81"/>
      <c r="DE429" s="81"/>
      <c r="DF429" s="81"/>
      <c r="DG429" s="81"/>
      <c r="DH429" s="81"/>
      <c r="DI429" s="81"/>
      <c r="DJ429" s="81"/>
      <c r="DK429" s="81"/>
      <c r="DL429" s="81"/>
      <c r="DM429" s="81"/>
      <c r="DN429" s="81"/>
      <c r="DO429" s="81"/>
      <c r="DP429" s="81"/>
      <c r="DQ429" s="81"/>
      <c r="DR429" s="81"/>
      <c r="DS429" s="81"/>
      <c r="DT429" s="81"/>
      <c r="DU429" s="81"/>
      <c r="DV429" s="81"/>
      <c r="DW429" s="121"/>
    </row>
    <row r="430" spans="1:127" x14ac:dyDescent="0.25">
      <c r="A430" s="2">
        <f>COUNTIF($D$2:D430,'Reporte de Nomina'!$E$2)</f>
        <v>0</v>
      </c>
      <c r="B430" s="125">
        <f>Lista!A429</f>
        <v>0</v>
      </c>
      <c r="C430" s="125">
        <f>Lista!B429</f>
        <v>0</v>
      </c>
      <c r="D430" s="125">
        <f>Lista!C429</f>
        <v>0</v>
      </c>
      <c r="E430" s="125">
        <f>Lista!D429</f>
        <v>0</v>
      </c>
      <c r="F430" s="125">
        <f>Lista!E429</f>
        <v>0</v>
      </c>
      <c r="G430" s="125">
        <f>Lista!F429</f>
        <v>0</v>
      </c>
      <c r="H430" s="125">
        <f>Lista!G429</f>
        <v>0</v>
      </c>
      <c r="I430" s="125">
        <f>Lista!H429</f>
        <v>0</v>
      </c>
      <c r="J430" s="125">
        <f>Lista!I429</f>
        <v>0</v>
      </c>
      <c r="K430" s="125">
        <f>Lista!J429</f>
        <v>0</v>
      </c>
      <c r="L430" s="125">
        <f>Lista!K429</f>
        <v>0</v>
      </c>
      <c r="M430" s="125">
        <f>Lista!L429</f>
        <v>0</v>
      </c>
      <c r="N430" s="125">
        <f>Lista!M429</f>
        <v>0</v>
      </c>
      <c r="O430" s="125">
        <f>Lista!N429</f>
        <v>0</v>
      </c>
      <c r="P430" s="125">
        <f>Lista!O429</f>
        <v>0</v>
      </c>
      <c r="Q430" s="125">
        <f>Lista!P429</f>
        <v>0</v>
      </c>
      <c r="R430" s="125">
        <f>Lista!Q429</f>
        <v>0</v>
      </c>
      <c r="S430" s="125">
        <f>Lista!R429</f>
        <v>0</v>
      </c>
      <c r="T430" s="81"/>
      <c r="U430" s="81"/>
      <c r="V430" s="81"/>
      <c r="W430" s="81"/>
      <c r="X430" s="81"/>
      <c r="Y430" s="81"/>
      <c r="Z430" s="81"/>
      <c r="AA430" s="81"/>
      <c r="AB430" s="81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  <c r="BS430" s="81"/>
      <c r="BT430" s="81"/>
      <c r="BU430" s="81"/>
      <c r="BV430" s="81"/>
      <c r="BW430" s="81"/>
      <c r="BX430" s="81"/>
      <c r="BY430" s="81"/>
      <c r="BZ430" s="81"/>
      <c r="CA430" s="81"/>
      <c r="CB430" s="81"/>
      <c r="CC430" s="81"/>
      <c r="CD430" s="81"/>
      <c r="CE430" s="81"/>
      <c r="CF430" s="81"/>
      <c r="CG430" s="81"/>
      <c r="CH430" s="81"/>
      <c r="CI430" s="81"/>
      <c r="CJ430" s="81"/>
      <c r="CK430" s="81"/>
      <c r="CL430" s="81"/>
      <c r="CM430" s="81"/>
      <c r="CN430" s="81"/>
      <c r="CO430" s="81"/>
      <c r="CP430" s="81"/>
      <c r="CQ430" s="81"/>
      <c r="CR430" s="81"/>
      <c r="CS430" s="81"/>
      <c r="CT430" s="81"/>
      <c r="CU430" s="81"/>
      <c r="CV430" s="81"/>
      <c r="CW430" s="81"/>
      <c r="CX430" s="81"/>
      <c r="CY430" s="81"/>
      <c r="CZ430" s="81"/>
      <c r="DA430" s="81"/>
      <c r="DB430" s="81"/>
      <c r="DC430" s="81"/>
      <c r="DD430" s="81"/>
      <c r="DE430" s="81"/>
      <c r="DF430" s="81"/>
      <c r="DG430" s="81"/>
      <c r="DH430" s="81"/>
      <c r="DI430" s="81"/>
      <c r="DJ430" s="81"/>
      <c r="DK430" s="81"/>
      <c r="DL430" s="81"/>
      <c r="DM430" s="81"/>
      <c r="DN430" s="81"/>
      <c r="DO430" s="81"/>
      <c r="DP430" s="81"/>
      <c r="DQ430" s="81"/>
      <c r="DR430" s="81"/>
      <c r="DS430" s="81"/>
      <c r="DT430" s="81"/>
      <c r="DU430" s="81"/>
      <c r="DV430" s="81"/>
      <c r="DW430" s="121"/>
    </row>
    <row r="431" spans="1:127" x14ac:dyDescent="0.25">
      <c r="A431" s="2">
        <f>COUNTIF($D$2:D431,'Reporte de Nomina'!$E$2)</f>
        <v>0</v>
      </c>
      <c r="B431" s="125">
        <f>Lista!A430</f>
        <v>0</v>
      </c>
      <c r="C431" s="125">
        <f>Lista!B430</f>
        <v>0</v>
      </c>
      <c r="D431" s="125">
        <f>Lista!C430</f>
        <v>0</v>
      </c>
      <c r="E431" s="125">
        <f>Lista!D430</f>
        <v>0</v>
      </c>
      <c r="F431" s="125">
        <f>Lista!E430</f>
        <v>0</v>
      </c>
      <c r="G431" s="125">
        <f>Lista!F430</f>
        <v>0</v>
      </c>
      <c r="H431" s="125">
        <f>Lista!G430</f>
        <v>0</v>
      </c>
      <c r="I431" s="125">
        <f>Lista!H430</f>
        <v>0</v>
      </c>
      <c r="J431" s="125">
        <f>Lista!I430</f>
        <v>0</v>
      </c>
      <c r="K431" s="125">
        <f>Lista!J430</f>
        <v>0</v>
      </c>
      <c r="L431" s="125">
        <f>Lista!K430</f>
        <v>0</v>
      </c>
      <c r="M431" s="125">
        <f>Lista!L430</f>
        <v>0</v>
      </c>
      <c r="N431" s="125">
        <f>Lista!M430</f>
        <v>0</v>
      </c>
      <c r="O431" s="125">
        <f>Lista!N430</f>
        <v>0</v>
      </c>
      <c r="P431" s="125">
        <f>Lista!O430</f>
        <v>0</v>
      </c>
      <c r="Q431" s="125">
        <f>Lista!P430</f>
        <v>0</v>
      </c>
      <c r="R431" s="125">
        <f>Lista!Q430</f>
        <v>0</v>
      </c>
      <c r="S431" s="125">
        <f>Lista!R430</f>
        <v>0</v>
      </c>
      <c r="T431" s="81"/>
      <c r="U431" s="81"/>
      <c r="V431" s="81"/>
      <c r="W431" s="81"/>
      <c r="X431" s="81"/>
      <c r="Y431" s="81"/>
      <c r="Z431" s="81"/>
      <c r="AA431" s="81"/>
      <c r="AB431" s="81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  <c r="BS431" s="81"/>
      <c r="BT431" s="81"/>
      <c r="BU431" s="81"/>
      <c r="BV431" s="81"/>
      <c r="BW431" s="81"/>
      <c r="BX431" s="81"/>
      <c r="BY431" s="81"/>
      <c r="BZ431" s="81"/>
      <c r="CA431" s="81"/>
      <c r="CB431" s="81"/>
      <c r="CC431" s="81"/>
      <c r="CD431" s="81"/>
      <c r="CE431" s="81"/>
      <c r="CF431" s="81"/>
      <c r="CG431" s="81"/>
      <c r="CH431" s="81"/>
      <c r="CI431" s="81"/>
      <c r="CJ431" s="81"/>
      <c r="CK431" s="81"/>
      <c r="CL431" s="81"/>
      <c r="CM431" s="81"/>
      <c r="CN431" s="81"/>
      <c r="CO431" s="81"/>
      <c r="CP431" s="81"/>
      <c r="CQ431" s="81"/>
      <c r="CR431" s="81"/>
      <c r="CS431" s="81"/>
      <c r="CT431" s="81"/>
      <c r="CU431" s="81"/>
      <c r="CV431" s="81"/>
      <c r="CW431" s="81"/>
      <c r="CX431" s="81"/>
      <c r="CY431" s="81"/>
      <c r="CZ431" s="81"/>
      <c r="DA431" s="81"/>
      <c r="DB431" s="81"/>
      <c r="DC431" s="81"/>
      <c r="DD431" s="81"/>
      <c r="DE431" s="81"/>
      <c r="DF431" s="81"/>
      <c r="DG431" s="81"/>
      <c r="DH431" s="81"/>
      <c r="DI431" s="81"/>
      <c r="DJ431" s="81"/>
      <c r="DK431" s="81"/>
      <c r="DL431" s="81"/>
      <c r="DM431" s="81"/>
      <c r="DN431" s="81"/>
      <c r="DO431" s="81"/>
      <c r="DP431" s="81"/>
      <c r="DQ431" s="81"/>
      <c r="DR431" s="81"/>
      <c r="DS431" s="81"/>
      <c r="DT431" s="81"/>
      <c r="DU431" s="81"/>
      <c r="DV431" s="81"/>
      <c r="DW431" s="121"/>
    </row>
    <row r="432" spans="1:127" x14ac:dyDescent="0.25">
      <c r="A432" s="2">
        <f>COUNTIF($D$2:D432,'Reporte de Nomina'!$E$2)</f>
        <v>0</v>
      </c>
      <c r="B432" s="125">
        <f>Lista!A431</f>
        <v>0</v>
      </c>
      <c r="C432" s="125">
        <f>Lista!B431</f>
        <v>0</v>
      </c>
      <c r="D432" s="125">
        <f>Lista!C431</f>
        <v>0</v>
      </c>
      <c r="E432" s="125">
        <f>Lista!D431</f>
        <v>0</v>
      </c>
      <c r="F432" s="125">
        <f>Lista!E431</f>
        <v>0</v>
      </c>
      <c r="G432" s="125">
        <f>Lista!F431</f>
        <v>0</v>
      </c>
      <c r="H432" s="125">
        <f>Lista!G431</f>
        <v>0</v>
      </c>
      <c r="I432" s="125">
        <f>Lista!H431</f>
        <v>0</v>
      </c>
      <c r="J432" s="125">
        <f>Lista!I431</f>
        <v>0</v>
      </c>
      <c r="K432" s="125">
        <f>Lista!J431</f>
        <v>0</v>
      </c>
      <c r="L432" s="125">
        <f>Lista!K431</f>
        <v>0</v>
      </c>
      <c r="M432" s="125">
        <f>Lista!L431</f>
        <v>0</v>
      </c>
      <c r="N432" s="125">
        <f>Lista!M431</f>
        <v>0</v>
      </c>
      <c r="O432" s="125">
        <f>Lista!N431</f>
        <v>0</v>
      </c>
      <c r="P432" s="125">
        <f>Lista!O431</f>
        <v>0</v>
      </c>
      <c r="Q432" s="125">
        <f>Lista!P431</f>
        <v>0</v>
      </c>
      <c r="R432" s="125">
        <f>Lista!Q431</f>
        <v>0</v>
      </c>
      <c r="S432" s="125">
        <f>Lista!R431</f>
        <v>0</v>
      </c>
      <c r="T432" s="81"/>
      <c r="U432" s="81"/>
      <c r="V432" s="81"/>
      <c r="W432" s="81"/>
      <c r="X432" s="81"/>
      <c r="Y432" s="81"/>
      <c r="Z432" s="81"/>
      <c r="AA432" s="81"/>
      <c r="AB432" s="81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  <c r="BS432" s="81"/>
      <c r="BT432" s="81"/>
      <c r="BU432" s="81"/>
      <c r="BV432" s="81"/>
      <c r="BW432" s="81"/>
      <c r="BX432" s="81"/>
      <c r="BY432" s="81"/>
      <c r="BZ432" s="81"/>
      <c r="CA432" s="81"/>
      <c r="CB432" s="81"/>
      <c r="CC432" s="81"/>
      <c r="CD432" s="81"/>
      <c r="CE432" s="81"/>
      <c r="CF432" s="81"/>
      <c r="CG432" s="81"/>
      <c r="CH432" s="81"/>
      <c r="CI432" s="81"/>
      <c r="CJ432" s="81"/>
      <c r="CK432" s="81"/>
      <c r="CL432" s="81"/>
      <c r="CM432" s="81"/>
      <c r="CN432" s="81"/>
      <c r="CO432" s="81"/>
      <c r="CP432" s="81"/>
      <c r="CQ432" s="81"/>
      <c r="CR432" s="81"/>
      <c r="CS432" s="81"/>
      <c r="CT432" s="81"/>
      <c r="CU432" s="81"/>
      <c r="CV432" s="81"/>
      <c r="CW432" s="81"/>
      <c r="CX432" s="81"/>
      <c r="CY432" s="81"/>
      <c r="CZ432" s="81"/>
      <c r="DA432" s="81"/>
      <c r="DB432" s="81"/>
      <c r="DC432" s="81"/>
      <c r="DD432" s="81"/>
      <c r="DE432" s="81"/>
      <c r="DF432" s="81"/>
      <c r="DG432" s="81"/>
      <c r="DH432" s="81"/>
      <c r="DI432" s="81"/>
      <c r="DJ432" s="81"/>
      <c r="DK432" s="81"/>
      <c r="DL432" s="81"/>
      <c r="DM432" s="81"/>
      <c r="DN432" s="81"/>
      <c r="DO432" s="81"/>
      <c r="DP432" s="81"/>
      <c r="DQ432" s="81"/>
      <c r="DR432" s="81"/>
      <c r="DS432" s="81"/>
      <c r="DT432" s="81"/>
      <c r="DU432" s="81"/>
      <c r="DV432" s="81"/>
      <c r="DW432" s="121"/>
    </row>
    <row r="433" spans="1:127" x14ac:dyDescent="0.25">
      <c r="A433" s="2">
        <f>COUNTIF($D$2:D433,'Reporte de Nomina'!$E$2)</f>
        <v>0</v>
      </c>
      <c r="B433" s="125">
        <f>Lista!A432</f>
        <v>0</v>
      </c>
      <c r="C433" s="125">
        <f>Lista!B432</f>
        <v>0</v>
      </c>
      <c r="D433" s="125">
        <f>Lista!C432</f>
        <v>0</v>
      </c>
      <c r="E433" s="125">
        <f>Lista!D432</f>
        <v>0</v>
      </c>
      <c r="F433" s="125">
        <f>Lista!E432</f>
        <v>0</v>
      </c>
      <c r="G433" s="125">
        <f>Lista!F432</f>
        <v>0</v>
      </c>
      <c r="H433" s="125">
        <f>Lista!G432</f>
        <v>0</v>
      </c>
      <c r="I433" s="125">
        <f>Lista!H432</f>
        <v>0</v>
      </c>
      <c r="J433" s="125">
        <f>Lista!I432</f>
        <v>0</v>
      </c>
      <c r="K433" s="125">
        <f>Lista!J432</f>
        <v>0</v>
      </c>
      <c r="L433" s="125">
        <f>Lista!K432</f>
        <v>0</v>
      </c>
      <c r="M433" s="125">
        <f>Lista!L432</f>
        <v>0</v>
      </c>
      <c r="N433" s="125">
        <f>Lista!M432</f>
        <v>0</v>
      </c>
      <c r="O433" s="125">
        <f>Lista!N432</f>
        <v>0</v>
      </c>
      <c r="P433" s="125">
        <f>Lista!O432</f>
        <v>0</v>
      </c>
      <c r="Q433" s="125">
        <f>Lista!P432</f>
        <v>0</v>
      </c>
      <c r="R433" s="125">
        <f>Lista!Q432</f>
        <v>0</v>
      </c>
      <c r="S433" s="125">
        <f>Lista!R432</f>
        <v>0</v>
      </c>
      <c r="T433" s="81"/>
      <c r="U433" s="81"/>
      <c r="V433" s="81"/>
      <c r="W433" s="81"/>
      <c r="X433" s="81"/>
      <c r="Y433" s="81"/>
      <c r="Z433" s="81"/>
      <c r="AA433" s="81"/>
      <c r="AB433" s="81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  <c r="BS433" s="81"/>
      <c r="BT433" s="81"/>
      <c r="BU433" s="81"/>
      <c r="BV433" s="81"/>
      <c r="BW433" s="81"/>
      <c r="BX433" s="81"/>
      <c r="BY433" s="81"/>
      <c r="BZ433" s="81"/>
      <c r="CA433" s="81"/>
      <c r="CB433" s="81"/>
      <c r="CC433" s="81"/>
      <c r="CD433" s="81"/>
      <c r="CE433" s="81"/>
      <c r="CF433" s="81"/>
      <c r="CG433" s="81"/>
      <c r="CH433" s="81"/>
      <c r="CI433" s="81"/>
      <c r="CJ433" s="81"/>
      <c r="CK433" s="81"/>
      <c r="CL433" s="81"/>
      <c r="CM433" s="81"/>
      <c r="CN433" s="81"/>
      <c r="CO433" s="81"/>
      <c r="CP433" s="81"/>
      <c r="CQ433" s="81"/>
      <c r="CR433" s="81"/>
      <c r="CS433" s="81"/>
      <c r="CT433" s="81"/>
      <c r="CU433" s="81"/>
      <c r="CV433" s="81"/>
      <c r="CW433" s="81"/>
      <c r="CX433" s="81"/>
      <c r="CY433" s="81"/>
      <c r="CZ433" s="81"/>
      <c r="DA433" s="81"/>
      <c r="DB433" s="81"/>
      <c r="DC433" s="81"/>
      <c r="DD433" s="81"/>
      <c r="DE433" s="81"/>
      <c r="DF433" s="81"/>
      <c r="DG433" s="81"/>
      <c r="DH433" s="81"/>
      <c r="DI433" s="81"/>
      <c r="DJ433" s="81"/>
      <c r="DK433" s="81"/>
      <c r="DL433" s="81"/>
      <c r="DM433" s="81"/>
      <c r="DN433" s="81"/>
      <c r="DO433" s="81"/>
      <c r="DP433" s="81"/>
      <c r="DQ433" s="81"/>
      <c r="DR433" s="81"/>
      <c r="DS433" s="81"/>
      <c r="DT433" s="81"/>
      <c r="DU433" s="81"/>
      <c r="DV433" s="81"/>
      <c r="DW433" s="121"/>
    </row>
    <row r="434" spans="1:127" x14ac:dyDescent="0.25">
      <c r="A434" s="2">
        <f>COUNTIF($D$2:D434,'Reporte de Nomina'!$E$2)</f>
        <v>0</v>
      </c>
      <c r="B434" s="125">
        <f>Lista!A433</f>
        <v>0</v>
      </c>
      <c r="C434" s="125">
        <f>Lista!B433</f>
        <v>0</v>
      </c>
      <c r="D434" s="125">
        <f>Lista!C433</f>
        <v>0</v>
      </c>
      <c r="E434" s="125">
        <f>Lista!D433</f>
        <v>0</v>
      </c>
      <c r="F434" s="125">
        <f>Lista!E433</f>
        <v>0</v>
      </c>
      <c r="G434" s="125">
        <f>Lista!F433</f>
        <v>0</v>
      </c>
      <c r="H434" s="125">
        <f>Lista!G433</f>
        <v>0</v>
      </c>
      <c r="I434" s="125">
        <f>Lista!H433</f>
        <v>0</v>
      </c>
      <c r="J434" s="125">
        <f>Lista!I433</f>
        <v>0</v>
      </c>
      <c r="K434" s="125">
        <f>Lista!J433</f>
        <v>0</v>
      </c>
      <c r="L434" s="125">
        <f>Lista!K433</f>
        <v>0</v>
      </c>
      <c r="M434" s="125">
        <f>Lista!L433</f>
        <v>0</v>
      </c>
      <c r="N434" s="125">
        <f>Lista!M433</f>
        <v>0</v>
      </c>
      <c r="O434" s="125">
        <f>Lista!N433</f>
        <v>0</v>
      </c>
      <c r="P434" s="125">
        <f>Lista!O433</f>
        <v>0</v>
      </c>
      <c r="Q434" s="125">
        <f>Lista!P433</f>
        <v>0</v>
      </c>
      <c r="R434" s="125">
        <f>Lista!Q433</f>
        <v>0</v>
      </c>
      <c r="S434" s="125">
        <f>Lista!R433</f>
        <v>0</v>
      </c>
      <c r="T434" s="81"/>
      <c r="U434" s="81"/>
      <c r="V434" s="81"/>
      <c r="W434" s="81"/>
      <c r="X434" s="81"/>
      <c r="Y434" s="81"/>
      <c r="Z434" s="81"/>
      <c r="AA434" s="81"/>
      <c r="AB434" s="81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  <c r="BS434" s="81"/>
      <c r="BT434" s="81"/>
      <c r="BU434" s="81"/>
      <c r="BV434" s="81"/>
      <c r="BW434" s="81"/>
      <c r="BX434" s="81"/>
      <c r="BY434" s="81"/>
      <c r="BZ434" s="81"/>
      <c r="CA434" s="81"/>
      <c r="CB434" s="81"/>
      <c r="CC434" s="81"/>
      <c r="CD434" s="81"/>
      <c r="CE434" s="81"/>
      <c r="CF434" s="81"/>
      <c r="CG434" s="81"/>
      <c r="CH434" s="81"/>
      <c r="CI434" s="81"/>
      <c r="CJ434" s="81"/>
      <c r="CK434" s="81"/>
      <c r="CL434" s="81"/>
      <c r="CM434" s="81"/>
      <c r="CN434" s="81"/>
      <c r="CO434" s="81"/>
      <c r="CP434" s="81"/>
      <c r="CQ434" s="81"/>
      <c r="CR434" s="81"/>
      <c r="CS434" s="81"/>
      <c r="CT434" s="81"/>
      <c r="CU434" s="81"/>
      <c r="CV434" s="81"/>
      <c r="CW434" s="81"/>
      <c r="CX434" s="81"/>
      <c r="CY434" s="81"/>
      <c r="CZ434" s="81"/>
      <c r="DA434" s="81"/>
      <c r="DB434" s="81"/>
      <c r="DC434" s="81"/>
      <c r="DD434" s="81"/>
      <c r="DE434" s="81"/>
      <c r="DF434" s="81"/>
      <c r="DG434" s="81"/>
      <c r="DH434" s="81"/>
      <c r="DI434" s="81"/>
      <c r="DJ434" s="81"/>
      <c r="DK434" s="81"/>
      <c r="DL434" s="81"/>
      <c r="DM434" s="81"/>
      <c r="DN434" s="81"/>
      <c r="DO434" s="81"/>
      <c r="DP434" s="81"/>
      <c r="DQ434" s="81"/>
      <c r="DR434" s="81"/>
      <c r="DS434" s="81"/>
      <c r="DT434" s="81"/>
      <c r="DU434" s="81"/>
      <c r="DV434" s="81"/>
      <c r="DW434" s="121"/>
    </row>
    <row r="435" spans="1:127" x14ac:dyDescent="0.25">
      <c r="A435" s="2">
        <f>COUNTIF($D$2:D435,'Reporte de Nomina'!$E$2)</f>
        <v>0</v>
      </c>
      <c r="B435" s="125">
        <f>Lista!A434</f>
        <v>0</v>
      </c>
      <c r="C435" s="125">
        <f>Lista!B434</f>
        <v>0</v>
      </c>
      <c r="D435" s="125">
        <f>Lista!C434</f>
        <v>0</v>
      </c>
      <c r="E435" s="125">
        <f>Lista!D434</f>
        <v>0</v>
      </c>
      <c r="F435" s="125">
        <f>Lista!E434</f>
        <v>0</v>
      </c>
      <c r="G435" s="125">
        <f>Lista!F434</f>
        <v>0</v>
      </c>
      <c r="H435" s="125">
        <f>Lista!G434</f>
        <v>0</v>
      </c>
      <c r="I435" s="125">
        <f>Lista!H434</f>
        <v>0</v>
      </c>
      <c r="J435" s="125">
        <f>Lista!I434</f>
        <v>0</v>
      </c>
      <c r="K435" s="125">
        <f>Lista!J434</f>
        <v>0</v>
      </c>
      <c r="L435" s="125">
        <f>Lista!K434</f>
        <v>0</v>
      </c>
      <c r="M435" s="125">
        <f>Lista!L434</f>
        <v>0</v>
      </c>
      <c r="N435" s="125">
        <f>Lista!M434</f>
        <v>0</v>
      </c>
      <c r="O435" s="125">
        <f>Lista!N434</f>
        <v>0</v>
      </c>
      <c r="P435" s="125">
        <f>Lista!O434</f>
        <v>0</v>
      </c>
      <c r="Q435" s="125">
        <f>Lista!P434</f>
        <v>0</v>
      </c>
      <c r="R435" s="125">
        <f>Lista!Q434</f>
        <v>0</v>
      </c>
      <c r="S435" s="125">
        <f>Lista!R434</f>
        <v>0</v>
      </c>
      <c r="T435" s="81"/>
      <c r="U435" s="81"/>
      <c r="V435" s="81"/>
      <c r="W435" s="81"/>
      <c r="X435" s="81"/>
      <c r="Y435" s="81"/>
      <c r="Z435" s="81"/>
      <c r="AA435" s="81"/>
      <c r="AB435" s="81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  <c r="BS435" s="81"/>
      <c r="BT435" s="81"/>
      <c r="BU435" s="81"/>
      <c r="BV435" s="81"/>
      <c r="BW435" s="81"/>
      <c r="BX435" s="81"/>
      <c r="BY435" s="81"/>
      <c r="BZ435" s="81"/>
      <c r="CA435" s="81"/>
      <c r="CB435" s="81"/>
      <c r="CC435" s="81"/>
      <c r="CD435" s="81"/>
      <c r="CE435" s="81"/>
      <c r="CF435" s="81"/>
      <c r="CG435" s="81"/>
      <c r="CH435" s="81"/>
      <c r="CI435" s="81"/>
      <c r="CJ435" s="81"/>
      <c r="CK435" s="81"/>
      <c r="CL435" s="81"/>
      <c r="CM435" s="81"/>
      <c r="CN435" s="81"/>
      <c r="CO435" s="81"/>
      <c r="CP435" s="81"/>
      <c r="CQ435" s="81"/>
      <c r="CR435" s="81"/>
      <c r="CS435" s="81"/>
      <c r="CT435" s="81"/>
      <c r="CU435" s="81"/>
      <c r="CV435" s="81"/>
      <c r="CW435" s="81"/>
      <c r="CX435" s="81"/>
      <c r="CY435" s="81"/>
      <c r="CZ435" s="81"/>
      <c r="DA435" s="81"/>
      <c r="DB435" s="81"/>
      <c r="DC435" s="81"/>
      <c r="DD435" s="81"/>
      <c r="DE435" s="81"/>
      <c r="DF435" s="81"/>
      <c r="DG435" s="81"/>
      <c r="DH435" s="81"/>
      <c r="DI435" s="81"/>
      <c r="DJ435" s="81"/>
      <c r="DK435" s="81"/>
      <c r="DL435" s="81"/>
      <c r="DM435" s="81"/>
      <c r="DN435" s="81"/>
      <c r="DO435" s="81"/>
      <c r="DP435" s="81"/>
      <c r="DQ435" s="81"/>
      <c r="DR435" s="81"/>
      <c r="DS435" s="81"/>
      <c r="DT435" s="81"/>
      <c r="DU435" s="81"/>
      <c r="DV435" s="81"/>
      <c r="DW435" s="121"/>
    </row>
    <row r="436" spans="1:127" x14ac:dyDescent="0.25">
      <c r="A436" s="2">
        <f>COUNTIF($D$2:D436,'Reporte de Nomina'!$E$2)</f>
        <v>0</v>
      </c>
      <c r="B436" s="125">
        <f>Lista!A435</f>
        <v>0</v>
      </c>
      <c r="C436" s="125">
        <f>Lista!B435</f>
        <v>0</v>
      </c>
      <c r="D436" s="125">
        <f>Lista!C435</f>
        <v>0</v>
      </c>
      <c r="E436" s="125">
        <f>Lista!D435</f>
        <v>0</v>
      </c>
      <c r="F436" s="125">
        <f>Lista!E435</f>
        <v>0</v>
      </c>
      <c r="G436" s="125">
        <f>Lista!F435</f>
        <v>0</v>
      </c>
      <c r="H436" s="125">
        <f>Lista!G435</f>
        <v>0</v>
      </c>
      <c r="I436" s="125">
        <f>Lista!H435</f>
        <v>0</v>
      </c>
      <c r="J436" s="125">
        <f>Lista!I435</f>
        <v>0</v>
      </c>
      <c r="K436" s="125">
        <f>Lista!J435</f>
        <v>0</v>
      </c>
      <c r="L436" s="125">
        <f>Lista!K435</f>
        <v>0</v>
      </c>
      <c r="M436" s="125">
        <f>Lista!L435</f>
        <v>0</v>
      </c>
      <c r="N436" s="125">
        <f>Lista!M435</f>
        <v>0</v>
      </c>
      <c r="O436" s="125">
        <f>Lista!N435</f>
        <v>0</v>
      </c>
      <c r="P436" s="125">
        <f>Lista!O435</f>
        <v>0</v>
      </c>
      <c r="Q436" s="125">
        <f>Lista!P435</f>
        <v>0</v>
      </c>
      <c r="R436" s="125">
        <f>Lista!Q435</f>
        <v>0</v>
      </c>
      <c r="S436" s="125">
        <f>Lista!R435</f>
        <v>0</v>
      </c>
      <c r="T436" s="81"/>
      <c r="U436" s="81"/>
      <c r="V436" s="81"/>
      <c r="W436" s="81"/>
      <c r="X436" s="81"/>
      <c r="Y436" s="81"/>
      <c r="Z436" s="81"/>
      <c r="AA436" s="81"/>
      <c r="AB436" s="81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  <c r="BS436" s="81"/>
      <c r="BT436" s="81"/>
      <c r="BU436" s="81"/>
      <c r="BV436" s="81"/>
      <c r="BW436" s="81"/>
      <c r="BX436" s="81"/>
      <c r="BY436" s="81"/>
      <c r="BZ436" s="81"/>
      <c r="CA436" s="81"/>
      <c r="CB436" s="81"/>
      <c r="CC436" s="81"/>
      <c r="CD436" s="81"/>
      <c r="CE436" s="81"/>
      <c r="CF436" s="81"/>
      <c r="CG436" s="81"/>
      <c r="CH436" s="81"/>
      <c r="CI436" s="81"/>
      <c r="CJ436" s="81"/>
      <c r="CK436" s="81"/>
      <c r="CL436" s="81"/>
      <c r="CM436" s="81"/>
      <c r="CN436" s="81"/>
      <c r="CO436" s="81"/>
      <c r="CP436" s="81"/>
      <c r="CQ436" s="81"/>
      <c r="CR436" s="81"/>
      <c r="CS436" s="81"/>
      <c r="CT436" s="81"/>
      <c r="CU436" s="81"/>
      <c r="CV436" s="81"/>
      <c r="CW436" s="81"/>
      <c r="CX436" s="81"/>
      <c r="CY436" s="81"/>
      <c r="CZ436" s="81"/>
      <c r="DA436" s="81"/>
      <c r="DB436" s="81"/>
      <c r="DC436" s="81"/>
      <c r="DD436" s="81"/>
      <c r="DE436" s="81"/>
      <c r="DF436" s="81"/>
      <c r="DG436" s="81"/>
      <c r="DH436" s="81"/>
      <c r="DI436" s="81"/>
      <c r="DJ436" s="81"/>
      <c r="DK436" s="81"/>
      <c r="DL436" s="81"/>
      <c r="DM436" s="81"/>
      <c r="DN436" s="81"/>
      <c r="DO436" s="81"/>
      <c r="DP436" s="81"/>
      <c r="DQ436" s="81"/>
      <c r="DR436" s="81"/>
      <c r="DS436" s="81"/>
      <c r="DT436" s="81"/>
      <c r="DU436" s="81"/>
      <c r="DV436" s="81"/>
      <c r="DW436" s="121"/>
    </row>
    <row r="437" spans="1:127" x14ac:dyDescent="0.25">
      <c r="A437" s="2">
        <f>COUNTIF($D$2:D437,'Reporte de Nomina'!$E$2)</f>
        <v>0</v>
      </c>
      <c r="B437" s="125">
        <f>Lista!A436</f>
        <v>0</v>
      </c>
      <c r="C437" s="125">
        <f>Lista!B436</f>
        <v>0</v>
      </c>
      <c r="D437" s="125">
        <f>Lista!C436</f>
        <v>0</v>
      </c>
      <c r="E437" s="125">
        <f>Lista!D436</f>
        <v>0</v>
      </c>
      <c r="F437" s="125">
        <f>Lista!E436</f>
        <v>0</v>
      </c>
      <c r="G437" s="125">
        <f>Lista!F436</f>
        <v>0</v>
      </c>
      <c r="H437" s="125">
        <f>Lista!G436</f>
        <v>0</v>
      </c>
      <c r="I437" s="125">
        <f>Lista!H436</f>
        <v>0</v>
      </c>
      <c r="J437" s="125">
        <f>Lista!I436</f>
        <v>0</v>
      </c>
      <c r="K437" s="125">
        <f>Lista!J436</f>
        <v>0</v>
      </c>
      <c r="L437" s="125">
        <f>Lista!K436</f>
        <v>0</v>
      </c>
      <c r="M437" s="125">
        <f>Lista!L436</f>
        <v>0</v>
      </c>
      <c r="N437" s="125">
        <f>Lista!M436</f>
        <v>0</v>
      </c>
      <c r="O437" s="125">
        <f>Lista!N436</f>
        <v>0</v>
      </c>
      <c r="P437" s="125">
        <f>Lista!O436</f>
        <v>0</v>
      </c>
      <c r="Q437" s="125">
        <f>Lista!P436</f>
        <v>0</v>
      </c>
      <c r="R437" s="125">
        <f>Lista!Q436</f>
        <v>0</v>
      </c>
      <c r="S437" s="125">
        <f>Lista!R436</f>
        <v>0</v>
      </c>
      <c r="T437" s="81"/>
      <c r="U437" s="81"/>
      <c r="V437" s="81"/>
      <c r="W437" s="81"/>
      <c r="X437" s="81"/>
      <c r="Y437" s="81"/>
      <c r="Z437" s="81"/>
      <c r="AA437" s="81"/>
      <c r="AB437" s="81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  <c r="BS437" s="81"/>
      <c r="BT437" s="81"/>
      <c r="BU437" s="81"/>
      <c r="BV437" s="81"/>
      <c r="BW437" s="81"/>
      <c r="BX437" s="81"/>
      <c r="BY437" s="81"/>
      <c r="BZ437" s="81"/>
      <c r="CA437" s="81"/>
      <c r="CB437" s="81"/>
      <c r="CC437" s="81"/>
      <c r="CD437" s="81"/>
      <c r="CE437" s="81"/>
      <c r="CF437" s="81"/>
      <c r="CG437" s="81"/>
      <c r="CH437" s="81"/>
      <c r="CI437" s="81"/>
      <c r="CJ437" s="81"/>
      <c r="CK437" s="81"/>
      <c r="CL437" s="81"/>
      <c r="CM437" s="81"/>
      <c r="CN437" s="81"/>
      <c r="CO437" s="81"/>
      <c r="CP437" s="81"/>
      <c r="CQ437" s="81"/>
      <c r="CR437" s="81"/>
      <c r="CS437" s="81"/>
      <c r="CT437" s="81"/>
      <c r="CU437" s="81"/>
      <c r="CV437" s="81"/>
      <c r="CW437" s="81"/>
      <c r="CX437" s="81"/>
      <c r="CY437" s="81"/>
      <c r="CZ437" s="81"/>
      <c r="DA437" s="81"/>
      <c r="DB437" s="81"/>
      <c r="DC437" s="81"/>
      <c r="DD437" s="81"/>
      <c r="DE437" s="81"/>
      <c r="DF437" s="81"/>
      <c r="DG437" s="81"/>
      <c r="DH437" s="81"/>
      <c r="DI437" s="81"/>
      <c r="DJ437" s="81"/>
      <c r="DK437" s="81"/>
      <c r="DL437" s="81"/>
      <c r="DM437" s="81"/>
      <c r="DN437" s="81"/>
      <c r="DO437" s="81"/>
      <c r="DP437" s="81"/>
      <c r="DQ437" s="81"/>
      <c r="DR437" s="81"/>
      <c r="DS437" s="81"/>
      <c r="DT437" s="81"/>
      <c r="DU437" s="81"/>
      <c r="DV437" s="81"/>
      <c r="DW437" s="121"/>
    </row>
    <row r="438" spans="1:127" x14ac:dyDescent="0.25">
      <c r="A438" s="2">
        <f>COUNTIF($D$2:D438,'Reporte de Nomina'!$E$2)</f>
        <v>0</v>
      </c>
      <c r="B438" s="125">
        <f>Lista!A437</f>
        <v>0</v>
      </c>
      <c r="C438" s="125">
        <f>Lista!B437</f>
        <v>0</v>
      </c>
      <c r="D438" s="125">
        <f>Lista!C437</f>
        <v>0</v>
      </c>
      <c r="E438" s="125">
        <f>Lista!D437</f>
        <v>0</v>
      </c>
      <c r="F438" s="125">
        <f>Lista!E437</f>
        <v>0</v>
      </c>
      <c r="G438" s="125">
        <f>Lista!F437</f>
        <v>0</v>
      </c>
      <c r="H438" s="125">
        <f>Lista!G437</f>
        <v>0</v>
      </c>
      <c r="I438" s="125">
        <f>Lista!H437</f>
        <v>0</v>
      </c>
      <c r="J438" s="125">
        <f>Lista!I437</f>
        <v>0</v>
      </c>
      <c r="K438" s="125">
        <f>Lista!J437</f>
        <v>0</v>
      </c>
      <c r="L438" s="125">
        <f>Lista!K437</f>
        <v>0</v>
      </c>
      <c r="M438" s="125">
        <f>Lista!L437</f>
        <v>0</v>
      </c>
      <c r="N438" s="125">
        <f>Lista!M437</f>
        <v>0</v>
      </c>
      <c r="O438" s="125">
        <f>Lista!N437</f>
        <v>0</v>
      </c>
      <c r="P438" s="125">
        <f>Lista!O437</f>
        <v>0</v>
      </c>
      <c r="Q438" s="125">
        <f>Lista!P437</f>
        <v>0</v>
      </c>
      <c r="R438" s="125">
        <f>Lista!Q437</f>
        <v>0</v>
      </c>
      <c r="S438" s="125">
        <f>Lista!R437</f>
        <v>0</v>
      </c>
      <c r="T438" s="81"/>
      <c r="U438" s="81"/>
      <c r="V438" s="81"/>
      <c r="W438" s="81"/>
      <c r="X438" s="81"/>
      <c r="Y438" s="81"/>
      <c r="Z438" s="81"/>
      <c r="AA438" s="81"/>
      <c r="AB438" s="81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  <c r="BS438" s="81"/>
      <c r="BT438" s="81"/>
      <c r="BU438" s="81"/>
      <c r="BV438" s="81"/>
      <c r="BW438" s="81"/>
      <c r="BX438" s="81"/>
      <c r="BY438" s="81"/>
      <c r="BZ438" s="81"/>
      <c r="CA438" s="81"/>
      <c r="CB438" s="81"/>
      <c r="CC438" s="81"/>
      <c r="CD438" s="81"/>
      <c r="CE438" s="81"/>
      <c r="CF438" s="81"/>
      <c r="CG438" s="81"/>
      <c r="CH438" s="81"/>
      <c r="CI438" s="81"/>
      <c r="CJ438" s="81"/>
      <c r="CK438" s="81"/>
      <c r="CL438" s="81"/>
      <c r="CM438" s="81"/>
      <c r="CN438" s="81"/>
      <c r="CO438" s="81"/>
      <c r="CP438" s="81"/>
      <c r="CQ438" s="81"/>
      <c r="CR438" s="81"/>
      <c r="CS438" s="81"/>
      <c r="CT438" s="81"/>
      <c r="CU438" s="81"/>
      <c r="CV438" s="81"/>
      <c r="CW438" s="81"/>
      <c r="CX438" s="81"/>
      <c r="CY438" s="81"/>
      <c r="CZ438" s="81"/>
      <c r="DA438" s="81"/>
      <c r="DB438" s="81"/>
      <c r="DC438" s="81"/>
      <c r="DD438" s="81"/>
      <c r="DE438" s="81"/>
      <c r="DF438" s="81"/>
      <c r="DG438" s="81"/>
      <c r="DH438" s="81"/>
      <c r="DI438" s="81"/>
      <c r="DJ438" s="81"/>
      <c r="DK438" s="81"/>
      <c r="DL438" s="81"/>
      <c r="DM438" s="81"/>
      <c r="DN438" s="81"/>
      <c r="DO438" s="81"/>
      <c r="DP438" s="81"/>
      <c r="DQ438" s="81"/>
      <c r="DR438" s="81"/>
      <c r="DS438" s="81"/>
      <c r="DT438" s="81"/>
      <c r="DU438" s="81"/>
      <c r="DV438" s="81"/>
      <c r="DW438" s="121"/>
    </row>
    <row r="439" spans="1:127" x14ac:dyDescent="0.25">
      <c r="A439" s="2">
        <f>COUNTIF($D$2:D439,'Reporte de Nomina'!$E$2)</f>
        <v>0</v>
      </c>
      <c r="B439" s="125">
        <f>Lista!A438</f>
        <v>0</v>
      </c>
      <c r="C439" s="125">
        <f>Lista!B438</f>
        <v>0</v>
      </c>
      <c r="D439" s="125">
        <f>Lista!C438</f>
        <v>0</v>
      </c>
      <c r="E439" s="125">
        <f>Lista!D438</f>
        <v>0</v>
      </c>
      <c r="F439" s="125">
        <f>Lista!E438</f>
        <v>0</v>
      </c>
      <c r="G439" s="125">
        <f>Lista!F438</f>
        <v>0</v>
      </c>
      <c r="H439" s="125">
        <f>Lista!G438</f>
        <v>0</v>
      </c>
      <c r="I439" s="125">
        <f>Lista!H438</f>
        <v>0</v>
      </c>
      <c r="J439" s="125">
        <f>Lista!I438</f>
        <v>0</v>
      </c>
      <c r="K439" s="125">
        <f>Lista!J438</f>
        <v>0</v>
      </c>
      <c r="L439" s="125">
        <f>Lista!K438</f>
        <v>0</v>
      </c>
      <c r="M439" s="125">
        <f>Lista!L438</f>
        <v>0</v>
      </c>
      <c r="N439" s="125">
        <f>Lista!M438</f>
        <v>0</v>
      </c>
      <c r="O439" s="125">
        <f>Lista!N438</f>
        <v>0</v>
      </c>
      <c r="P439" s="125">
        <f>Lista!O438</f>
        <v>0</v>
      </c>
      <c r="Q439" s="125">
        <f>Lista!P438</f>
        <v>0</v>
      </c>
      <c r="R439" s="125">
        <f>Lista!Q438</f>
        <v>0</v>
      </c>
      <c r="S439" s="125">
        <f>Lista!R438</f>
        <v>0</v>
      </c>
      <c r="T439" s="81"/>
      <c r="U439" s="81"/>
      <c r="V439" s="81"/>
      <c r="W439" s="81"/>
      <c r="X439" s="81"/>
      <c r="Y439" s="81"/>
      <c r="Z439" s="81"/>
      <c r="AA439" s="81"/>
      <c r="AB439" s="81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  <c r="BS439" s="81"/>
      <c r="BT439" s="81"/>
      <c r="BU439" s="81"/>
      <c r="BV439" s="81"/>
      <c r="BW439" s="81"/>
      <c r="BX439" s="81"/>
      <c r="BY439" s="81"/>
      <c r="BZ439" s="81"/>
      <c r="CA439" s="81"/>
      <c r="CB439" s="81"/>
      <c r="CC439" s="81"/>
      <c r="CD439" s="81"/>
      <c r="CE439" s="81"/>
      <c r="CF439" s="81"/>
      <c r="CG439" s="81"/>
      <c r="CH439" s="81"/>
      <c r="CI439" s="81"/>
      <c r="CJ439" s="81"/>
      <c r="CK439" s="81"/>
      <c r="CL439" s="81"/>
      <c r="CM439" s="81"/>
      <c r="CN439" s="81"/>
      <c r="CO439" s="81"/>
      <c r="CP439" s="81"/>
      <c r="CQ439" s="81"/>
      <c r="CR439" s="81"/>
      <c r="CS439" s="81"/>
      <c r="CT439" s="81"/>
      <c r="CU439" s="81"/>
      <c r="CV439" s="81"/>
      <c r="CW439" s="81"/>
      <c r="CX439" s="81"/>
      <c r="CY439" s="81"/>
      <c r="CZ439" s="81"/>
      <c r="DA439" s="81"/>
      <c r="DB439" s="81"/>
      <c r="DC439" s="81"/>
      <c r="DD439" s="81"/>
      <c r="DE439" s="81"/>
      <c r="DF439" s="81"/>
      <c r="DG439" s="81"/>
      <c r="DH439" s="81"/>
      <c r="DI439" s="81"/>
      <c r="DJ439" s="81"/>
      <c r="DK439" s="81"/>
      <c r="DL439" s="81"/>
      <c r="DM439" s="81"/>
      <c r="DN439" s="81"/>
      <c r="DO439" s="81"/>
      <c r="DP439" s="81"/>
      <c r="DQ439" s="81"/>
      <c r="DR439" s="81"/>
      <c r="DS439" s="81"/>
      <c r="DT439" s="81"/>
      <c r="DU439" s="81"/>
      <c r="DV439" s="81"/>
      <c r="DW439" s="121"/>
    </row>
    <row r="440" spans="1:127" x14ac:dyDescent="0.25">
      <c r="A440" s="2">
        <f>COUNTIF($D$2:D440,'Reporte de Nomina'!$E$2)</f>
        <v>0</v>
      </c>
      <c r="B440" s="125">
        <f>Lista!A439</f>
        <v>0</v>
      </c>
      <c r="C440" s="125">
        <f>Lista!B439</f>
        <v>0</v>
      </c>
      <c r="D440" s="125">
        <f>Lista!C439</f>
        <v>0</v>
      </c>
      <c r="E440" s="125">
        <f>Lista!D439</f>
        <v>0</v>
      </c>
      <c r="F440" s="125">
        <f>Lista!E439</f>
        <v>0</v>
      </c>
      <c r="G440" s="125">
        <f>Lista!F439</f>
        <v>0</v>
      </c>
      <c r="H440" s="125">
        <f>Lista!G439</f>
        <v>0</v>
      </c>
      <c r="I440" s="125">
        <f>Lista!H439</f>
        <v>0</v>
      </c>
      <c r="J440" s="125">
        <f>Lista!I439</f>
        <v>0</v>
      </c>
      <c r="K440" s="125">
        <f>Lista!J439</f>
        <v>0</v>
      </c>
      <c r="L440" s="125">
        <f>Lista!K439</f>
        <v>0</v>
      </c>
      <c r="M440" s="125">
        <f>Lista!L439</f>
        <v>0</v>
      </c>
      <c r="N440" s="125">
        <f>Lista!M439</f>
        <v>0</v>
      </c>
      <c r="O440" s="125">
        <f>Lista!N439</f>
        <v>0</v>
      </c>
      <c r="P440" s="125">
        <f>Lista!O439</f>
        <v>0</v>
      </c>
      <c r="Q440" s="125">
        <f>Lista!P439</f>
        <v>0</v>
      </c>
      <c r="R440" s="125">
        <f>Lista!Q439</f>
        <v>0</v>
      </c>
      <c r="S440" s="125">
        <f>Lista!R439</f>
        <v>0</v>
      </c>
      <c r="T440" s="81"/>
      <c r="U440" s="81"/>
      <c r="V440" s="81"/>
      <c r="W440" s="81"/>
      <c r="X440" s="81"/>
      <c r="Y440" s="81"/>
      <c r="Z440" s="81"/>
      <c r="AA440" s="81"/>
      <c r="AB440" s="81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  <c r="BS440" s="81"/>
      <c r="BT440" s="81"/>
      <c r="BU440" s="81"/>
      <c r="BV440" s="81"/>
      <c r="BW440" s="81"/>
      <c r="BX440" s="81"/>
      <c r="BY440" s="81"/>
      <c r="BZ440" s="81"/>
      <c r="CA440" s="81"/>
      <c r="CB440" s="81"/>
      <c r="CC440" s="81"/>
      <c r="CD440" s="81"/>
      <c r="CE440" s="81"/>
      <c r="CF440" s="81"/>
      <c r="CG440" s="81"/>
      <c r="CH440" s="81"/>
      <c r="CI440" s="81"/>
      <c r="CJ440" s="81"/>
      <c r="CK440" s="81"/>
      <c r="CL440" s="81"/>
      <c r="CM440" s="81"/>
      <c r="CN440" s="81"/>
      <c r="CO440" s="81"/>
      <c r="CP440" s="81"/>
      <c r="CQ440" s="81"/>
      <c r="CR440" s="81"/>
      <c r="CS440" s="81"/>
      <c r="CT440" s="81"/>
      <c r="CU440" s="81"/>
      <c r="CV440" s="81"/>
      <c r="CW440" s="81"/>
      <c r="CX440" s="81"/>
      <c r="CY440" s="81"/>
      <c r="CZ440" s="81"/>
      <c r="DA440" s="81"/>
      <c r="DB440" s="81"/>
      <c r="DC440" s="81"/>
      <c r="DD440" s="81"/>
      <c r="DE440" s="81"/>
      <c r="DF440" s="81"/>
      <c r="DG440" s="81"/>
      <c r="DH440" s="81"/>
      <c r="DI440" s="81"/>
      <c r="DJ440" s="81"/>
      <c r="DK440" s="81"/>
      <c r="DL440" s="81"/>
      <c r="DM440" s="81"/>
      <c r="DN440" s="81"/>
      <c r="DO440" s="81"/>
      <c r="DP440" s="81"/>
      <c r="DQ440" s="81"/>
      <c r="DR440" s="81"/>
      <c r="DS440" s="81"/>
      <c r="DT440" s="81"/>
      <c r="DU440" s="81"/>
      <c r="DV440" s="81"/>
      <c r="DW440" s="121"/>
    </row>
    <row r="441" spans="1:127" x14ac:dyDescent="0.25">
      <c r="A441" s="2">
        <f>COUNTIF($D$2:D441,'Reporte de Nomina'!$E$2)</f>
        <v>0</v>
      </c>
      <c r="B441" s="125">
        <f>Lista!A440</f>
        <v>0</v>
      </c>
      <c r="C441" s="125">
        <f>Lista!B440</f>
        <v>0</v>
      </c>
      <c r="D441" s="125">
        <f>Lista!C440</f>
        <v>0</v>
      </c>
      <c r="E441" s="125">
        <f>Lista!D440</f>
        <v>0</v>
      </c>
      <c r="F441" s="125">
        <f>Lista!E440</f>
        <v>0</v>
      </c>
      <c r="G441" s="125">
        <f>Lista!F440</f>
        <v>0</v>
      </c>
      <c r="H441" s="125">
        <f>Lista!G440</f>
        <v>0</v>
      </c>
      <c r="I441" s="125">
        <f>Lista!H440</f>
        <v>0</v>
      </c>
      <c r="J441" s="125">
        <f>Lista!I440</f>
        <v>0</v>
      </c>
      <c r="K441" s="125">
        <f>Lista!J440</f>
        <v>0</v>
      </c>
      <c r="L441" s="125">
        <f>Lista!K440</f>
        <v>0</v>
      </c>
      <c r="M441" s="125">
        <f>Lista!L440</f>
        <v>0</v>
      </c>
      <c r="N441" s="125">
        <f>Lista!M440</f>
        <v>0</v>
      </c>
      <c r="O441" s="125">
        <f>Lista!N440</f>
        <v>0</v>
      </c>
      <c r="P441" s="125">
        <f>Lista!O440</f>
        <v>0</v>
      </c>
      <c r="Q441" s="125">
        <f>Lista!P440</f>
        <v>0</v>
      </c>
      <c r="R441" s="125">
        <f>Lista!Q440</f>
        <v>0</v>
      </c>
      <c r="S441" s="125">
        <f>Lista!R440</f>
        <v>0</v>
      </c>
      <c r="T441" s="81"/>
      <c r="U441" s="81"/>
      <c r="V441" s="81"/>
      <c r="W441" s="81"/>
      <c r="X441" s="81"/>
      <c r="Y441" s="81"/>
      <c r="Z441" s="81"/>
      <c r="AA441" s="81"/>
      <c r="AB441" s="81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  <c r="BS441" s="81"/>
      <c r="BT441" s="81"/>
      <c r="BU441" s="81"/>
      <c r="BV441" s="81"/>
      <c r="BW441" s="81"/>
      <c r="BX441" s="81"/>
      <c r="BY441" s="81"/>
      <c r="BZ441" s="81"/>
      <c r="CA441" s="81"/>
      <c r="CB441" s="81"/>
      <c r="CC441" s="81"/>
      <c r="CD441" s="81"/>
      <c r="CE441" s="81"/>
      <c r="CF441" s="81"/>
      <c r="CG441" s="81"/>
      <c r="CH441" s="81"/>
      <c r="CI441" s="81"/>
      <c r="CJ441" s="81"/>
      <c r="CK441" s="81"/>
      <c r="CL441" s="81"/>
      <c r="CM441" s="81"/>
      <c r="CN441" s="81"/>
      <c r="CO441" s="81"/>
      <c r="CP441" s="81"/>
      <c r="CQ441" s="81"/>
      <c r="CR441" s="81"/>
      <c r="CS441" s="81"/>
      <c r="CT441" s="81"/>
      <c r="CU441" s="81"/>
      <c r="CV441" s="81"/>
      <c r="CW441" s="81"/>
      <c r="CX441" s="81"/>
      <c r="CY441" s="81"/>
      <c r="CZ441" s="81"/>
      <c r="DA441" s="81"/>
      <c r="DB441" s="81"/>
      <c r="DC441" s="81"/>
      <c r="DD441" s="81"/>
      <c r="DE441" s="81"/>
      <c r="DF441" s="81"/>
      <c r="DG441" s="81"/>
      <c r="DH441" s="81"/>
      <c r="DI441" s="81"/>
      <c r="DJ441" s="81"/>
      <c r="DK441" s="81"/>
      <c r="DL441" s="81"/>
      <c r="DM441" s="81"/>
      <c r="DN441" s="81"/>
      <c r="DO441" s="81"/>
      <c r="DP441" s="81"/>
      <c r="DQ441" s="81"/>
      <c r="DR441" s="81"/>
      <c r="DS441" s="81"/>
      <c r="DT441" s="81"/>
      <c r="DU441" s="81"/>
      <c r="DV441" s="81"/>
      <c r="DW441" s="121"/>
    </row>
    <row r="442" spans="1:127" x14ac:dyDescent="0.25">
      <c r="A442" s="2">
        <f>COUNTIF($D$2:D442,'Reporte de Nomina'!$E$2)</f>
        <v>0</v>
      </c>
      <c r="B442" s="125">
        <f>Lista!A441</f>
        <v>0</v>
      </c>
      <c r="C442" s="125">
        <f>Lista!B441</f>
        <v>0</v>
      </c>
      <c r="D442" s="125">
        <f>Lista!C441</f>
        <v>0</v>
      </c>
      <c r="E442" s="125">
        <f>Lista!D441</f>
        <v>0</v>
      </c>
      <c r="F442" s="125">
        <f>Lista!E441</f>
        <v>0</v>
      </c>
      <c r="G442" s="125">
        <f>Lista!F441</f>
        <v>0</v>
      </c>
      <c r="H442" s="125">
        <f>Lista!G441</f>
        <v>0</v>
      </c>
      <c r="I442" s="125">
        <f>Lista!H441</f>
        <v>0</v>
      </c>
      <c r="J442" s="125">
        <f>Lista!I441</f>
        <v>0</v>
      </c>
      <c r="K442" s="125">
        <f>Lista!J441</f>
        <v>0</v>
      </c>
      <c r="L442" s="125">
        <f>Lista!K441</f>
        <v>0</v>
      </c>
      <c r="M442" s="125">
        <f>Lista!L441</f>
        <v>0</v>
      </c>
      <c r="N442" s="125">
        <f>Lista!M441</f>
        <v>0</v>
      </c>
      <c r="O442" s="125">
        <f>Lista!N441</f>
        <v>0</v>
      </c>
      <c r="P442" s="125">
        <f>Lista!O441</f>
        <v>0</v>
      </c>
      <c r="Q442" s="125">
        <f>Lista!P441</f>
        <v>0</v>
      </c>
      <c r="R442" s="125">
        <f>Lista!Q441</f>
        <v>0</v>
      </c>
      <c r="S442" s="125">
        <f>Lista!R441</f>
        <v>0</v>
      </c>
      <c r="T442" s="81"/>
      <c r="U442" s="81"/>
      <c r="V442" s="81"/>
      <c r="W442" s="81"/>
      <c r="X442" s="81"/>
      <c r="Y442" s="81"/>
      <c r="Z442" s="81"/>
      <c r="AA442" s="81"/>
      <c r="AB442" s="81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  <c r="BS442" s="81"/>
      <c r="BT442" s="81"/>
      <c r="BU442" s="81"/>
      <c r="BV442" s="81"/>
      <c r="BW442" s="81"/>
      <c r="BX442" s="81"/>
      <c r="BY442" s="81"/>
      <c r="BZ442" s="81"/>
      <c r="CA442" s="81"/>
      <c r="CB442" s="81"/>
      <c r="CC442" s="81"/>
      <c r="CD442" s="81"/>
      <c r="CE442" s="81"/>
      <c r="CF442" s="81"/>
      <c r="CG442" s="81"/>
      <c r="CH442" s="81"/>
      <c r="CI442" s="81"/>
      <c r="CJ442" s="81"/>
      <c r="CK442" s="81"/>
      <c r="CL442" s="81"/>
      <c r="CM442" s="81"/>
      <c r="CN442" s="81"/>
      <c r="CO442" s="81"/>
      <c r="CP442" s="81"/>
      <c r="CQ442" s="81"/>
      <c r="CR442" s="81"/>
      <c r="CS442" s="81"/>
      <c r="CT442" s="81"/>
      <c r="CU442" s="81"/>
      <c r="CV442" s="81"/>
      <c r="CW442" s="81"/>
      <c r="CX442" s="81"/>
      <c r="CY442" s="81"/>
      <c r="CZ442" s="81"/>
      <c r="DA442" s="81"/>
      <c r="DB442" s="81"/>
      <c r="DC442" s="81"/>
      <c r="DD442" s="81"/>
      <c r="DE442" s="81"/>
      <c r="DF442" s="81"/>
      <c r="DG442" s="81"/>
      <c r="DH442" s="81"/>
      <c r="DI442" s="81"/>
      <c r="DJ442" s="81"/>
      <c r="DK442" s="81"/>
      <c r="DL442" s="81"/>
      <c r="DM442" s="81"/>
      <c r="DN442" s="81"/>
      <c r="DO442" s="81"/>
      <c r="DP442" s="81"/>
      <c r="DQ442" s="81"/>
      <c r="DR442" s="81"/>
      <c r="DS442" s="81"/>
      <c r="DT442" s="81"/>
      <c r="DU442" s="81"/>
      <c r="DV442" s="81"/>
      <c r="DW442" s="121"/>
    </row>
    <row r="443" spans="1:127" x14ac:dyDescent="0.25">
      <c r="A443" s="2">
        <f>COUNTIF($D$2:D443,'Reporte de Nomina'!$E$2)</f>
        <v>0</v>
      </c>
      <c r="B443" s="125">
        <f>Lista!A442</f>
        <v>0</v>
      </c>
      <c r="C443" s="125">
        <f>Lista!B442</f>
        <v>0</v>
      </c>
      <c r="D443" s="125">
        <f>Lista!C442</f>
        <v>0</v>
      </c>
      <c r="E443" s="125">
        <f>Lista!D442</f>
        <v>0</v>
      </c>
      <c r="F443" s="125">
        <f>Lista!E442</f>
        <v>0</v>
      </c>
      <c r="G443" s="125">
        <f>Lista!F442</f>
        <v>0</v>
      </c>
      <c r="H443" s="125">
        <f>Lista!G442</f>
        <v>0</v>
      </c>
      <c r="I443" s="125">
        <f>Lista!H442</f>
        <v>0</v>
      </c>
      <c r="J443" s="125">
        <f>Lista!I442</f>
        <v>0</v>
      </c>
      <c r="K443" s="125">
        <f>Lista!J442</f>
        <v>0</v>
      </c>
      <c r="L443" s="125">
        <f>Lista!K442</f>
        <v>0</v>
      </c>
      <c r="M443" s="125">
        <f>Lista!L442</f>
        <v>0</v>
      </c>
      <c r="N443" s="125">
        <f>Lista!M442</f>
        <v>0</v>
      </c>
      <c r="O443" s="125">
        <f>Lista!N442</f>
        <v>0</v>
      </c>
      <c r="P443" s="125">
        <f>Lista!O442</f>
        <v>0</v>
      </c>
      <c r="Q443" s="125">
        <f>Lista!P442</f>
        <v>0</v>
      </c>
      <c r="R443" s="125">
        <f>Lista!Q442</f>
        <v>0</v>
      </c>
      <c r="S443" s="125">
        <f>Lista!R442</f>
        <v>0</v>
      </c>
      <c r="T443" s="81"/>
      <c r="U443" s="81"/>
      <c r="V443" s="81"/>
      <c r="W443" s="81"/>
      <c r="X443" s="81"/>
      <c r="Y443" s="81"/>
      <c r="Z443" s="81"/>
      <c r="AA443" s="81"/>
      <c r="AB443" s="81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  <c r="BS443" s="81"/>
      <c r="BT443" s="81"/>
      <c r="BU443" s="81"/>
      <c r="BV443" s="81"/>
      <c r="BW443" s="81"/>
      <c r="BX443" s="81"/>
      <c r="BY443" s="81"/>
      <c r="BZ443" s="81"/>
      <c r="CA443" s="81"/>
      <c r="CB443" s="81"/>
      <c r="CC443" s="81"/>
      <c r="CD443" s="81"/>
      <c r="CE443" s="81"/>
      <c r="CF443" s="81"/>
      <c r="CG443" s="81"/>
      <c r="CH443" s="81"/>
      <c r="CI443" s="81"/>
      <c r="CJ443" s="81"/>
      <c r="CK443" s="81"/>
      <c r="CL443" s="81"/>
      <c r="CM443" s="81"/>
      <c r="CN443" s="81"/>
      <c r="CO443" s="81"/>
      <c r="CP443" s="81"/>
      <c r="CQ443" s="81"/>
      <c r="CR443" s="81"/>
      <c r="CS443" s="81"/>
      <c r="CT443" s="81"/>
      <c r="CU443" s="81"/>
      <c r="CV443" s="81"/>
      <c r="CW443" s="81"/>
      <c r="CX443" s="81"/>
      <c r="CY443" s="81"/>
      <c r="CZ443" s="81"/>
      <c r="DA443" s="81"/>
      <c r="DB443" s="81"/>
      <c r="DC443" s="81"/>
      <c r="DD443" s="81"/>
      <c r="DE443" s="81"/>
      <c r="DF443" s="81"/>
      <c r="DG443" s="81"/>
      <c r="DH443" s="81"/>
      <c r="DI443" s="81"/>
      <c r="DJ443" s="81"/>
      <c r="DK443" s="81"/>
      <c r="DL443" s="81"/>
      <c r="DM443" s="81"/>
      <c r="DN443" s="81"/>
      <c r="DO443" s="81"/>
      <c r="DP443" s="81"/>
      <c r="DQ443" s="81"/>
      <c r="DR443" s="81"/>
      <c r="DS443" s="81"/>
      <c r="DT443" s="81"/>
      <c r="DU443" s="81"/>
      <c r="DV443" s="81"/>
      <c r="DW443" s="121"/>
    </row>
    <row r="444" spans="1:127" x14ac:dyDescent="0.25">
      <c r="A444" s="2">
        <f>COUNTIF($D$2:D444,'Reporte de Nomina'!$E$2)</f>
        <v>0</v>
      </c>
      <c r="B444" s="125">
        <f>Lista!A443</f>
        <v>0</v>
      </c>
      <c r="C444" s="125">
        <f>Lista!B443</f>
        <v>0</v>
      </c>
      <c r="D444" s="125">
        <f>Lista!C443</f>
        <v>0</v>
      </c>
      <c r="E444" s="125">
        <f>Lista!D443</f>
        <v>0</v>
      </c>
      <c r="F444" s="125">
        <f>Lista!E443</f>
        <v>0</v>
      </c>
      <c r="G444" s="125">
        <f>Lista!F443</f>
        <v>0</v>
      </c>
      <c r="H444" s="125">
        <f>Lista!G443</f>
        <v>0</v>
      </c>
      <c r="I444" s="125">
        <f>Lista!H443</f>
        <v>0</v>
      </c>
      <c r="J444" s="125">
        <f>Lista!I443</f>
        <v>0</v>
      </c>
      <c r="K444" s="125">
        <f>Lista!J443</f>
        <v>0</v>
      </c>
      <c r="L444" s="125">
        <f>Lista!K443</f>
        <v>0</v>
      </c>
      <c r="M444" s="125">
        <f>Lista!L443</f>
        <v>0</v>
      </c>
      <c r="N444" s="125">
        <f>Lista!M443</f>
        <v>0</v>
      </c>
      <c r="O444" s="125">
        <f>Lista!N443</f>
        <v>0</v>
      </c>
      <c r="P444" s="125">
        <f>Lista!O443</f>
        <v>0</v>
      </c>
      <c r="Q444" s="125">
        <f>Lista!P443</f>
        <v>0</v>
      </c>
      <c r="R444" s="125">
        <f>Lista!Q443</f>
        <v>0</v>
      </c>
      <c r="S444" s="125">
        <f>Lista!R443</f>
        <v>0</v>
      </c>
      <c r="T444" s="81"/>
      <c r="U444" s="81"/>
      <c r="V444" s="81"/>
      <c r="W444" s="81"/>
      <c r="X444" s="81"/>
      <c r="Y444" s="81"/>
      <c r="Z444" s="81"/>
      <c r="AA444" s="81"/>
      <c r="AB444" s="81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  <c r="BS444" s="81"/>
      <c r="BT444" s="81"/>
      <c r="BU444" s="81"/>
      <c r="BV444" s="81"/>
      <c r="BW444" s="81"/>
      <c r="BX444" s="81"/>
      <c r="BY444" s="81"/>
      <c r="BZ444" s="81"/>
      <c r="CA444" s="81"/>
      <c r="CB444" s="81"/>
      <c r="CC444" s="81"/>
      <c r="CD444" s="81"/>
      <c r="CE444" s="81"/>
      <c r="CF444" s="81"/>
      <c r="CG444" s="81"/>
      <c r="CH444" s="81"/>
      <c r="CI444" s="81"/>
      <c r="CJ444" s="81"/>
      <c r="CK444" s="81"/>
      <c r="CL444" s="81"/>
      <c r="CM444" s="81"/>
      <c r="CN444" s="81"/>
      <c r="CO444" s="81"/>
      <c r="CP444" s="81"/>
      <c r="CQ444" s="81"/>
      <c r="CR444" s="81"/>
      <c r="CS444" s="81"/>
      <c r="CT444" s="81"/>
      <c r="CU444" s="81"/>
      <c r="CV444" s="81"/>
      <c r="CW444" s="81"/>
      <c r="CX444" s="81"/>
      <c r="CY444" s="81"/>
      <c r="CZ444" s="81"/>
      <c r="DA444" s="81"/>
      <c r="DB444" s="81"/>
      <c r="DC444" s="81"/>
      <c r="DD444" s="81"/>
      <c r="DE444" s="81"/>
      <c r="DF444" s="81"/>
      <c r="DG444" s="81"/>
      <c r="DH444" s="81"/>
      <c r="DI444" s="81"/>
      <c r="DJ444" s="81"/>
      <c r="DK444" s="81"/>
      <c r="DL444" s="81"/>
      <c r="DM444" s="81"/>
      <c r="DN444" s="81"/>
      <c r="DO444" s="81"/>
      <c r="DP444" s="81"/>
      <c r="DQ444" s="81"/>
      <c r="DR444" s="81"/>
      <c r="DS444" s="81"/>
      <c r="DT444" s="81"/>
      <c r="DU444" s="81"/>
      <c r="DV444" s="81"/>
      <c r="DW444" s="121"/>
    </row>
    <row r="445" spans="1:127" x14ac:dyDescent="0.25">
      <c r="A445" s="2">
        <f>COUNTIF($D$2:D445,'Reporte de Nomina'!$E$2)</f>
        <v>0</v>
      </c>
      <c r="B445" s="125">
        <f>Lista!A444</f>
        <v>0</v>
      </c>
      <c r="C445" s="125">
        <f>Lista!B444</f>
        <v>0</v>
      </c>
      <c r="D445" s="125">
        <f>Lista!C444</f>
        <v>0</v>
      </c>
      <c r="E445" s="125">
        <f>Lista!D444</f>
        <v>0</v>
      </c>
      <c r="F445" s="125">
        <f>Lista!E444</f>
        <v>0</v>
      </c>
      <c r="G445" s="125">
        <f>Lista!F444</f>
        <v>0</v>
      </c>
      <c r="H445" s="125">
        <f>Lista!G444</f>
        <v>0</v>
      </c>
      <c r="I445" s="125">
        <f>Lista!H444</f>
        <v>0</v>
      </c>
      <c r="J445" s="125">
        <f>Lista!I444</f>
        <v>0</v>
      </c>
      <c r="K445" s="125">
        <f>Lista!J444</f>
        <v>0</v>
      </c>
      <c r="L445" s="125">
        <f>Lista!K444</f>
        <v>0</v>
      </c>
      <c r="M445" s="125">
        <f>Lista!L444</f>
        <v>0</v>
      </c>
      <c r="N445" s="125">
        <f>Lista!M444</f>
        <v>0</v>
      </c>
      <c r="O445" s="125">
        <f>Lista!N444</f>
        <v>0</v>
      </c>
      <c r="P445" s="125">
        <f>Lista!O444</f>
        <v>0</v>
      </c>
      <c r="Q445" s="125">
        <f>Lista!P444</f>
        <v>0</v>
      </c>
      <c r="R445" s="125">
        <f>Lista!Q444</f>
        <v>0</v>
      </c>
      <c r="S445" s="125">
        <f>Lista!R444</f>
        <v>0</v>
      </c>
      <c r="T445" s="81"/>
      <c r="U445" s="81"/>
      <c r="V445" s="81"/>
      <c r="W445" s="81"/>
      <c r="X445" s="81"/>
      <c r="Y445" s="81"/>
      <c r="Z445" s="81"/>
      <c r="AA445" s="81"/>
      <c r="AB445" s="81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  <c r="BS445" s="81"/>
      <c r="BT445" s="81"/>
      <c r="BU445" s="81"/>
      <c r="BV445" s="81"/>
      <c r="BW445" s="81"/>
      <c r="BX445" s="81"/>
      <c r="BY445" s="81"/>
      <c r="BZ445" s="81"/>
      <c r="CA445" s="81"/>
      <c r="CB445" s="81"/>
      <c r="CC445" s="81"/>
      <c r="CD445" s="81"/>
      <c r="CE445" s="81"/>
      <c r="CF445" s="81"/>
      <c r="CG445" s="81"/>
      <c r="CH445" s="81"/>
      <c r="CI445" s="81"/>
      <c r="CJ445" s="81"/>
      <c r="CK445" s="81"/>
      <c r="CL445" s="81"/>
      <c r="CM445" s="81"/>
      <c r="CN445" s="81"/>
      <c r="CO445" s="81"/>
      <c r="CP445" s="81"/>
      <c r="CQ445" s="81"/>
      <c r="CR445" s="81"/>
      <c r="CS445" s="81"/>
      <c r="CT445" s="81"/>
      <c r="CU445" s="81"/>
      <c r="CV445" s="81"/>
      <c r="CW445" s="81"/>
      <c r="CX445" s="81"/>
      <c r="CY445" s="81"/>
      <c r="CZ445" s="81"/>
      <c r="DA445" s="81"/>
      <c r="DB445" s="81"/>
      <c r="DC445" s="81"/>
      <c r="DD445" s="81"/>
      <c r="DE445" s="81"/>
      <c r="DF445" s="81"/>
      <c r="DG445" s="81"/>
      <c r="DH445" s="81"/>
      <c r="DI445" s="81"/>
      <c r="DJ445" s="81"/>
      <c r="DK445" s="81"/>
      <c r="DL445" s="81"/>
      <c r="DM445" s="81"/>
      <c r="DN445" s="81"/>
      <c r="DO445" s="81"/>
      <c r="DP445" s="81"/>
      <c r="DQ445" s="81"/>
      <c r="DR445" s="81"/>
      <c r="DS445" s="81"/>
      <c r="DT445" s="81"/>
      <c r="DU445" s="81"/>
      <c r="DV445" s="81"/>
      <c r="DW445" s="121"/>
    </row>
    <row r="446" spans="1:127" x14ac:dyDescent="0.25">
      <c r="A446" s="2">
        <f>COUNTIF($D$2:D446,'Reporte de Nomina'!$E$2)</f>
        <v>0</v>
      </c>
      <c r="B446" s="125">
        <f>Lista!A445</f>
        <v>0</v>
      </c>
      <c r="C446" s="125">
        <f>Lista!B445</f>
        <v>0</v>
      </c>
      <c r="D446" s="125">
        <f>Lista!C445</f>
        <v>0</v>
      </c>
      <c r="E446" s="125">
        <f>Lista!D445</f>
        <v>0</v>
      </c>
      <c r="F446" s="125">
        <f>Lista!E445</f>
        <v>0</v>
      </c>
      <c r="G446" s="125">
        <f>Lista!F445</f>
        <v>0</v>
      </c>
      <c r="H446" s="125">
        <f>Lista!G445</f>
        <v>0</v>
      </c>
      <c r="I446" s="125">
        <f>Lista!H445</f>
        <v>0</v>
      </c>
      <c r="J446" s="125">
        <f>Lista!I445</f>
        <v>0</v>
      </c>
      <c r="K446" s="125">
        <f>Lista!J445</f>
        <v>0</v>
      </c>
      <c r="L446" s="125">
        <f>Lista!K445</f>
        <v>0</v>
      </c>
      <c r="M446" s="125">
        <f>Lista!L445</f>
        <v>0</v>
      </c>
      <c r="N446" s="125">
        <f>Lista!M445</f>
        <v>0</v>
      </c>
      <c r="O446" s="125">
        <f>Lista!N445</f>
        <v>0</v>
      </c>
      <c r="P446" s="125">
        <f>Lista!O445</f>
        <v>0</v>
      </c>
      <c r="Q446" s="125">
        <f>Lista!P445</f>
        <v>0</v>
      </c>
      <c r="R446" s="125">
        <f>Lista!Q445</f>
        <v>0</v>
      </c>
      <c r="S446" s="125">
        <f>Lista!R445</f>
        <v>0</v>
      </c>
      <c r="T446" s="81"/>
      <c r="U446" s="81"/>
      <c r="V446" s="81"/>
      <c r="W446" s="81"/>
      <c r="X446" s="81"/>
      <c r="Y446" s="81"/>
      <c r="Z446" s="81"/>
      <c r="AA446" s="81"/>
      <c r="AB446" s="81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  <c r="BS446" s="81"/>
      <c r="BT446" s="81"/>
      <c r="BU446" s="81"/>
      <c r="BV446" s="81"/>
      <c r="BW446" s="81"/>
      <c r="BX446" s="81"/>
      <c r="BY446" s="81"/>
      <c r="BZ446" s="81"/>
      <c r="CA446" s="81"/>
      <c r="CB446" s="81"/>
      <c r="CC446" s="81"/>
      <c r="CD446" s="81"/>
      <c r="CE446" s="81"/>
      <c r="CF446" s="81"/>
      <c r="CG446" s="81"/>
      <c r="CH446" s="81"/>
      <c r="CI446" s="81"/>
      <c r="CJ446" s="81"/>
      <c r="CK446" s="81"/>
      <c r="CL446" s="81"/>
      <c r="CM446" s="81"/>
      <c r="CN446" s="81"/>
      <c r="CO446" s="81"/>
      <c r="CP446" s="81"/>
      <c r="CQ446" s="81"/>
      <c r="CR446" s="81"/>
      <c r="CS446" s="81"/>
      <c r="CT446" s="81"/>
      <c r="CU446" s="81"/>
      <c r="CV446" s="81"/>
      <c r="CW446" s="81"/>
      <c r="CX446" s="81"/>
      <c r="CY446" s="81"/>
      <c r="CZ446" s="81"/>
      <c r="DA446" s="81"/>
      <c r="DB446" s="81"/>
      <c r="DC446" s="81"/>
      <c r="DD446" s="81"/>
      <c r="DE446" s="81"/>
      <c r="DF446" s="81"/>
      <c r="DG446" s="81"/>
      <c r="DH446" s="81"/>
      <c r="DI446" s="81"/>
      <c r="DJ446" s="81"/>
      <c r="DK446" s="81"/>
      <c r="DL446" s="81"/>
      <c r="DM446" s="81"/>
      <c r="DN446" s="81"/>
      <c r="DO446" s="81"/>
      <c r="DP446" s="81"/>
      <c r="DQ446" s="81"/>
      <c r="DR446" s="81"/>
      <c r="DS446" s="81"/>
      <c r="DT446" s="81"/>
      <c r="DU446" s="81"/>
      <c r="DV446" s="81"/>
      <c r="DW446" s="121"/>
    </row>
    <row r="447" spans="1:127" x14ac:dyDescent="0.25">
      <c r="A447" s="2">
        <f>COUNTIF($D$2:D447,'Reporte de Nomina'!$E$2)</f>
        <v>0</v>
      </c>
      <c r="B447" s="125">
        <f>Lista!A446</f>
        <v>0</v>
      </c>
      <c r="C447" s="125">
        <f>Lista!B446</f>
        <v>0</v>
      </c>
      <c r="D447" s="125">
        <f>Lista!C446</f>
        <v>0</v>
      </c>
      <c r="E447" s="125">
        <f>Lista!D446</f>
        <v>0</v>
      </c>
      <c r="F447" s="125">
        <f>Lista!E446</f>
        <v>0</v>
      </c>
      <c r="G447" s="125">
        <f>Lista!F446</f>
        <v>0</v>
      </c>
      <c r="H447" s="125">
        <f>Lista!G446</f>
        <v>0</v>
      </c>
      <c r="I447" s="125">
        <f>Lista!H446</f>
        <v>0</v>
      </c>
      <c r="J447" s="125">
        <f>Lista!I446</f>
        <v>0</v>
      </c>
      <c r="K447" s="125">
        <f>Lista!J446</f>
        <v>0</v>
      </c>
      <c r="L447" s="125">
        <f>Lista!K446</f>
        <v>0</v>
      </c>
      <c r="M447" s="125">
        <f>Lista!L446</f>
        <v>0</v>
      </c>
      <c r="N447" s="125">
        <f>Lista!M446</f>
        <v>0</v>
      </c>
      <c r="O447" s="125">
        <f>Lista!N446</f>
        <v>0</v>
      </c>
      <c r="P447" s="125">
        <f>Lista!O446</f>
        <v>0</v>
      </c>
      <c r="Q447" s="125">
        <f>Lista!P446</f>
        <v>0</v>
      </c>
      <c r="R447" s="125">
        <f>Lista!Q446</f>
        <v>0</v>
      </c>
      <c r="S447" s="125">
        <f>Lista!R446</f>
        <v>0</v>
      </c>
      <c r="T447" s="81"/>
      <c r="U447" s="81"/>
      <c r="V447" s="81"/>
      <c r="W447" s="81"/>
      <c r="X447" s="81"/>
      <c r="Y447" s="81"/>
      <c r="Z447" s="81"/>
      <c r="AA447" s="81"/>
      <c r="AB447" s="81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  <c r="BS447" s="81"/>
      <c r="BT447" s="81"/>
      <c r="BU447" s="81"/>
      <c r="BV447" s="81"/>
      <c r="BW447" s="81"/>
      <c r="BX447" s="81"/>
      <c r="BY447" s="81"/>
      <c r="BZ447" s="81"/>
      <c r="CA447" s="81"/>
      <c r="CB447" s="81"/>
      <c r="CC447" s="81"/>
      <c r="CD447" s="81"/>
      <c r="CE447" s="81"/>
      <c r="CF447" s="81"/>
      <c r="CG447" s="81"/>
      <c r="CH447" s="81"/>
      <c r="CI447" s="81"/>
      <c r="CJ447" s="81"/>
      <c r="CK447" s="81"/>
      <c r="CL447" s="81"/>
      <c r="CM447" s="81"/>
      <c r="CN447" s="81"/>
      <c r="CO447" s="81"/>
      <c r="CP447" s="81"/>
      <c r="CQ447" s="81"/>
      <c r="CR447" s="81"/>
      <c r="CS447" s="81"/>
      <c r="CT447" s="81"/>
      <c r="CU447" s="81"/>
      <c r="CV447" s="81"/>
      <c r="CW447" s="81"/>
      <c r="CX447" s="81"/>
      <c r="CY447" s="81"/>
      <c r="CZ447" s="81"/>
      <c r="DA447" s="81"/>
      <c r="DB447" s="81"/>
      <c r="DC447" s="81"/>
      <c r="DD447" s="81"/>
      <c r="DE447" s="81"/>
      <c r="DF447" s="81"/>
      <c r="DG447" s="81"/>
      <c r="DH447" s="81"/>
      <c r="DI447" s="81"/>
      <c r="DJ447" s="81"/>
      <c r="DK447" s="81"/>
      <c r="DL447" s="81"/>
      <c r="DM447" s="81"/>
      <c r="DN447" s="81"/>
      <c r="DO447" s="81"/>
      <c r="DP447" s="81"/>
      <c r="DQ447" s="81"/>
      <c r="DR447" s="81"/>
      <c r="DS447" s="81"/>
      <c r="DT447" s="81"/>
      <c r="DU447" s="81"/>
      <c r="DV447" s="81"/>
      <c r="DW447" s="121"/>
    </row>
    <row r="448" spans="1:127" x14ac:dyDescent="0.25">
      <c r="A448" s="2">
        <f>COUNTIF($D$2:D448,'Reporte de Nomina'!$E$2)</f>
        <v>0</v>
      </c>
      <c r="B448" s="125">
        <f>Lista!A447</f>
        <v>0</v>
      </c>
      <c r="C448" s="125">
        <f>Lista!B447</f>
        <v>0</v>
      </c>
      <c r="D448" s="125">
        <f>Lista!C447</f>
        <v>0</v>
      </c>
      <c r="E448" s="125">
        <f>Lista!D447</f>
        <v>0</v>
      </c>
      <c r="F448" s="125">
        <f>Lista!E447</f>
        <v>0</v>
      </c>
      <c r="G448" s="125">
        <f>Lista!F447</f>
        <v>0</v>
      </c>
      <c r="H448" s="125">
        <f>Lista!G447</f>
        <v>0</v>
      </c>
      <c r="I448" s="125">
        <f>Lista!H447</f>
        <v>0</v>
      </c>
      <c r="J448" s="125">
        <f>Lista!I447</f>
        <v>0</v>
      </c>
      <c r="K448" s="125">
        <f>Lista!J447</f>
        <v>0</v>
      </c>
      <c r="L448" s="125">
        <f>Lista!K447</f>
        <v>0</v>
      </c>
      <c r="M448" s="125">
        <f>Lista!L447</f>
        <v>0</v>
      </c>
      <c r="N448" s="125">
        <f>Lista!M447</f>
        <v>0</v>
      </c>
      <c r="O448" s="125">
        <f>Lista!N447</f>
        <v>0</v>
      </c>
      <c r="P448" s="125">
        <f>Lista!O447</f>
        <v>0</v>
      </c>
      <c r="Q448" s="125">
        <f>Lista!P447</f>
        <v>0</v>
      </c>
      <c r="R448" s="125">
        <f>Lista!Q447</f>
        <v>0</v>
      </c>
      <c r="S448" s="125">
        <f>Lista!R447</f>
        <v>0</v>
      </c>
      <c r="T448" s="81"/>
      <c r="U448" s="81"/>
      <c r="V448" s="81"/>
      <c r="W448" s="81"/>
      <c r="X448" s="81"/>
      <c r="Y448" s="81"/>
      <c r="Z448" s="81"/>
      <c r="AA448" s="81"/>
      <c r="AB448" s="81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  <c r="BS448" s="81"/>
      <c r="BT448" s="81"/>
      <c r="BU448" s="81"/>
      <c r="BV448" s="81"/>
      <c r="BW448" s="81"/>
      <c r="BX448" s="81"/>
      <c r="BY448" s="81"/>
      <c r="BZ448" s="81"/>
      <c r="CA448" s="81"/>
      <c r="CB448" s="81"/>
      <c r="CC448" s="81"/>
      <c r="CD448" s="81"/>
      <c r="CE448" s="81"/>
      <c r="CF448" s="81"/>
      <c r="CG448" s="81"/>
      <c r="CH448" s="81"/>
      <c r="CI448" s="81"/>
      <c r="CJ448" s="81"/>
      <c r="CK448" s="81"/>
      <c r="CL448" s="81"/>
      <c r="CM448" s="81"/>
      <c r="CN448" s="81"/>
      <c r="CO448" s="81"/>
      <c r="CP448" s="81"/>
      <c r="CQ448" s="81"/>
      <c r="CR448" s="81"/>
      <c r="CS448" s="81"/>
      <c r="CT448" s="81"/>
      <c r="CU448" s="81"/>
      <c r="CV448" s="81"/>
      <c r="CW448" s="81"/>
      <c r="CX448" s="81"/>
      <c r="CY448" s="81"/>
      <c r="CZ448" s="81"/>
      <c r="DA448" s="81"/>
      <c r="DB448" s="81"/>
      <c r="DC448" s="81"/>
      <c r="DD448" s="81"/>
      <c r="DE448" s="81"/>
      <c r="DF448" s="81"/>
      <c r="DG448" s="81"/>
      <c r="DH448" s="81"/>
      <c r="DI448" s="81"/>
      <c r="DJ448" s="81"/>
      <c r="DK448" s="81"/>
      <c r="DL448" s="81"/>
      <c r="DM448" s="81"/>
      <c r="DN448" s="81"/>
      <c r="DO448" s="81"/>
      <c r="DP448" s="81"/>
      <c r="DQ448" s="81"/>
      <c r="DR448" s="81"/>
      <c r="DS448" s="81"/>
      <c r="DT448" s="81"/>
      <c r="DU448" s="81"/>
      <c r="DV448" s="81"/>
      <c r="DW448" s="121"/>
    </row>
    <row r="449" spans="1:127" x14ac:dyDescent="0.25">
      <c r="A449" s="2">
        <f>COUNTIF($D$2:D449,'Reporte de Nomina'!$E$2)</f>
        <v>0</v>
      </c>
      <c r="B449" s="125">
        <f>Lista!A448</f>
        <v>0</v>
      </c>
      <c r="C449" s="125">
        <f>Lista!B448</f>
        <v>0</v>
      </c>
      <c r="D449" s="125">
        <f>Lista!C448</f>
        <v>0</v>
      </c>
      <c r="E449" s="125">
        <f>Lista!D448</f>
        <v>0</v>
      </c>
      <c r="F449" s="125">
        <f>Lista!E448</f>
        <v>0</v>
      </c>
      <c r="G449" s="125">
        <f>Lista!F448</f>
        <v>0</v>
      </c>
      <c r="H449" s="125">
        <f>Lista!G448</f>
        <v>0</v>
      </c>
      <c r="I449" s="125">
        <f>Lista!H448</f>
        <v>0</v>
      </c>
      <c r="J449" s="125">
        <f>Lista!I448</f>
        <v>0</v>
      </c>
      <c r="K449" s="125">
        <f>Lista!J448</f>
        <v>0</v>
      </c>
      <c r="L449" s="125">
        <f>Lista!K448</f>
        <v>0</v>
      </c>
      <c r="M449" s="125">
        <f>Lista!L448</f>
        <v>0</v>
      </c>
      <c r="N449" s="125">
        <f>Lista!M448</f>
        <v>0</v>
      </c>
      <c r="O449" s="125">
        <f>Lista!N448</f>
        <v>0</v>
      </c>
      <c r="P449" s="125">
        <f>Lista!O448</f>
        <v>0</v>
      </c>
      <c r="Q449" s="125">
        <f>Lista!P448</f>
        <v>0</v>
      </c>
      <c r="R449" s="125">
        <f>Lista!Q448</f>
        <v>0</v>
      </c>
      <c r="S449" s="125">
        <f>Lista!R448</f>
        <v>0</v>
      </c>
      <c r="T449" s="81"/>
      <c r="U449" s="81"/>
      <c r="V449" s="81"/>
      <c r="W449" s="81"/>
      <c r="X449" s="81"/>
      <c r="Y449" s="81"/>
      <c r="Z449" s="81"/>
      <c r="AA449" s="81"/>
      <c r="AB449" s="81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  <c r="BS449" s="81"/>
      <c r="BT449" s="81"/>
      <c r="BU449" s="81"/>
      <c r="BV449" s="81"/>
      <c r="BW449" s="81"/>
      <c r="BX449" s="81"/>
      <c r="BY449" s="81"/>
      <c r="BZ449" s="81"/>
      <c r="CA449" s="81"/>
      <c r="CB449" s="81"/>
      <c r="CC449" s="81"/>
      <c r="CD449" s="81"/>
      <c r="CE449" s="81"/>
      <c r="CF449" s="81"/>
      <c r="CG449" s="81"/>
      <c r="CH449" s="81"/>
      <c r="CI449" s="81"/>
      <c r="CJ449" s="81"/>
      <c r="CK449" s="81"/>
      <c r="CL449" s="81"/>
      <c r="CM449" s="81"/>
      <c r="CN449" s="81"/>
      <c r="CO449" s="81"/>
      <c r="CP449" s="81"/>
      <c r="CQ449" s="81"/>
      <c r="CR449" s="81"/>
      <c r="CS449" s="81"/>
      <c r="CT449" s="81"/>
      <c r="CU449" s="81"/>
      <c r="CV449" s="81"/>
      <c r="CW449" s="81"/>
      <c r="CX449" s="81"/>
      <c r="CY449" s="81"/>
      <c r="CZ449" s="81"/>
      <c r="DA449" s="81"/>
      <c r="DB449" s="81"/>
      <c r="DC449" s="81"/>
      <c r="DD449" s="81"/>
      <c r="DE449" s="81"/>
      <c r="DF449" s="81"/>
      <c r="DG449" s="81"/>
      <c r="DH449" s="81"/>
      <c r="DI449" s="81"/>
      <c r="DJ449" s="81"/>
      <c r="DK449" s="81"/>
      <c r="DL449" s="81"/>
      <c r="DM449" s="81"/>
      <c r="DN449" s="81"/>
      <c r="DO449" s="81"/>
      <c r="DP449" s="81"/>
      <c r="DQ449" s="81"/>
      <c r="DR449" s="81"/>
      <c r="DS449" s="81"/>
      <c r="DT449" s="81"/>
      <c r="DU449" s="81"/>
      <c r="DV449" s="81"/>
      <c r="DW449" s="121"/>
    </row>
    <row r="450" spans="1:127" x14ac:dyDescent="0.25">
      <c r="A450" s="2">
        <f>COUNTIF($D$2:D450,'Reporte de Nomina'!$E$2)</f>
        <v>0</v>
      </c>
      <c r="B450" s="125">
        <f>Lista!A449</f>
        <v>0</v>
      </c>
      <c r="C450" s="125">
        <f>Lista!B449</f>
        <v>0</v>
      </c>
      <c r="D450" s="125">
        <f>Lista!C449</f>
        <v>0</v>
      </c>
      <c r="E450" s="125">
        <f>Lista!D449</f>
        <v>0</v>
      </c>
      <c r="F450" s="125">
        <f>Lista!E449</f>
        <v>0</v>
      </c>
      <c r="G450" s="125">
        <f>Lista!F449</f>
        <v>0</v>
      </c>
      <c r="H450" s="125">
        <f>Lista!G449</f>
        <v>0</v>
      </c>
      <c r="I450" s="125">
        <f>Lista!H449</f>
        <v>0</v>
      </c>
      <c r="J450" s="125">
        <f>Lista!I449</f>
        <v>0</v>
      </c>
      <c r="K450" s="125">
        <f>Lista!J449</f>
        <v>0</v>
      </c>
      <c r="L450" s="125">
        <f>Lista!K449</f>
        <v>0</v>
      </c>
      <c r="M450" s="125">
        <f>Lista!L449</f>
        <v>0</v>
      </c>
      <c r="N450" s="125">
        <f>Lista!M449</f>
        <v>0</v>
      </c>
      <c r="O450" s="125">
        <f>Lista!N449</f>
        <v>0</v>
      </c>
      <c r="P450" s="125">
        <f>Lista!O449</f>
        <v>0</v>
      </c>
      <c r="Q450" s="125">
        <f>Lista!P449</f>
        <v>0</v>
      </c>
      <c r="R450" s="125">
        <f>Lista!Q449</f>
        <v>0</v>
      </c>
      <c r="S450" s="125">
        <f>Lista!R449</f>
        <v>0</v>
      </c>
      <c r="T450" s="81"/>
      <c r="U450" s="81"/>
      <c r="V450" s="81"/>
      <c r="W450" s="81"/>
      <c r="X450" s="81"/>
      <c r="Y450" s="81"/>
      <c r="Z450" s="81"/>
      <c r="AA450" s="81"/>
      <c r="AB450" s="81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  <c r="BS450" s="81"/>
      <c r="BT450" s="81"/>
      <c r="BU450" s="81"/>
      <c r="BV450" s="81"/>
      <c r="BW450" s="81"/>
      <c r="BX450" s="81"/>
      <c r="BY450" s="81"/>
      <c r="BZ450" s="81"/>
      <c r="CA450" s="81"/>
      <c r="CB450" s="81"/>
      <c r="CC450" s="81"/>
      <c r="CD450" s="81"/>
      <c r="CE450" s="81"/>
      <c r="CF450" s="81"/>
      <c r="CG450" s="81"/>
      <c r="CH450" s="81"/>
      <c r="CI450" s="81"/>
      <c r="CJ450" s="81"/>
      <c r="CK450" s="81"/>
      <c r="CL450" s="81"/>
      <c r="CM450" s="81"/>
      <c r="CN450" s="81"/>
      <c r="CO450" s="81"/>
      <c r="CP450" s="81"/>
      <c r="CQ450" s="81"/>
      <c r="CR450" s="81"/>
      <c r="CS450" s="81"/>
      <c r="CT450" s="81"/>
      <c r="CU450" s="81"/>
      <c r="CV450" s="81"/>
      <c r="CW450" s="81"/>
      <c r="CX450" s="81"/>
      <c r="CY450" s="81"/>
      <c r="CZ450" s="81"/>
      <c r="DA450" s="81"/>
      <c r="DB450" s="81"/>
      <c r="DC450" s="81"/>
      <c r="DD450" s="81"/>
      <c r="DE450" s="81"/>
      <c r="DF450" s="81"/>
      <c r="DG450" s="81"/>
      <c r="DH450" s="81"/>
      <c r="DI450" s="81"/>
      <c r="DJ450" s="81"/>
      <c r="DK450" s="81"/>
      <c r="DL450" s="81"/>
      <c r="DM450" s="81"/>
      <c r="DN450" s="81"/>
      <c r="DO450" s="81"/>
      <c r="DP450" s="81"/>
      <c r="DQ450" s="81"/>
      <c r="DR450" s="81"/>
      <c r="DS450" s="81"/>
      <c r="DT450" s="81"/>
      <c r="DU450" s="81"/>
      <c r="DV450" s="81"/>
      <c r="DW450" s="121"/>
    </row>
    <row r="451" spans="1:127" x14ac:dyDescent="0.25">
      <c r="A451" s="2">
        <f>COUNTIF($D$2:D451,'Reporte de Nomina'!$E$2)</f>
        <v>0</v>
      </c>
      <c r="B451" s="125">
        <f>Lista!A450</f>
        <v>0</v>
      </c>
      <c r="C451" s="125">
        <f>Lista!B450</f>
        <v>0</v>
      </c>
      <c r="D451" s="125">
        <f>Lista!C450</f>
        <v>0</v>
      </c>
      <c r="E451" s="125">
        <f>Lista!D450</f>
        <v>0</v>
      </c>
      <c r="F451" s="125">
        <f>Lista!E450</f>
        <v>0</v>
      </c>
      <c r="G451" s="125">
        <f>Lista!F450</f>
        <v>0</v>
      </c>
      <c r="H451" s="125">
        <f>Lista!G450</f>
        <v>0</v>
      </c>
      <c r="I451" s="125">
        <f>Lista!H450</f>
        <v>0</v>
      </c>
      <c r="J451" s="125">
        <f>Lista!I450</f>
        <v>0</v>
      </c>
      <c r="K451" s="125">
        <f>Lista!J450</f>
        <v>0</v>
      </c>
      <c r="L451" s="125">
        <f>Lista!K450</f>
        <v>0</v>
      </c>
      <c r="M451" s="125">
        <f>Lista!L450</f>
        <v>0</v>
      </c>
      <c r="N451" s="125">
        <f>Lista!M450</f>
        <v>0</v>
      </c>
      <c r="O451" s="125">
        <f>Lista!N450</f>
        <v>0</v>
      </c>
      <c r="P451" s="125">
        <f>Lista!O450</f>
        <v>0</v>
      </c>
      <c r="Q451" s="125">
        <f>Lista!P450</f>
        <v>0</v>
      </c>
      <c r="R451" s="125">
        <f>Lista!Q450</f>
        <v>0</v>
      </c>
      <c r="S451" s="125">
        <f>Lista!R450</f>
        <v>0</v>
      </c>
      <c r="T451" s="81"/>
      <c r="U451" s="81"/>
      <c r="V451" s="81"/>
      <c r="W451" s="81"/>
      <c r="X451" s="81"/>
      <c r="Y451" s="81"/>
      <c r="Z451" s="81"/>
      <c r="AA451" s="81"/>
      <c r="AB451" s="81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  <c r="BS451" s="81"/>
      <c r="BT451" s="81"/>
      <c r="BU451" s="81"/>
      <c r="BV451" s="81"/>
      <c r="BW451" s="81"/>
      <c r="BX451" s="81"/>
      <c r="BY451" s="81"/>
      <c r="BZ451" s="81"/>
      <c r="CA451" s="81"/>
      <c r="CB451" s="81"/>
      <c r="CC451" s="81"/>
      <c r="CD451" s="81"/>
      <c r="CE451" s="81"/>
      <c r="CF451" s="81"/>
      <c r="CG451" s="81"/>
      <c r="CH451" s="81"/>
      <c r="CI451" s="81"/>
      <c r="CJ451" s="81"/>
      <c r="CK451" s="81"/>
      <c r="CL451" s="81"/>
      <c r="CM451" s="81"/>
      <c r="CN451" s="81"/>
      <c r="CO451" s="81"/>
      <c r="CP451" s="81"/>
      <c r="CQ451" s="81"/>
      <c r="CR451" s="81"/>
      <c r="CS451" s="81"/>
      <c r="CT451" s="81"/>
      <c r="CU451" s="81"/>
      <c r="CV451" s="81"/>
      <c r="CW451" s="81"/>
      <c r="CX451" s="81"/>
      <c r="CY451" s="81"/>
      <c r="CZ451" s="81"/>
      <c r="DA451" s="81"/>
      <c r="DB451" s="81"/>
      <c r="DC451" s="81"/>
      <c r="DD451" s="81"/>
      <c r="DE451" s="81"/>
      <c r="DF451" s="81"/>
      <c r="DG451" s="81"/>
      <c r="DH451" s="81"/>
      <c r="DI451" s="81"/>
      <c r="DJ451" s="81"/>
      <c r="DK451" s="81"/>
      <c r="DL451" s="81"/>
      <c r="DM451" s="81"/>
      <c r="DN451" s="81"/>
      <c r="DO451" s="81"/>
      <c r="DP451" s="81"/>
      <c r="DQ451" s="81"/>
      <c r="DR451" s="81"/>
      <c r="DS451" s="81"/>
      <c r="DT451" s="81"/>
      <c r="DU451" s="81"/>
      <c r="DV451" s="81"/>
      <c r="DW451" s="121"/>
    </row>
    <row r="452" spans="1:127" x14ac:dyDescent="0.25">
      <c r="A452" s="2">
        <f>COUNTIF($D$2:D452,'Reporte de Nomina'!$E$2)</f>
        <v>0</v>
      </c>
      <c r="B452" s="125">
        <f>Lista!A451</f>
        <v>0</v>
      </c>
      <c r="C452" s="125">
        <f>Lista!B451</f>
        <v>0</v>
      </c>
      <c r="D452" s="125">
        <f>Lista!C451</f>
        <v>0</v>
      </c>
      <c r="E452" s="125">
        <f>Lista!D451</f>
        <v>0</v>
      </c>
      <c r="F452" s="125">
        <f>Lista!E451</f>
        <v>0</v>
      </c>
      <c r="G452" s="125">
        <f>Lista!F451</f>
        <v>0</v>
      </c>
      <c r="H452" s="125">
        <f>Lista!G451</f>
        <v>0</v>
      </c>
      <c r="I452" s="125">
        <f>Lista!H451</f>
        <v>0</v>
      </c>
      <c r="J452" s="125">
        <f>Lista!I451</f>
        <v>0</v>
      </c>
      <c r="K452" s="125">
        <f>Lista!J451</f>
        <v>0</v>
      </c>
      <c r="L452" s="125">
        <f>Lista!K451</f>
        <v>0</v>
      </c>
      <c r="M452" s="125">
        <f>Lista!L451</f>
        <v>0</v>
      </c>
      <c r="N452" s="125">
        <f>Lista!M451</f>
        <v>0</v>
      </c>
      <c r="O452" s="125">
        <f>Lista!N451</f>
        <v>0</v>
      </c>
      <c r="P452" s="125">
        <f>Lista!O451</f>
        <v>0</v>
      </c>
      <c r="Q452" s="125">
        <f>Lista!P451</f>
        <v>0</v>
      </c>
      <c r="R452" s="125">
        <f>Lista!Q451</f>
        <v>0</v>
      </c>
      <c r="S452" s="125">
        <f>Lista!R451</f>
        <v>0</v>
      </c>
      <c r="T452" s="81"/>
      <c r="U452" s="81"/>
      <c r="V452" s="81"/>
      <c r="W452" s="81"/>
      <c r="X452" s="81"/>
      <c r="Y452" s="81"/>
      <c r="Z452" s="81"/>
      <c r="AA452" s="81"/>
      <c r="AB452" s="81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  <c r="BS452" s="81"/>
      <c r="BT452" s="81"/>
      <c r="BU452" s="81"/>
      <c r="BV452" s="81"/>
      <c r="BW452" s="81"/>
      <c r="BX452" s="81"/>
      <c r="BY452" s="81"/>
      <c r="BZ452" s="81"/>
      <c r="CA452" s="81"/>
      <c r="CB452" s="81"/>
      <c r="CC452" s="81"/>
      <c r="CD452" s="81"/>
      <c r="CE452" s="81"/>
      <c r="CF452" s="81"/>
      <c r="CG452" s="81"/>
      <c r="CH452" s="81"/>
      <c r="CI452" s="81"/>
      <c r="CJ452" s="81"/>
      <c r="CK452" s="81"/>
      <c r="CL452" s="81"/>
      <c r="CM452" s="81"/>
      <c r="CN452" s="81"/>
      <c r="CO452" s="81"/>
      <c r="CP452" s="81"/>
      <c r="CQ452" s="81"/>
      <c r="CR452" s="81"/>
      <c r="CS452" s="81"/>
      <c r="CT452" s="81"/>
      <c r="CU452" s="81"/>
      <c r="CV452" s="81"/>
      <c r="CW452" s="81"/>
      <c r="CX452" s="81"/>
      <c r="CY452" s="81"/>
      <c r="CZ452" s="81"/>
      <c r="DA452" s="81"/>
      <c r="DB452" s="81"/>
      <c r="DC452" s="81"/>
      <c r="DD452" s="81"/>
      <c r="DE452" s="81"/>
      <c r="DF452" s="81"/>
      <c r="DG452" s="81"/>
      <c r="DH452" s="81"/>
      <c r="DI452" s="81"/>
      <c r="DJ452" s="81"/>
      <c r="DK452" s="81"/>
      <c r="DL452" s="81"/>
      <c r="DM452" s="81"/>
      <c r="DN452" s="81"/>
      <c r="DO452" s="81"/>
      <c r="DP452" s="81"/>
      <c r="DQ452" s="81"/>
      <c r="DR452" s="81"/>
      <c r="DS452" s="81"/>
      <c r="DT452" s="81"/>
      <c r="DU452" s="81"/>
      <c r="DV452" s="81"/>
      <c r="DW452" s="121"/>
    </row>
    <row r="453" spans="1:127" x14ac:dyDescent="0.25">
      <c r="A453" s="2">
        <f>COUNTIF($D$2:D453,'Reporte de Nomina'!$E$2)</f>
        <v>0</v>
      </c>
      <c r="B453" s="125">
        <f>Lista!A452</f>
        <v>0</v>
      </c>
      <c r="C453" s="125">
        <f>Lista!B452</f>
        <v>0</v>
      </c>
      <c r="D453" s="125">
        <f>Lista!C452</f>
        <v>0</v>
      </c>
      <c r="E453" s="125">
        <f>Lista!D452</f>
        <v>0</v>
      </c>
      <c r="F453" s="125">
        <f>Lista!E452</f>
        <v>0</v>
      </c>
      <c r="G453" s="125">
        <f>Lista!F452</f>
        <v>0</v>
      </c>
      <c r="H453" s="125">
        <f>Lista!G452</f>
        <v>0</v>
      </c>
      <c r="I453" s="125">
        <f>Lista!H452</f>
        <v>0</v>
      </c>
      <c r="J453" s="125">
        <f>Lista!I452</f>
        <v>0</v>
      </c>
      <c r="K453" s="125">
        <f>Lista!J452</f>
        <v>0</v>
      </c>
      <c r="L453" s="125">
        <f>Lista!K452</f>
        <v>0</v>
      </c>
      <c r="M453" s="125">
        <f>Lista!L452</f>
        <v>0</v>
      </c>
      <c r="N453" s="125">
        <f>Lista!M452</f>
        <v>0</v>
      </c>
      <c r="O453" s="125">
        <f>Lista!N452</f>
        <v>0</v>
      </c>
      <c r="P453" s="125">
        <f>Lista!O452</f>
        <v>0</v>
      </c>
      <c r="Q453" s="125">
        <f>Lista!P452</f>
        <v>0</v>
      </c>
      <c r="R453" s="125">
        <f>Lista!Q452</f>
        <v>0</v>
      </c>
      <c r="S453" s="125">
        <f>Lista!R452</f>
        <v>0</v>
      </c>
      <c r="T453" s="81"/>
      <c r="U453" s="81"/>
      <c r="V453" s="81"/>
      <c r="W453" s="81"/>
      <c r="X453" s="81"/>
      <c r="Y453" s="81"/>
      <c r="Z453" s="81"/>
      <c r="AA453" s="81"/>
      <c r="AB453" s="81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  <c r="BS453" s="81"/>
      <c r="BT453" s="81"/>
      <c r="BU453" s="81"/>
      <c r="BV453" s="81"/>
      <c r="BW453" s="81"/>
      <c r="BX453" s="81"/>
      <c r="BY453" s="81"/>
      <c r="BZ453" s="81"/>
      <c r="CA453" s="81"/>
      <c r="CB453" s="81"/>
      <c r="CC453" s="81"/>
      <c r="CD453" s="81"/>
      <c r="CE453" s="81"/>
      <c r="CF453" s="81"/>
      <c r="CG453" s="81"/>
      <c r="CH453" s="81"/>
      <c r="CI453" s="81"/>
      <c r="CJ453" s="81"/>
      <c r="CK453" s="81"/>
      <c r="CL453" s="81"/>
      <c r="CM453" s="81"/>
      <c r="CN453" s="81"/>
      <c r="CO453" s="81"/>
      <c r="CP453" s="81"/>
      <c r="CQ453" s="81"/>
      <c r="CR453" s="81"/>
      <c r="CS453" s="81"/>
      <c r="CT453" s="81"/>
      <c r="CU453" s="81"/>
      <c r="CV453" s="81"/>
      <c r="CW453" s="81"/>
      <c r="CX453" s="81"/>
      <c r="CY453" s="81"/>
      <c r="CZ453" s="81"/>
      <c r="DA453" s="81"/>
      <c r="DB453" s="81"/>
      <c r="DC453" s="81"/>
      <c r="DD453" s="81"/>
      <c r="DE453" s="81"/>
      <c r="DF453" s="81"/>
      <c r="DG453" s="81"/>
      <c r="DH453" s="81"/>
      <c r="DI453" s="81"/>
      <c r="DJ453" s="81"/>
      <c r="DK453" s="81"/>
      <c r="DL453" s="81"/>
      <c r="DM453" s="81"/>
      <c r="DN453" s="81"/>
      <c r="DO453" s="81"/>
      <c r="DP453" s="81"/>
      <c r="DQ453" s="81"/>
      <c r="DR453" s="81"/>
      <c r="DS453" s="81"/>
      <c r="DT453" s="81"/>
      <c r="DU453" s="81"/>
      <c r="DV453" s="81"/>
      <c r="DW453" s="121"/>
    </row>
    <row r="454" spans="1:127" x14ac:dyDescent="0.25">
      <c r="A454" s="2">
        <f>COUNTIF($D$2:D454,'Reporte de Nomina'!$E$2)</f>
        <v>0</v>
      </c>
      <c r="B454" s="125">
        <f>Lista!A453</f>
        <v>0</v>
      </c>
      <c r="C454" s="125">
        <f>Lista!B453</f>
        <v>0</v>
      </c>
      <c r="D454" s="125">
        <f>Lista!C453</f>
        <v>0</v>
      </c>
      <c r="E454" s="125">
        <f>Lista!D453</f>
        <v>0</v>
      </c>
      <c r="F454" s="125">
        <f>Lista!E453</f>
        <v>0</v>
      </c>
      <c r="G454" s="125">
        <f>Lista!F453</f>
        <v>0</v>
      </c>
      <c r="H454" s="125">
        <f>Lista!G453</f>
        <v>0</v>
      </c>
      <c r="I454" s="125">
        <f>Lista!H453</f>
        <v>0</v>
      </c>
      <c r="J454" s="125">
        <f>Lista!I453</f>
        <v>0</v>
      </c>
      <c r="K454" s="125">
        <f>Lista!J453</f>
        <v>0</v>
      </c>
      <c r="L454" s="125">
        <f>Lista!K453</f>
        <v>0</v>
      </c>
      <c r="M454" s="125">
        <f>Lista!L453</f>
        <v>0</v>
      </c>
      <c r="N454" s="125">
        <f>Lista!M453</f>
        <v>0</v>
      </c>
      <c r="O454" s="125">
        <f>Lista!N453</f>
        <v>0</v>
      </c>
      <c r="P454" s="125">
        <f>Lista!O453</f>
        <v>0</v>
      </c>
      <c r="Q454" s="125">
        <f>Lista!P453</f>
        <v>0</v>
      </c>
      <c r="R454" s="125">
        <f>Lista!Q453</f>
        <v>0</v>
      </c>
      <c r="S454" s="125">
        <f>Lista!R453</f>
        <v>0</v>
      </c>
      <c r="T454" s="81"/>
      <c r="U454" s="81"/>
      <c r="V454" s="81"/>
      <c r="W454" s="81"/>
      <c r="X454" s="81"/>
      <c r="Y454" s="81"/>
      <c r="Z454" s="81"/>
      <c r="AA454" s="81"/>
      <c r="AB454" s="81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  <c r="BS454" s="81"/>
      <c r="BT454" s="81"/>
      <c r="BU454" s="81"/>
      <c r="BV454" s="81"/>
      <c r="BW454" s="81"/>
      <c r="BX454" s="81"/>
      <c r="BY454" s="81"/>
      <c r="BZ454" s="81"/>
      <c r="CA454" s="81"/>
      <c r="CB454" s="81"/>
      <c r="CC454" s="81"/>
      <c r="CD454" s="81"/>
      <c r="CE454" s="81"/>
      <c r="CF454" s="81"/>
      <c r="CG454" s="81"/>
      <c r="CH454" s="81"/>
      <c r="CI454" s="81"/>
      <c r="CJ454" s="81"/>
      <c r="CK454" s="81"/>
      <c r="CL454" s="81"/>
      <c r="CM454" s="81"/>
      <c r="CN454" s="81"/>
      <c r="CO454" s="81"/>
      <c r="CP454" s="81"/>
      <c r="CQ454" s="81"/>
      <c r="CR454" s="81"/>
      <c r="CS454" s="81"/>
      <c r="CT454" s="81"/>
      <c r="CU454" s="81"/>
      <c r="CV454" s="81"/>
      <c r="CW454" s="81"/>
      <c r="CX454" s="81"/>
      <c r="CY454" s="81"/>
      <c r="CZ454" s="81"/>
      <c r="DA454" s="81"/>
      <c r="DB454" s="81"/>
      <c r="DC454" s="81"/>
      <c r="DD454" s="81"/>
      <c r="DE454" s="81"/>
      <c r="DF454" s="81"/>
      <c r="DG454" s="81"/>
      <c r="DH454" s="81"/>
      <c r="DI454" s="81"/>
      <c r="DJ454" s="81"/>
      <c r="DK454" s="81"/>
      <c r="DL454" s="81"/>
      <c r="DM454" s="81"/>
      <c r="DN454" s="81"/>
      <c r="DO454" s="81"/>
      <c r="DP454" s="81"/>
      <c r="DQ454" s="81"/>
      <c r="DR454" s="81"/>
      <c r="DS454" s="81"/>
      <c r="DT454" s="81"/>
      <c r="DU454" s="81"/>
      <c r="DV454" s="81"/>
      <c r="DW454" s="121"/>
    </row>
    <row r="455" spans="1:127" x14ac:dyDescent="0.25">
      <c r="A455" s="2">
        <f>COUNTIF($D$2:D455,'Reporte de Nomina'!$E$2)</f>
        <v>0</v>
      </c>
      <c r="B455" s="125">
        <f>Lista!A454</f>
        <v>0</v>
      </c>
      <c r="C455" s="125">
        <f>Lista!B454</f>
        <v>0</v>
      </c>
      <c r="D455" s="125">
        <f>Lista!C454</f>
        <v>0</v>
      </c>
      <c r="E455" s="125">
        <f>Lista!D454</f>
        <v>0</v>
      </c>
      <c r="F455" s="125">
        <f>Lista!E454</f>
        <v>0</v>
      </c>
      <c r="G455" s="125">
        <f>Lista!F454</f>
        <v>0</v>
      </c>
      <c r="H455" s="125">
        <f>Lista!G454</f>
        <v>0</v>
      </c>
      <c r="I455" s="125">
        <f>Lista!H454</f>
        <v>0</v>
      </c>
      <c r="J455" s="125">
        <f>Lista!I454</f>
        <v>0</v>
      </c>
      <c r="K455" s="125">
        <f>Lista!J454</f>
        <v>0</v>
      </c>
      <c r="L455" s="125">
        <f>Lista!K454</f>
        <v>0</v>
      </c>
      <c r="M455" s="125">
        <f>Lista!L454</f>
        <v>0</v>
      </c>
      <c r="N455" s="125">
        <f>Lista!M454</f>
        <v>0</v>
      </c>
      <c r="O455" s="125">
        <f>Lista!N454</f>
        <v>0</v>
      </c>
      <c r="P455" s="125">
        <f>Lista!O454</f>
        <v>0</v>
      </c>
      <c r="Q455" s="125">
        <f>Lista!P454</f>
        <v>0</v>
      </c>
      <c r="R455" s="125">
        <f>Lista!Q454</f>
        <v>0</v>
      </c>
      <c r="S455" s="125">
        <f>Lista!R454</f>
        <v>0</v>
      </c>
      <c r="T455" s="81"/>
      <c r="U455" s="81"/>
      <c r="V455" s="81"/>
      <c r="W455" s="81"/>
      <c r="X455" s="81"/>
      <c r="Y455" s="81"/>
      <c r="Z455" s="81"/>
      <c r="AA455" s="81"/>
      <c r="AB455" s="81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  <c r="BS455" s="81"/>
      <c r="BT455" s="81"/>
      <c r="BU455" s="81"/>
      <c r="BV455" s="81"/>
      <c r="BW455" s="81"/>
      <c r="BX455" s="81"/>
      <c r="BY455" s="81"/>
      <c r="BZ455" s="81"/>
      <c r="CA455" s="81"/>
      <c r="CB455" s="81"/>
      <c r="CC455" s="81"/>
      <c r="CD455" s="81"/>
      <c r="CE455" s="81"/>
      <c r="CF455" s="81"/>
      <c r="CG455" s="81"/>
      <c r="CH455" s="81"/>
      <c r="CI455" s="81"/>
      <c r="CJ455" s="81"/>
      <c r="CK455" s="81"/>
      <c r="CL455" s="81"/>
      <c r="CM455" s="81"/>
      <c r="CN455" s="81"/>
      <c r="CO455" s="81"/>
      <c r="CP455" s="81"/>
      <c r="CQ455" s="81"/>
      <c r="CR455" s="81"/>
      <c r="CS455" s="81"/>
      <c r="CT455" s="81"/>
      <c r="CU455" s="81"/>
      <c r="CV455" s="81"/>
      <c r="CW455" s="81"/>
      <c r="CX455" s="81"/>
      <c r="CY455" s="81"/>
      <c r="CZ455" s="81"/>
      <c r="DA455" s="81"/>
      <c r="DB455" s="81"/>
      <c r="DC455" s="81"/>
      <c r="DD455" s="81"/>
      <c r="DE455" s="81"/>
      <c r="DF455" s="81"/>
      <c r="DG455" s="81"/>
      <c r="DH455" s="81"/>
      <c r="DI455" s="81"/>
      <c r="DJ455" s="81"/>
      <c r="DK455" s="81"/>
      <c r="DL455" s="81"/>
      <c r="DM455" s="81"/>
      <c r="DN455" s="81"/>
      <c r="DO455" s="81"/>
      <c r="DP455" s="81"/>
      <c r="DQ455" s="81"/>
      <c r="DR455" s="81"/>
      <c r="DS455" s="81"/>
      <c r="DT455" s="81"/>
      <c r="DU455" s="81"/>
      <c r="DV455" s="81"/>
      <c r="DW455" s="121"/>
    </row>
    <row r="456" spans="1:127" x14ac:dyDescent="0.25">
      <c r="A456" s="2">
        <f>COUNTIF($D$2:D456,'Reporte de Nomina'!$E$2)</f>
        <v>0</v>
      </c>
      <c r="B456" s="125">
        <f>Lista!A455</f>
        <v>0</v>
      </c>
      <c r="C456" s="125">
        <f>Lista!B455</f>
        <v>0</v>
      </c>
      <c r="D456" s="125">
        <f>Lista!C455</f>
        <v>0</v>
      </c>
      <c r="E456" s="125">
        <f>Lista!D455</f>
        <v>0</v>
      </c>
      <c r="F456" s="125">
        <f>Lista!E455</f>
        <v>0</v>
      </c>
      <c r="G456" s="125">
        <f>Lista!F455</f>
        <v>0</v>
      </c>
      <c r="H456" s="125">
        <f>Lista!G455</f>
        <v>0</v>
      </c>
      <c r="I456" s="125">
        <f>Lista!H455</f>
        <v>0</v>
      </c>
      <c r="J456" s="125">
        <f>Lista!I455</f>
        <v>0</v>
      </c>
      <c r="K456" s="125">
        <f>Lista!J455</f>
        <v>0</v>
      </c>
      <c r="L456" s="125">
        <f>Lista!K455</f>
        <v>0</v>
      </c>
      <c r="M456" s="125">
        <f>Lista!L455</f>
        <v>0</v>
      </c>
      <c r="N456" s="125">
        <f>Lista!M455</f>
        <v>0</v>
      </c>
      <c r="O456" s="125">
        <f>Lista!N455</f>
        <v>0</v>
      </c>
      <c r="P456" s="125">
        <f>Lista!O455</f>
        <v>0</v>
      </c>
      <c r="Q456" s="125">
        <f>Lista!P455</f>
        <v>0</v>
      </c>
      <c r="R456" s="125">
        <f>Lista!Q455</f>
        <v>0</v>
      </c>
      <c r="S456" s="125">
        <f>Lista!R455</f>
        <v>0</v>
      </c>
      <c r="T456" s="81"/>
      <c r="U456" s="81"/>
      <c r="V456" s="81"/>
      <c r="W456" s="81"/>
      <c r="X456" s="81"/>
      <c r="Y456" s="81"/>
      <c r="Z456" s="81"/>
      <c r="AA456" s="81"/>
      <c r="AB456" s="81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  <c r="BS456" s="81"/>
      <c r="BT456" s="81"/>
      <c r="BU456" s="81"/>
      <c r="BV456" s="81"/>
      <c r="BW456" s="81"/>
      <c r="BX456" s="81"/>
      <c r="BY456" s="81"/>
      <c r="BZ456" s="81"/>
      <c r="CA456" s="81"/>
      <c r="CB456" s="81"/>
      <c r="CC456" s="81"/>
      <c r="CD456" s="81"/>
      <c r="CE456" s="81"/>
      <c r="CF456" s="81"/>
      <c r="CG456" s="81"/>
      <c r="CH456" s="81"/>
      <c r="CI456" s="81"/>
      <c r="CJ456" s="81"/>
      <c r="CK456" s="81"/>
      <c r="CL456" s="81"/>
      <c r="CM456" s="81"/>
      <c r="CN456" s="81"/>
      <c r="CO456" s="81"/>
      <c r="CP456" s="81"/>
      <c r="CQ456" s="81"/>
      <c r="CR456" s="81"/>
      <c r="CS456" s="81"/>
      <c r="CT456" s="81"/>
      <c r="CU456" s="81"/>
      <c r="CV456" s="81"/>
      <c r="CW456" s="81"/>
      <c r="CX456" s="81"/>
      <c r="CY456" s="81"/>
      <c r="CZ456" s="81"/>
      <c r="DA456" s="81"/>
      <c r="DB456" s="81"/>
      <c r="DC456" s="81"/>
      <c r="DD456" s="81"/>
      <c r="DE456" s="81"/>
      <c r="DF456" s="81"/>
      <c r="DG456" s="81"/>
      <c r="DH456" s="81"/>
      <c r="DI456" s="81"/>
      <c r="DJ456" s="81"/>
      <c r="DK456" s="81"/>
      <c r="DL456" s="81"/>
      <c r="DM456" s="81"/>
      <c r="DN456" s="81"/>
      <c r="DO456" s="81"/>
      <c r="DP456" s="81"/>
      <c r="DQ456" s="81"/>
      <c r="DR456" s="81"/>
      <c r="DS456" s="81"/>
      <c r="DT456" s="81"/>
      <c r="DU456" s="81"/>
      <c r="DV456" s="81"/>
      <c r="DW456" s="121"/>
    </row>
    <row r="457" spans="1:127" x14ac:dyDescent="0.25">
      <c r="A457" s="2">
        <f>COUNTIF($D$2:D457,'Reporte de Nomina'!$E$2)</f>
        <v>0</v>
      </c>
      <c r="B457" s="125">
        <f>Lista!A456</f>
        <v>0</v>
      </c>
      <c r="C457" s="125">
        <f>Lista!B456</f>
        <v>0</v>
      </c>
      <c r="D457" s="125">
        <f>Lista!C456</f>
        <v>0</v>
      </c>
      <c r="E457" s="125">
        <f>Lista!D456</f>
        <v>0</v>
      </c>
      <c r="F457" s="125">
        <f>Lista!E456</f>
        <v>0</v>
      </c>
      <c r="G457" s="125">
        <f>Lista!F456</f>
        <v>0</v>
      </c>
      <c r="H457" s="125">
        <f>Lista!G456</f>
        <v>0</v>
      </c>
      <c r="I457" s="125">
        <f>Lista!H456</f>
        <v>0</v>
      </c>
      <c r="J457" s="125">
        <f>Lista!I456</f>
        <v>0</v>
      </c>
      <c r="K457" s="125">
        <f>Lista!J456</f>
        <v>0</v>
      </c>
      <c r="L457" s="125">
        <f>Lista!K456</f>
        <v>0</v>
      </c>
      <c r="M457" s="125">
        <f>Lista!L456</f>
        <v>0</v>
      </c>
      <c r="N457" s="125">
        <f>Lista!M456</f>
        <v>0</v>
      </c>
      <c r="O457" s="125">
        <f>Lista!N456</f>
        <v>0</v>
      </c>
      <c r="P457" s="125">
        <f>Lista!O456</f>
        <v>0</v>
      </c>
      <c r="Q457" s="125">
        <f>Lista!P456</f>
        <v>0</v>
      </c>
      <c r="R457" s="125">
        <f>Lista!Q456</f>
        <v>0</v>
      </c>
      <c r="S457" s="125">
        <f>Lista!R456</f>
        <v>0</v>
      </c>
      <c r="T457" s="81"/>
      <c r="U457" s="81"/>
      <c r="V457" s="81"/>
      <c r="W457" s="81"/>
      <c r="X457" s="81"/>
      <c r="Y457" s="81"/>
      <c r="Z457" s="81"/>
      <c r="AA457" s="81"/>
      <c r="AB457" s="81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  <c r="BS457" s="81"/>
      <c r="BT457" s="81"/>
      <c r="BU457" s="81"/>
      <c r="BV457" s="81"/>
      <c r="BW457" s="81"/>
      <c r="BX457" s="81"/>
      <c r="BY457" s="81"/>
      <c r="BZ457" s="81"/>
      <c r="CA457" s="81"/>
      <c r="CB457" s="81"/>
      <c r="CC457" s="81"/>
      <c r="CD457" s="81"/>
      <c r="CE457" s="81"/>
      <c r="CF457" s="81"/>
      <c r="CG457" s="81"/>
      <c r="CH457" s="81"/>
      <c r="CI457" s="81"/>
      <c r="CJ457" s="81"/>
      <c r="CK457" s="81"/>
      <c r="CL457" s="81"/>
      <c r="CM457" s="81"/>
      <c r="CN457" s="81"/>
      <c r="CO457" s="81"/>
      <c r="CP457" s="81"/>
      <c r="CQ457" s="81"/>
      <c r="CR457" s="81"/>
      <c r="CS457" s="81"/>
      <c r="CT457" s="81"/>
      <c r="CU457" s="81"/>
      <c r="CV457" s="81"/>
      <c r="CW457" s="81"/>
      <c r="CX457" s="81"/>
      <c r="CY457" s="81"/>
      <c r="CZ457" s="81"/>
      <c r="DA457" s="81"/>
      <c r="DB457" s="81"/>
      <c r="DC457" s="81"/>
      <c r="DD457" s="81"/>
      <c r="DE457" s="81"/>
      <c r="DF457" s="81"/>
      <c r="DG457" s="81"/>
      <c r="DH457" s="81"/>
      <c r="DI457" s="81"/>
      <c r="DJ457" s="81"/>
      <c r="DK457" s="81"/>
      <c r="DL457" s="81"/>
      <c r="DM457" s="81"/>
      <c r="DN457" s="81"/>
      <c r="DO457" s="81"/>
      <c r="DP457" s="81"/>
      <c r="DQ457" s="81"/>
      <c r="DR457" s="81"/>
      <c r="DS457" s="81"/>
      <c r="DT457" s="81"/>
      <c r="DU457" s="81"/>
      <c r="DV457" s="81"/>
      <c r="DW457" s="121"/>
    </row>
    <row r="458" spans="1:127" x14ac:dyDescent="0.25">
      <c r="A458" s="2">
        <f>COUNTIF($D$2:D458,'Reporte de Nomina'!$E$2)</f>
        <v>0</v>
      </c>
      <c r="B458" s="125">
        <f>Lista!A457</f>
        <v>0</v>
      </c>
      <c r="C458" s="125">
        <f>Lista!B457</f>
        <v>0</v>
      </c>
      <c r="D458" s="125">
        <f>Lista!C457</f>
        <v>0</v>
      </c>
      <c r="E458" s="125">
        <f>Lista!D457</f>
        <v>0</v>
      </c>
      <c r="F458" s="125">
        <f>Lista!E457</f>
        <v>0</v>
      </c>
      <c r="G458" s="125">
        <f>Lista!F457</f>
        <v>0</v>
      </c>
      <c r="H458" s="125">
        <f>Lista!G457</f>
        <v>0</v>
      </c>
      <c r="I458" s="125">
        <f>Lista!H457</f>
        <v>0</v>
      </c>
      <c r="J458" s="125">
        <f>Lista!I457</f>
        <v>0</v>
      </c>
      <c r="K458" s="125">
        <f>Lista!J457</f>
        <v>0</v>
      </c>
      <c r="L458" s="125">
        <f>Lista!K457</f>
        <v>0</v>
      </c>
      <c r="M458" s="125">
        <f>Lista!L457</f>
        <v>0</v>
      </c>
      <c r="N458" s="125">
        <f>Lista!M457</f>
        <v>0</v>
      </c>
      <c r="O458" s="125">
        <f>Lista!N457</f>
        <v>0</v>
      </c>
      <c r="P458" s="125">
        <f>Lista!O457</f>
        <v>0</v>
      </c>
      <c r="Q458" s="125">
        <f>Lista!P457</f>
        <v>0</v>
      </c>
      <c r="R458" s="125">
        <f>Lista!Q457</f>
        <v>0</v>
      </c>
      <c r="S458" s="125">
        <f>Lista!R457</f>
        <v>0</v>
      </c>
      <c r="T458" s="81"/>
      <c r="U458" s="81"/>
      <c r="V458" s="81"/>
      <c r="W458" s="81"/>
      <c r="X458" s="81"/>
      <c r="Y458" s="81"/>
      <c r="Z458" s="81"/>
      <c r="AA458" s="81"/>
      <c r="AB458" s="81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  <c r="BS458" s="81"/>
      <c r="BT458" s="81"/>
      <c r="BU458" s="81"/>
      <c r="BV458" s="81"/>
      <c r="BW458" s="81"/>
      <c r="BX458" s="81"/>
      <c r="BY458" s="81"/>
      <c r="BZ458" s="81"/>
      <c r="CA458" s="81"/>
      <c r="CB458" s="81"/>
      <c r="CC458" s="81"/>
      <c r="CD458" s="81"/>
      <c r="CE458" s="81"/>
      <c r="CF458" s="81"/>
      <c r="CG458" s="81"/>
      <c r="CH458" s="81"/>
      <c r="CI458" s="81"/>
      <c r="CJ458" s="81"/>
      <c r="CK458" s="81"/>
      <c r="CL458" s="81"/>
      <c r="CM458" s="81"/>
      <c r="CN458" s="81"/>
      <c r="CO458" s="81"/>
      <c r="CP458" s="81"/>
      <c r="CQ458" s="81"/>
      <c r="CR458" s="81"/>
      <c r="CS458" s="81"/>
      <c r="CT458" s="81"/>
      <c r="CU458" s="81"/>
      <c r="CV458" s="81"/>
      <c r="CW458" s="81"/>
      <c r="CX458" s="81"/>
      <c r="CY458" s="81"/>
      <c r="CZ458" s="81"/>
      <c r="DA458" s="81"/>
      <c r="DB458" s="81"/>
      <c r="DC458" s="81"/>
      <c r="DD458" s="81"/>
      <c r="DE458" s="81"/>
      <c r="DF458" s="81"/>
      <c r="DG458" s="81"/>
      <c r="DH458" s="81"/>
      <c r="DI458" s="81"/>
      <c r="DJ458" s="81"/>
      <c r="DK458" s="81"/>
      <c r="DL458" s="81"/>
      <c r="DM458" s="81"/>
      <c r="DN458" s="81"/>
      <c r="DO458" s="81"/>
      <c r="DP458" s="81"/>
      <c r="DQ458" s="81"/>
      <c r="DR458" s="81"/>
      <c r="DS458" s="81"/>
      <c r="DT458" s="81"/>
      <c r="DU458" s="81"/>
      <c r="DV458" s="81"/>
      <c r="DW458" s="121"/>
    </row>
    <row r="459" spans="1:127" x14ac:dyDescent="0.25">
      <c r="A459" s="2">
        <f>COUNTIF($D$2:D459,'Reporte de Nomina'!$E$2)</f>
        <v>0</v>
      </c>
      <c r="B459" s="125">
        <f>Lista!A458</f>
        <v>0</v>
      </c>
      <c r="C459" s="125">
        <f>Lista!B458</f>
        <v>0</v>
      </c>
      <c r="D459" s="125">
        <f>Lista!C458</f>
        <v>0</v>
      </c>
      <c r="E459" s="125">
        <f>Lista!D458</f>
        <v>0</v>
      </c>
      <c r="F459" s="125">
        <f>Lista!E458</f>
        <v>0</v>
      </c>
      <c r="G459" s="125">
        <f>Lista!F458</f>
        <v>0</v>
      </c>
      <c r="H459" s="125">
        <f>Lista!G458</f>
        <v>0</v>
      </c>
      <c r="I459" s="125">
        <f>Lista!H458</f>
        <v>0</v>
      </c>
      <c r="J459" s="125">
        <f>Lista!I458</f>
        <v>0</v>
      </c>
      <c r="K459" s="125">
        <f>Lista!J458</f>
        <v>0</v>
      </c>
      <c r="L459" s="125">
        <f>Lista!K458</f>
        <v>0</v>
      </c>
      <c r="M459" s="125">
        <f>Lista!L458</f>
        <v>0</v>
      </c>
      <c r="N459" s="125">
        <f>Lista!M458</f>
        <v>0</v>
      </c>
      <c r="O459" s="125">
        <f>Lista!N458</f>
        <v>0</v>
      </c>
      <c r="P459" s="125">
        <f>Lista!O458</f>
        <v>0</v>
      </c>
      <c r="Q459" s="125">
        <f>Lista!P458</f>
        <v>0</v>
      </c>
      <c r="R459" s="125">
        <f>Lista!Q458</f>
        <v>0</v>
      </c>
      <c r="S459" s="125">
        <f>Lista!R458</f>
        <v>0</v>
      </c>
      <c r="T459" s="81"/>
      <c r="U459" s="81"/>
      <c r="V459" s="81"/>
      <c r="W459" s="81"/>
      <c r="X459" s="81"/>
      <c r="Y459" s="81"/>
      <c r="Z459" s="81"/>
      <c r="AA459" s="81"/>
      <c r="AB459" s="81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  <c r="BS459" s="81"/>
      <c r="BT459" s="81"/>
      <c r="BU459" s="81"/>
      <c r="BV459" s="81"/>
      <c r="BW459" s="81"/>
      <c r="BX459" s="81"/>
      <c r="BY459" s="81"/>
      <c r="BZ459" s="81"/>
      <c r="CA459" s="81"/>
      <c r="CB459" s="81"/>
      <c r="CC459" s="81"/>
      <c r="CD459" s="81"/>
      <c r="CE459" s="81"/>
      <c r="CF459" s="81"/>
      <c r="CG459" s="81"/>
      <c r="CH459" s="81"/>
      <c r="CI459" s="81"/>
      <c r="CJ459" s="81"/>
      <c r="CK459" s="81"/>
      <c r="CL459" s="81"/>
      <c r="CM459" s="81"/>
      <c r="CN459" s="81"/>
      <c r="CO459" s="81"/>
      <c r="CP459" s="81"/>
      <c r="CQ459" s="81"/>
      <c r="CR459" s="81"/>
      <c r="CS459" s="81"/>
      <c r="CT459" s="81"/>
      <c r="CU459" s="81"/>
      <c r="CV459" s="81"/>
      <c r="CW459" s="81"/>
      <c r="CX459" s="81"/>
      <c r="CY459" s="81"/>
      <c r="CZ459" s="81"/>
      <c r="DA459" s="81"/>
      <c r="DB459" s="81"/>
      <c r="DC459" s="81"/>
      <c r="DD459" s="81"/>
      <c r="DE459" s="81"/>
      <c r="DF459" s="81"/>
      <c r="DG459" s="81"/>
      <c r="DH459" s="81"/>
      <c r="DI459" s="81"/>
      <c r="DJ459" s="81"/>
      <c r="DK459" s="81"/>
      <c r="DL459" s="81"/>
      <c r="DM459" s="81"/>
      <c r="DN459" s="81"/>
      <c r="DO459" s="81"/>
      <c r="DP459" s="81"/>
      <c r="DQ459" s="81"/>
      <c r="DR459" s="81"/>
      <c r="DS459" s="81"/>
      <c r="DT459" s="81"/>
      <c r="DU459" s="81"/>
      <c r="DV459" s="81"/>
      <c r="DW459" s="121"/>
    </row>
    <row r="460" spans="1:127" x14ac:dyDescent="0.25">
      <c r="A460" s="2">
        <f>COUNTIF($D$2:D460,'Reporte de Nomina'!$E$2)</f>
        <v>0</v>
      </c>
      <c r="B460" s="125">
        <f>Lista!A459</f>
        <v>0</v>
      </c>
      <c r="C460" s="125">
        <f>Lista!B459</f>
        <v>0</v>
      </c>
      <c r="D460" s="125">
        <f>Lista!C459</f>
        <v>0</v>
      </c>
      <c r="E460" s="125">
        <f>Lista!D459</f>
        <v>0</v>
      </c>
      <c r="F460" s="125">
        <f>Lista!E459</f>
        <v>0</v>
      </c>
      <c r="G460" s="125">
        <f>Lista!F459</f>
        <v>0</v>
      </c>
      <c r="H460" s="125">
        <f>Lista!G459</f>
        <v>0</v>
      </c>
      <c r="I460" s="125">
        <f>Lista!H459</f>
        <v>0</v>
      </c>
      <c r="J460" s="125">
        <f>Lista!I459</f>
        <v>0</v>
      </c>
      <c r="K460" s="125">
        <f>Lista!J459</f>
        <v>0</v>
      </c>
      <c r="L460" s="125">
        <f>Lista!K459</f>
        <v>0</v>
      </c>
      <c r="M460" s="125">
        <f>Lista!L459</f>
        <v>0</v>
      </c>
      <c r="N460" s="125">
        <f>Lista!M459</f>
        <v>0</v>
      </c>
      <c r="O460" s="125">
        <f>Lista!N459</f>
        <v>0</v>
      </c>
      <c r="P460" s="125">
        <f>Lista!O459</f>
        <v>0</v>
      </c>
      <c r="Q460" s="125">
        <f>Lista!P459</f>
        <v>0</v>
      </c>
      <c r="R460" s="125">
        <f>Lista!Q459</f>
        <v>0</v>
      </c>
      <c r="S460" s="125">
        <f>Lista!R459</f>
        <v>0</v>
      </c>
      <c r="T460" s="81"/>
      <c r="U460" s="81"/>
      <c r="V460" s="81"/>
      <c r="W460" s="81"/>
      <c r="X460" s="81"/>
      <c r="Y460" s="81"/>
      <c r="Z460" s="81"/>
      <c r="AA460" s="81"/>
      <c r="AB460" s="81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  <c r="BS460" s="81"/>
      <c r="BT460" s="81"/>
      <c r="BU460" s="81"/>
      <c r="BV460" s="81"/>
      <c r="BW460" s="81"/>
      <c r="BX460" s="81"/>
      <c r="BY460" s="81"/>
      <c r="BZ460" s="81"/>
      <c r="CA460" s="81"/>
      <c r="CB460" s="81"/>
      <c r="CC460" s="81"/>
      <c r="CD460" s="81"/>
      <c r="CE460" s="81"/>
      <c r="CF460" s="81"/>
      <c r="CG460" s="81"/>
      <c r="CH460" s="81"/>
      <c r="CI460" s="81"/>
      <c r="CJ460" s="81"/>
      <c r="CK460" s="81"/>
      <c r="CL460" s="81"/>
      <c r="CM460" s="81"/>
      <c r="CN460" s="81"/>
      <c r="CO460" s="81"/>
      <c r="CP460" s="81"/>
      <c r="CQ460" s="81"/>
      <c r="CR460" s="81"/>
      <c r="CS460" s="81"/>
      <c r="CT460" s="81"/>
      <c r="CU460" s="81"/>
      <c r="CV460" s="81"/>
      <c r="CW460" s="81"/>
      <c r="CX460" s="81"/>
      <c r="CY460" s="81"/>
      <c r="CZ460" s="81"/>
      <c r="DA460" s="81"/>
      <c r="DB460" s="81"/>
      <c r="DC460" s="81"/>
      <c r="DD460" s="81"/>
      <c r="DE460" s="81"/>
      <c r="DF460" s="81"/>
      <c r="DG460" s="81"/>
      <c r="DH460" s="81"/>
      <c r="DI460" s="81"/>
      <c r="DJ460" s="81"/>
      <c r="DK460" s="81"/>
      <c r="DL460" s="81"/>
      <c r="DM460" s="81"/>
      <c r="DN460" s="81"/>
      <c r="DO460" s="81"/>
      <c r="DP460" s="81"/>
      <c r="DQ460" s="81"/>
      <c r="DR460" s="81"/>
      <c r="DS460" s="81"/>
      <c r="DT460" s="81"/>
      <c r="DU460" s="81"/>
      <c r="DV460" s="81"/>
      <c r="DW460" s="121"/>
    </row>
    <row r="461" spans="1:127" x14ac:dyDescent="0.25">
      <c r="A461" s="2">
        <f>COUNTIF($D$2:D461,'Reporte de Nomina'!$E$2)</f>
        <v>0</v>
      </c>
      <c r="B461" s="125">
        <f>Lista!A460</f>
        <v>0</v>
      </c>
      <c r="C461" s="125">
        <f>Lista!B460</f>
        <v>0</v>
      </c>
      <c r="D461" s="125">
        <f>Lista!C460</f>
        <v>0</v>
      </c>
      <c r="E461" s="125">
        <f>Lista!D460</f>
        <v>0</v>
      </c>
      <c r="F461" s="125">
        <f>Lista!E460</f>
        <v>0</v>
      </c>
      <c r="G461" s="125">
        <f>Lista!F460</f>
        <v>0</v>
      </c>
      <c r="H461" s="125">
        <f>Lista!G460</f>
        <v>0</v>
      </c>
      <c r="I461" s="125">
        <f>Lista!H460</f>
        <v>0</v>
      </c>
      <c r="J461" s="125">
        <f>Lista!I460</f>
        <v>0</v>
      </c>
      <c r="K461" s="125">
        <f>Lista!J460</f>
        <v>0</v>
      </c>
      <c r="L461" s="125">
        <f>Lista!K460</f>
        <v>0</v>
      </c>
      <c r="M461" s="125">
        <f>Lista!L460</f>
        <v>0</v>
      </c>
      <c r="N461" s="125">
        <f>Lista!M460</f>
        <v>0</v>
      </c>
      <c r="O461" s="125">
        <f>Lista!N460</f>
        <v>0</v>
      </c>
      <c r="P461" s="125">
        <f>Lista!O460</f>
        <v>0</v>
      </c>
      <c r="Q461" s="125">
        <f>Lista!P460</f>
        <v>0</v>
      </c>
      <c r="R461" s="125">
        <f>Lista!Q460</f>
        <v>0</v>
      </c>
      <c r="S461" s="125">
        <f>Lista!R460</f>
        <v>0</v>
      </c>
      <c r="T461" s="81"/>
      <c r="U461" s="81"/>
      <c r="V461" s="81"/>
      <c r="W461" s="81"/>
      <c r="X461" s="81"/>
      <c r="Y461" s="81"/>
      <c r="Z461" s="81"/>
      <c r="AA461" s="81"/>
      <c r="AB461" s="81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  <c r="BS461" s="81"/>
      <c r="BT461" s="81"/>
      <c r="BU461" s="81"/>
      <c r="BV461" s="81"/>
      <c r="BW461" s="81"/>
      <c r="BX461" s="81"/>
      <c r="BY461" s="81"/>
      <c r="BZ461" s="81"/>
      <c r="CA461" s="81"/>
      <c r="CB461" s="81"/>
      <c r="CC461" s="81"/>
      <c r="CD461" s="81"/>
      <c r="CE461" s="81"/>
      <c r="CF461" s="81"/>
      <c r="CG461" s="81"/>
      <c r="CH461" s="81"/>
      <c r="CI461" s="81"/>
      <c r="CJ461" s="81"/>
      <c r="CK461" s="81"/>
      <c r="CL461" s="81"/>
      <c r="CM461" s="81"/>
      <c r="CN461" s="81"/>
      <c r="CO461" s="81"/>
      <c r="CP461" s="81"/>
      <c r="CQ461" s="81"/>
      <c r="CR461" s="81"/>
      <c r="CS461" s="81"/>
      <c r="CT461" s="81"/>
      <c r="CU461" s="81"/>
      <c r="CV461" s="81"/>
      <c r="CW461" s="81"/>
      <c r="CX461" s="81"/>
      <c r="CY461" s="81"/>
      <c r="CZ461" s="81"/>
      <c r="DA461" s="81"/>
      <c r="DB461" s="81"/>
      <c r="DC461" s="81"/>
      <c r="DD461" s="81"/>
      <c r="DE461" s="81"/>
      <c r="DF461" s="81"/>
      <c r="DG461" s="81"/>
      <c r="DH461" s="81"/>
      <c r="DI461" s="81"/>
      <c r="DJ461" s="81"/>
      <c r="DK461" s="81"/>
      <c r="DL461" s="81"/>
      <c r="DM461" s="81"/>
      <c r="DN461" s="81"/>
      <c r="DO461" s="81"/>
      <c r="DP461" s="81"/>
      <c r="DQ461" s="81"/>
      <c r="DR461" s="81"/>
      <c r="DS461" s="81"/>
      <c r="DT461" s="81"/>
      <c r="DU461" s="81"/>
      <c r="DV461" s="81"/>
      <c r="DW461" s="121"/>
    </row>
    <row r="462" spans="1:127" x14ac:dyDescent="0.25">
      <c r="A462" s="2">
        <f>COUNTIF($D$2:D462,'Reporte de Nomina'!$E$2)</f>
        <v>0</v>
      </c>
      <c r="B462" s="125">
        <f>Lista!A461</f>
        <v>0</v>
      </c>
      <c r="C462" s="125">
        <f>Lista!B461</f>
        <v>0</v>
      </c>
      <c r="D462" s="125">
        <f>Lista!C461</f>
        <v>0</v>
      </c>
      <c r="E462" s="125">
        <f>Lista!D461</f>
        <v>0</v>
      </c>
      <c r="F462" s="125">
        <f>Lista!E461</f>
        <v>0</v>
      </c>
      <c r="G462" s="125">
        <f>Lista!F461</f>
        <v>0</v>
      </c>
      <c r="H462" s="125">
        <f>Lista!G461</f>
        <v>0</v>
      </c>
      <c r="I462" s="125">
        <f>Lista!H461</f>
        <v>0</v>
      </c>
      <c r="J462" s="125">
        <f>Lista!I461</f>
        <v>0</v>
      </c>
      <c r="K462" s="125">
        <f>Lista!J461</f>
        <v>0</v>
      </c>
      <c r="L462" s="125">
        <f>Lista!K461</f>
        <v>0</v>
      </c>
      <c r="M462" s="125">
        <f>Lista!L461</f>
        <v>0</v>
      </c>
      <c r="N462" s="125">
        <f>Lista!M461</f>
        <v>0</v>
      </c>
      <c r="O462" s="125">
        <f>Lista!N461</f>
        <v>0</v>
      </c>
      <c r="P462" s="125">
        <f>Lista!O461</f>
        <v>0</v>
      </c>
      <c r="Q462" s="125">
        <f>Lista!P461</f>
        <v>0</v>
      </c>
      <c r="R462" s="125">
        <f>Lista!Q461</f>
        <v>0</v>
      </c>
      <c r="S462" s="125">
        <f>Lista!R461</f>
        <v>0</v>
      </c>
      <c r="T462" s="81"/>
      <c r="U462" s="81"/>
      <c r="V462" s="81"/>
      <c r="W462" s="81"/>
      <c r="X462" s="81"/>
      <c r="Y462" s="81"/>
      <c r="Z462" s="81"/>
      <c r="AA462" s="81"/>
      <c r="AB462" s="81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  <c r="BS462" s="81"/>
      <c r="BT462" s="81"/>
      <c r="BU462" s="81"/>
      <c r="BV462" s="81"/>
      <c r="BW462" s="81"/>
      <c r="BX462" s="81"/>
      <c r="BY462" s="81"/>
      <c r="BZ462" s="81"/>
      <c r="CA462" s="81"/>
      <c r="CB462" s="81"/>
      <c r="CC462" s="81"/>
      <c r="CD462" s="81"/>
      <c r="CE462" s="81"/>
      <c r="CF462" s="81"/>
      <c r="CG462" s="81"/>
      <c r="CH462" s="81"/>
      <c r="CI462" s="81"/>
      <c r="CJ462" s="81"/>
      <c r="CK462" s="81"/>
      <c r="CL462" s="81"/>
      <c r="CM462" s="81"/>
      <c r="CN462" s="81"/>
      <c r="CO462" s="81"/>
      <c r="CP462" s="81"/>
      <c r="CQ462" s="81"/>
      <c r="CR462" s="81"/>
      <c r="CS462" s="81"/>
      <c r="CT462" s="81"/>
      <c r="CU462" s="81"/>
      <c r="CV462" s="81"/>
      <c r="CW462" s="81"/>
      <c r="CX462" s="81"/>
      <c r="CY462" s="81"/>
      <c r="CZ462" s="81"/>
      <c r="DA462" s="81"/>
      <c r="DB462" s="81"/>
      <c r="DC462" s="81"/>
      <c r="DD462" s="81"/>
      <c r="DE462" s="81"/>
      <c r="DF462" s="81"/>
      <c r="DG462" s="81"/>
      <c r="DH462" s="81"/>
      <c r="DI462" s="81"/>
      <c r="DJ462" s="81"/>
      <c r="DK462" s="81"/>
      <c r="DL462" s="81"/>
      <c r="DM462" s="81"/>
      <c r="DN462" s="81"/>
      <c r="DO462" s="81"/>
      <c r="DP462" s="81"/>
      <c r="DQ462" s="81"/>
      <c r="DR462" s="81"/>
      <c r="DS462" s="81"/>
      <c r="DT462" s="81"/>
      <c r="DU462" s="81"/>
      <c r="DV462" s="81"/>
      <c r="DW462" s="121"/>
    </row>
    <row r="463" spans="1:127" x14ac:dyDescent="0.25">
      <c r="A463" s="2">
        <f>COUNTIF($D$2:D463,'Reporte de Nomina'!$E$2)</f>
        <v>0</v>
      </c>
      <c r="B463" s="125">
        <f>Lista!A462</f>
        <v>0</v>
      </c>
      <c r="C463" s="125">
        <f>Lista!B462</f>
        <v>0</v>
      </c>
      <c r="D463" s="125">
        <f>Lista!C462</f>
        <v>0</v>
      </c>
      <c r="E463" s="125">
        <f>Lista!D462</f>
        <v>0</v>
      </c>
      <c r="F463" s="125">
        <f>Lista!E462</f>
        <v>0</v>
      </c>
      <c r="G463" s="125">
        <f>Lista!F462</f>
        <v>0</v>
      </c>
      <c r="H463" s="125">
        <f>Lista!G462</f>
        <v>0</v>
      </c>
      <c r="I463" s="125">
        <f>Lista!H462</f>
        <v>0</v>
      </c>
      <c r="J463" s="125">
        <f>Lista!I462</f>
        <v>0</v>
      </c>
      <c r="K463" s="125">
        <f>Lista!J462</f>
        <v>0</v>
      </c>
      <c r="L463" s="125">
        <f>Lista!K462</f>
        <v>0</v>
      </c>
      <c r="M463" s="125">
        <f>Lista!L462</f>
        <v>0</v>
      </c>
      <c r="N463" s="125">
        <f>Lista!M462</f>
        <v>0</v>
      </c>
      <c r="O463" s="125">
        <f>Lista!N462</f>
        <v>0</v>
      </c>
      <c r="P463" s="125">
        <f>Lista!O462</f>
        <v>0</v>
      </c>
      <c r="Q463" s="125">
        <f>Lista!P462</f>
        <v>0</v>
      </c>
      <c r="R463" s="125">
        <f>Lista!Q462</f>
        <v>0</v>
      </c>
      <c r="S463" s="125">
        <f>Lista!R462</f>
        <v>0</v>
      </c>
      <c r="T463" s="81"/>
      <c r="U463" s="81"/>
      <c r="V463" s="81"/>
      <c r="W463" s="81"/>
      <c r="X463" s="81"/>
      <c r="Y463" s="81"/>
      <c r="Z463" s="81"/>
      <c r="AA463" s="81"/>
      <c r="AB463" s="81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  <c r="BS463" s="81"/>
      <c r="BT463" s="81"/>
      <c r="BU463" s="81"/>
      <c r="BV463" s="81"/>
      <c r="BW463" s="81"/>
      <c r="BX463" s="81"/>
      <c r="BY463" s="81"/>
      <c r="BZ463" s="81"/>
      <c r="CA463" s="81"/>
      <c r="CB463" s="81"/>
      <c r="CC463" s="81"/>
      <c r="CD463" s="81"/>
      <c r="CE463" s="81"/>
      <c r="CF463" s="81"/>
      <c r="CG463" s="81"/>
      <c r="CH463" s="81"/>
      <c r="CI463" s="81"/>
      <c r="CJ463" s="81"/>
      <c r="CK463" s="81"/>
      <c r="CL463" s="81"/>
      <c r="CM463" s="81"/>
      <c r="CN463" s="81"/>
      <c r="CO463" s="81"/>
      <c r="CP463" s="81"/>
      <c r="CQ463" s="81"/>
      <c r="CR463" s="81"/>
      <c r="CS463" s="81"/>
      <c r="CT463" s="81"/>
      <c r="CU463" s="81"/>
      <c r="CV463" s="81"/>
      <c r="CW463" s="81"/>
      <c r="CX463" s="81"/>
      <c r="CY463" s="81"/>
      <c r="CZ463" s="81"/>
      <c r="DA463" s="81"/>
      <c r="DB463" s="81"/>
      <c r="DC463" s="81"/>
      <c r="DD463" s="81"/>
      <c r="DE463" s="81"/>
      <c r="DF463" s="81"/>
      <c r="DG463" s="81"/>
      <c r="DH463" s="81"/>
      <c r="DI463" s="81"/>
      <c r="DJ463" s="81"/>
      <c r="DK463" s="81"/>
      <c r="DL463" s="81"/>
      <c r="DM463" s="81"/>
      <c r="DN463" s="81"/>
      <c r="DO463" s="81"/>
      <c r="DP463" s="81"/>
      <c r="DQ463" s="81"/>
      <c r="DR463" s="81"/>
      <c r="DS463" s="81"/>
      <c r="DT463" s="81"/>
      <c r="DU463" s="81"/>
      <c r="DV463" s="81"/>
      <c r="DW463" s="121"/>
    </row>
    <row r="464" spans="1:127" x14ac:dyDescent="0.25">
      <c r="A464" s="2">
        <f>COUNTIF($D$2:D464,'Reporte de Nomina'!$E$2)</f>
        <v>0</v>
      </c>
      <c r="B464" s="125">
        <f>Lista!A463</f>
        <v>0</v>
      </c>
      <c r="C464" s="125">
        <f>Lista!B463</f>
        <v>0</v>
      </c>
      <c r="D464" s="125">
        <f>Lista!C463</f>
        <v>0</v>
      </c>
      <c r="E464" s="125">
        <f>Lista!D463</f>
        <v>0</v>
      </c>
      <c r="F464" s="125">
        <f>Lista!E463</f>
        <v>0</v>
      </c>
      <c r="G464" s="125">
        <f>Lista!F463</f>
        <v>0</v>
      </c>
      <c r="H464" s="125">
        <f>Lista!G463</f>
        <v>0</v>
      </c>
      <c r="I464" s="125">
        <f>Lista!H463</f>
        <v>0</v>
      </c>
      <c r="J464" s="125">
        <f>Lista!I463</f>
        <v>0</v>
      </c>
      <c r="K464" s="125">
        <f>Lista!J463</f>
        <v>0</v>
      </c>
      <c r="L464" s="125">
        <f>Lista!K463</f>
        <v>0</v>
      </c>
      <c r="M464" s="125">
        <f>Lista!L463</f>
        <v>0</v>
      </c>
      <c r="N464" s="125">
        <f>Lista!M463</f>
        <v>0</v>
      </c>
      <c r="O464" s="125">
        <f>Lista!N463</f>
        <v>0</v>
      </c>
      <c r="P464" s="125">
        <f>Lista!O463</f>
        <v>0</v>
      </c>
      <c r="Q464" s="125">
        <f>Lista!P463</f>
        <v>0</v>
      </c>
      <c r="R464" s="125">
        <f>Lista!Q463</f>
        <v>0</v>
      </c>
      <c r="S464" s="125">
        <f>Lista!R463</f>
        <v>0</v>
      </c>
      <c r="T464" s="81"/>
      <c r="U464" s="81"/>
      <c r="V464" s="81"/>
      <c r="W464" s="81"/>
      <c r="X464" s="81"/>
      <c r="Y464" s="81"/>
      <c r="Z464" s="81"/>
      <c r="AA464" s="81"/>
      <c r="AB464" s="81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  <c r="BS464" s="81"/>
      <c r="BT464" s="81"/>
      <c r="BU464" s="81"/>
      <c r="BV464" s="81"/>
      <c r="BW464" s="81"/>
      <c r="BX464" s="81"/>
      <c r="BY464" s="81"/>
      <c r="BZ464" s="81"/>
      <c r="CA464" s="81"/>
      <c r="CB464" s="81"/>
      <c r="CC464" s="81"/>
      <c r="CD464" s="81"/>
      <c r="CE464" s="81"/>
      <c r="CF464" s="81"/>
      <c r="CG464" s="81"/>
      <c r="CH464" s="81"/>
      <c r="CI464" s="81"/>
      <c r="CJ464" s="81"/>
      <c r="CK464" s="81"/>
      <c r="CL464" s="81"/>
      <c r="CM464" s="81"/>
      <c r="CN464" s="81"/>
      <c r="CO464" s="81"/>
      <c r="CP464" s="81"/>
      <c r="CQ464" s="81"/>
      <c r="CR464" s="81"/>
      <c r="CS464" s="81"/>
      <c r="CT464" s="81"/>
      <c r="CU464" s="81"/>
      <c r="CV464" s="81"/>
      <c r="CW464" s="81"/>
      <c r="CX464" s="81"/>
      <c r="CY464" s="81"/>
      <c r="CZ464" s="81"/>
      <c r="DA464" s="81"/>
      <c r="DB464" s="81"/>
      <c r="DC464" s="81"/>
      <c r="DD464" s="81"/>
      <c r="DE464" s="81"/>
      <c r="DF464" s="81"/>
      <c r="DG464" s="81"/>
      <c r="DH464" s="81"/>
      <c r="DI464" s="81"/>
      <c r="DJ464" s="81"/>
      <c r="DK464" s="81"/>
      <c r="DL464" s="81"/>
      <c r="DM464" s="81"/>
      <c r="DN464" s="81"/>
      <c r="DO464" s="81"/>
      <c r="DP464" s="81"/>
      <c r="DQ464" s="81"/>
      <c r="DR464" s="81"/>
      <c r="DS464" s="81"/>
      <c r="DT464" s="81"/>
      <c r="DU464" s="81"/>
      <c r="DV464" s="81"/>
      <c r="DW464" s="121"/>
    </row>
    <row r="465" spans="1:127" x14ac:dyDescent="0.25">
      <c r="A465" s="2">
        <f>COUNTIF($D$2:D465,'Reporte de Nomina'!$E$2)</f>
        <v>0</v>
      </c>
      <c r="B465" s="125">
        <f>Lista!A464</f>
        <v>0</v>
      </c>
      <c r="C465" s="125">
        <f>Lista!B464</f>
        <v>0</v>
      </c>
      <c r="D465" s="125">
        <f>Lista!C464</f>
        <v>0</v>
      </c>
      <c r="E465" s="125">
        <f>Lista!D464</f>
        <v>0</v>
      </c>
      <c r="F465" s="125">
        <f>Lista!E464</f>
        <v>0</v>
      </c>
      <c r="G465" s="125">
        <f>Lista!F464</f>
        <v>0</v>
      </c>
      <c r="H465" s="125">
        <f>Lista!G464</f>
        <v>0</v>
      </c>
      <c r="I465" s="125">
        <f>Lista!H464</f>
        <v>0</v>
      </c>
      <c r="J465" s="125">
        <f>Lista!I464</f>
        <v>0</v>
      </c>
      <c r="K465" s="125">
        <f>Lista!J464</f>
        <v>0</v>
      </c>
      <c r="L465" s="125">
        <f>Lista!K464</f>
        <v>0</v>
      </c>
      <c r="M465" s="125">
        <f>Lista!L464</f>
        <v>0</v>
      </c>
      <c r="N465" s="125">
        <f>Lista!M464</f>
        <v>0</v>
      </c>
      <c r="O465" s="125">
        <f>Lista!N464</f>
        <v>0</v>
      </c>
      <c r="P465" s="125">
        <f>Lista!O464</f>
        <v>0</v>
      </c>
      <c r="Q465" s="125">
        <f>Lista!P464</f>
        <v>0</v>
      </c>
      <c r="R465" s="125">
        <f>Lista!Q464</f>
        <v>0</v>
      </c>
      <c r="S465" s="125">
        <f>Lista!R464</f>
        <v>0</v>
      </c>
      <c r="T465" s="81"/>
      <c r="U465" s="81"/>
      <c r="V465" s="81"/>
      <c r="W465" s="81"/>
      <c r="X465" s="81"/>
      <c r="Y465" s="81"/>
      <c r="Z465" s="81"/>
      <c r="AA465" s="81"/>
      <c r="AB465" s="81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  <c r="BS465" s="81"/>
      <c r="BT465" s="81"/>
      <c r="BU465" s="81"/>
      <c r="BV465" s="81"/>
      <c r="BW465" s="81"/>
      <c r="BX465" s="81"/>
      <c r="BY465" s="81"/>
      <c r="BZ465" s="81"/>
      <c r="CA465" s="81"/>
      <c r="CB465" s="81"/>
      <c r="CC465" s="81"/>
      <c r="CD465" s="81"/>
      <c r="CE465" s="81"/>
      <c r="CF465" s="81"/>
      <c r="CG465" s="81"/>
      <c r="CH465" s="81"/>
      <c r="CI465" s="81"/>
      <c r="CJ465" s="81"/>
      <c r="CK465" s="81"/>
      <c r="CL465" s="81"/>
      <c r="CM465" s="81"/>
      <c r="CN465" s="81"/>
      <c r="CO465" s="81"/>
      <c r="CP465" s="81"/>
      <c r="CQ465" s="81"/>
      <c r="CR465" s="81"/>
      <c r="CS465" s="81"/>
      <c r="CT465" s="81"/>
      <c r="CU465" s="81"/>
      <c r="CV465" s="81"/>
      <c r="CW465" s="81"/>
      <c r="CX465" s="81"/>
      <c r="CY465" s="81"/>
      <c r="CZ465" s="81"/>
      <c r="DA465" s="81"/>
      <c r="DB465" s="81"/>
      <c r="DC465" s="81"/>
      <c r="DD465" s="81"/>
      <c r="DE465" s="81"/>
      <c r="DF465" s="81"/>
      <c r="DG465" s="81"/>
      <c r="DH465" s="81"/>
      <c r="DI465" s="81"/>
      <c r="DJ465" s="81"/>
      <c r="DK465" s="81"/>
      <c r="DL465" s="81"/>
      <c r="DM465" s="81"/>
      <c r="DN465" s="81"/>
      <c r="DO465" s="81"/>
      <c r="DP465" s="81"/>
      <c r="DQ465" s="81"/>
      <c r="DR465" s="81"/>
      <c r="DS465" s="81"/>
      <c r="DT465" s="81"/>
      <c r="DU465" s="81"/>
      <c r="DV465" s="81"/>
      <c r="DW465" s="121"/>
    </row>
    <row r="466" spans="1:127" x14ac:dyDescent="0.25">
      <c r="A466" s="2">
        <f>COUNTIF($D$2:D466,'Reporte de Nomina'!$E$2)</f>
        <v>0</v>
      </c>
      <c r="B466" s="125">
        <f>Lista!A465</f>
        <v>0</v>
      </c>
      <c r="C466" s="125">
        <f>Lista!B465</f>
        <v>0</v>
      </c>
      <c r="D466" s="125">
        <f>Lista!C465</f>
        <v>0</v>
      </c>
      <c r="E466" s="125">
        <f>Lista!D465</f>
        <v>0</v>
      </c>
      <c r="F466" s="125">
        <f>Lista!E465</f>
        <v>0</v>
      </c>
      <c r="G466" s="125">
        <f>Lista!F465</f>
        <v>0</v>
      </c>
      <c r="H466" s="125">
        <f>Lista!G465</f>
        <v>0</v>
      </c>
      <c r="I466" s="125">
        <f>Lista!H465</f>
        <v>0</v>
      </c>
      <c r="J466" s="125">
        <f>Lista!I465</f>
        <v>0</v>
      </c>
      <c r="K466" s="125">
        <f>Lista!J465</f>
        <v>0</v>
      </c>
      <c r="L466" s="125">
        <f>Lista!K465</f>
        <v>0</v>
      </c>
      <c r="M466" s="125">
        <f>Lista!L465</f>
        <v>0</v>
      </c>
      <c r="N466" s="125">
        <f>Lista!M465</f>
        <v>0</v>
      </c>
      <c r="O466" s="125">
        <f>Lista!N465</f>
        <v>0</v>
      </c>
      <c r="P466" s="125">
        <f>Lista!O465</f>
        <v>0</v>
      </c>
      <c r="Q466" s="125">
        <f>Lista!P465</f>
        <v>0</v>
      </c>
      <c r="R466" s="125">
        <f>Lista!Q465</f>
        <v>0</v>
      </c>
      <c r="S466" s="125">
        <f>Lista!R465</f>
        <v>0</v>
      </c>
      <c r="T466" s="81"/>
      <c r="U466" s="81"/>
      <c r="V466" s="81"/>
      <c r="W466" s="81"/>
      <c r="X466" s="81"/>
      <c r="Y466" s="81"/>
      <c r="Z466" s="81"/>
      <c r="AA466" s="81"/>
      <c r="AB466" s="81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  <c r="BS466" s="81"/>
      <c r="BT466" s="81"/>
      <c r="BU466" s="81"/>
      <c r="BV466" s="81"/>
      <c r="BW466" s="81"/>
      <c r="BX466" s="81"/>
      <c r="BY466" s="81"/>
      <c r="BZ466" s="81"/>
      <c r="CA466" s="81"/>
      <c r="CB466" s="81"/>
      <c r="CC466" s="81"/>
      <c r="CD466" s="81"/>
      <c r="CE466" s="81"/>
      <c r="CF466" s="81"/>
      <c r="CG466" s="81"/>
      <c r="CH466" s="81"/>
      <c r="CI466" s="81"/>
      <c r="CJ466" s="81"/>
      <c r="CK466" s="81"/>
      <c r="CL466" s="81"/>
      <c r="CM466" s="81"/>
      <c r="CN466" s="81"/>
      <c r="CO466" s="81"/>
      <c r="CP466" s="81"/>
      <c r="CQ466" s="81"/>
      <c r="CR466" s="81"/>
      <c r="CS466" s="81"/>
      <c r="CT466" s="81"/>
      <c r="CU466" s="81"/>
      <c r="CV466" s="81"/>
      <c r="CW466" s="81"/>
      <c r="CX466" s="81"/>
      <c r="CY466" s="81"/>
      <c r="CZ466" s="81"/>
      <c r="DA466" s="81"/>
      <c r="DB466" s="81"/>
      <c r="DC466" s="81"/>
      <c r="DD466" s="81"/>
      <c r="DE466" s="81"/>
      <c r="DF466" s="81"/>
      <c r="DG466" s="81"/>
      <c r="DH466" s="81"/>
      <c r="DI466" s="81"/>
      <c r="DJ466" s="81"/>
      <c r="DK466" s="81"/>
      <c r="DL466" s="81"/>
      <c r="DM466" s="81"/>
      <c r="DN466" s="81"/>
      <c r="DO466" s="81"/>
      <c r="DP466" s="81"/>
      <c r="DQ466" s="81"/>
      <c r="DR466" s="81"/>
      <c r="DS466" s="81"/>
      <c r="DT466" s="81"/>
      <c r="DU466" s="81"/>
      <c r="DV466" s="81"/>
      <c r="DW466" s="121"/>
    </row>
    <row r="467" spans="1:127" x14ac:dyDescent="0.25">
      <c r="A467" s="2">
        <f>COUNTIF($D$2:D467,'Reporte de Nomina'!$E$2)</f>
        <v>0</v>
      </c>
      <c r="B467" s="125">
        <f>Lista!A466</f>
        <v>0</v>
      </c>
      <c r="C467" s="125">
        <f>Lista!B466</f>
        <v>0</v>
      </c>
      <c r="D467" s="125">
        <f>Lista!C466</f>
        <v>0</v>
      </c>
      <c r="E467" s="125">
        <f>Lista!D466</f>
        <v>0</v>
      </c>
      <c r="F467" s="125">
        <f>Lista!E466</f>
        <v>0</v>
      </c>
      <c r="G467" s="125">
        <f>Lista!F466</f>
        <v>0</v>
      </c>
      <c r="H467" s="125">
        <f>Lista!G466</f>
        <v>0</v>
      </c>
      <c r="I467" s="125">
        <f>Lista!H466</f>
        <v>0</v>
      </c>
      <c r="J467" s="125">
        <f>Lista!I466</f>
        <v>0</v>
      </c>
      <c r="K467" s="125">
        <f>Lista!J466</f>
        <v>0</v>
      </c>
      <c r="L467" s="125">
        <f>Lista!K466</f>
        <v>0</v>
      </c>
      <c r="M467" s="125">
        <f>Lista!L466</f>
        <v>0</v>
      </c>
      <c r="N467" s="125">
        <f>Lista!M466</f>
        <v>0</v>
      </c>
      <c r="O467" s="125">
        <f>Lista!N466</f>
        <v>0</v>
      </c>
      <c r="P467" s="125">
        <f>Lista!O466</f>
        <v>0</v>
      </c>
      <c r="Q467" s="125">
        <f>Lista!P466</f>
        <v>0</v>
      </c>
      <c r="R467" s="125">
        <f>Lista!Q466</f>
        <v>0</v>
      </c>
      <c r="S467" s="125">
        <f>Lista!R466</f>
        <v>0</v>
      </c>
      <c r="T467" s="81"/>
      <c r="U467" s="81"/>
      <c r="V467" s="81"/>
      <c r="W467" s="81"/>
      <c r="X467" s="81"/>
      <c r="Y467" s="81"/>
      <c r="Z467" s="81"/>
      <c r="AA467" s="81"/>
      <c r="AB467" s="81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  <c r="BS467" s="81"/>
      <c r="BT467" s="81"/>
      <c r="BU467" s="81"/>
      <c r="BV467" s="81"/>
      <c r="BW467" s="81"/>
      <c r="BX467" s="81"/>
      <c r="BY467" s="81"/>
      <c r="BZ467" s="81"/>
      <c r="CA467" s="81"/>
      <c r="CB467" s="81"/>
      <c r="CC467" s="81"/>
      <c r="CD467" s="81"/>
      <c r="CE467" s="81"/>
      <c r="CF467" s="81"/>
      <c r="CG467" s="81"/>
      <c r="CH467" s="81"/>
      <c r="CI467" s="81"/>
      <c r="CJ467" s="81"/>
      <c r="CK467" s="81"/>
      <c r="CL467" s="81"/>
      <c r="CM467" s="81"/>
      <c r="CN467" s="81"/>
      <c r="CO467" s="81"/>
      <c r="CP467" s="81"/>
      <c r="CQ467" s="81"/>
      <c r="CR467" s="81"/>
      <c r="CS467" s="81"/>
      <c r="CT467" s="81"/>
      <c r="CU467" s="81"/>
      <c r="CV467" s="81"/>
      <c r="CW467" s="81"/>
      <c r="CX467" s="81"/>
      <c r="CY467" s="81"/>
      <c r="CZ467" s="81"/>
      <c r="DA467" s="81"/>
      <c r="DB467" s="81"/>
      <c r="DC467" s="81"/>
      <c r="DD467" s="81"/>
      <c r="DE467" s="81"/>
      <c r="DF467" s="81"/>
      <c r="DG467" s="81"/>
      <c r="DH467" s="81"/>
      <c r="DI467" s="81"/>
      <c r="DJ467" s="81"/>
      <c r="DK467" s="81"/>
      <c r="DL467" s="81"/>
      <c r="DM467" s="81"/>
      <c r="DN467" s="81"/>
      <c r="DO467" s="81"/>
      <c r="DP467" s="81"/>
      <c r="DQ467" s="81"/>
      <c r="DR467" s="81"/>
      <c r="DS467" s="81"/>
      <c r="DT467" s="81"/>
      <c r="DU467" s="81"/>
      <c r="DV467" s="81"/>
      <c r="DW467" s="121"/>
    </row>
    <row r="468" spans="1:127" x14ac:dyDescent="0.25">
      <c r="A468" s="2">
        <f>COUNTIF($D$2:D468,'Reporte de Nomina'!$E$2)</f>
        <v>0</v>
      </c>
      <c r="B468" s="125">
        <f>Lista!A467</f>
        <v>0</v>
      </c>
      <c r="C468" s="125">
        <f>Lista!B467</f>
        <v>0</v>
      </c>
      <c r="D468" s="125">
        <f>Lista!C467</f>
        <v>0</v>
      </c>
      <c r="E468" s="125">
        <f>Lista!D467</f>
        <v>0</v>
      </c>
      <c r="F468" s="125">
        <f>Lista!E467</f>
        <v>0</v>
      </c>
      <c r="G468" s="125">
        <f>Lista!F467</f>
        <v>0</v>
      </c>
      <c r="H468" s="125">
        <f>Lista!G467</f>
        <v>0</v>
      </c>
      <c r="I468" s="125">
        <f>Lista!H467</f>
        <v>0</v>
      </c>
      <c r="J468" s="125">
        <f>Lista!I467</f>
        <v>0</v>
      </c>
      <c r="K468" s="125">
        <f>Lista!J467</f>
        <v>0</v>
      </c>
      <c r="L468" s="125">
        <f>Lista!K467</f>
        <v>0</v>
      </c>
      <c r="M468" s="125">
        <f>Lista!L467</f>
        <v>0</v>
      </c>
      <c r="N468" s="125">
        <f>Lista!M467</f>
        <v>0</v>
      </c>
      <c r="O468" s="125">
        <f>Lista!N467</f>
        <v>0</v>
      </c>
      <c r="P468" s="125">
        <f>Lista!O467</f>
        <v>0</v>
      </c>
      <c r="Q468" s="125">
        <f>Lista!P467</f>
        <v>0</v>
      </c>
      <c r="R468" s="125">
        <f>Lista!Q467</f>
        <v>0</v>
      </c>
      <c r="S468" s="125">
        <f>Lista!R467</f>
        <v>0</v>
      </c>
      <c r="T468" s="81"/>
      <c r="U468" s="81"/>
      <c r="V468" s="81"/>
      <c r="W468" s="81"/>
      <c r="X468" s="81"/>
      <c r="Y468" s="81"/>
      <c r="Z468" s="81"/>
      <c r="AA468" s="81"/>
      <c r="AB468" s="81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  <c r="BS468" s="81"/>
      <c r="BT468" s="81"/>
      <c r="BU468" s="81"/>
      <c r="BV468" s="81"/>
      <c r="BW468" s="81"/>
      <c r="BX468" s="81"/>
      <c r="BY468" s="81"/>
      <c r="BZ468" s="81"/>
      <c r="CA468" s="81"/>
      <c r="CB468" s="81"/>
      <c r="CC468" s="81"/>
      <c r="CD468" s="81"/>
      <c r="CE468" s="81"/>
      <c r="CF468" s="81"/>
      <c r="CG468" s="81"/>
      <c r="CH468" s="81"/>
      <c r="CI468" s="81"/>
      <c r="CJ468" s="81"/>
      <c r="CK468" s="81"/>
      <c r="CL468" s="81"/>
      <c r="CM468" s="81"/>
      <c r="CN468" s="81"/>
      <c r="CO468" s="81"/>
      <c r="CP468" s="81"/>
      <c r="CQ468" s="81"/>
      <c r="CR468" s="81"/>
      <c r="CS468" s="81"/>
      <c r="CT468" s="81"/>
      <c r="CU468" s="81"/>
      <c r="CV468" s="81"/>
      <c r="CW468" s="81"/>
      <c r="CX468" s="81"/>
      <c r="CY468" s="81"/>
      <c r="CZ468" s="81"/>
      <c r="DA468" s="81"/>
      <c r="DB468" s="81"/>
      <c r="DC468" s="81"/>
      <c r="DD468" s="81"/>
      <c r="DE468" s="81"/>
      <c r="DF468" s="81"/>
      <c r="DG468" s="81"/>
      <c r="DH468" s="81"/>
      <c r="DI468" s="81"/>
      <c r="DJ468" s="81"/>
      <c r="DK468" s="81"/>
      <c r="DL468" s="81"/>
      <c r="DM468" s="81"/>
      <c r="DN468" s="81"/>
      <c r="DO468" s="81"/>
      <c r="DP468" s="81"/>
      <c r="DQ468" s="81"/>
      <c r="DR468" s="81"/>
      <c r="DS468" s="81"/>
      <c r="DT468" s="81"/>
      <c r="DU468" s="81"/>
      <c r="DV468" s="81"/>
      <c r="DW468" s="121"/>
    </row>
    <row r="469" spans="1:127" x14ac:dyDescent="0.25">
      <c r="A469" s="2">
        <f>COUNTIF($D$2:D469,'Reporte de Nomina'!$E$2)</f>
        <v>0</v>
      </c>
      <c r="B469" s="125">
        <f>Lista!A468</f>
        <v>0</v>
      </c>
      <c r="C469" s="125">
        <f>Lista!B468</f>
        <v>0</v>
      </c>
      <c r="D469" s="125">
        <f>Lista!C468</f>
        <v>0</v>
      </c>
      <c r="E469" s="125">
        <f>Lista!D468</f>
        <v>0</v>
      </c>
      <c r="F469" s="125">
        <f>Lista!E468</f>
        <v>0</v>
      </c>
      <c r="G469" s="125">
        <f>Lista!F468</f>
        <v>0</v>
      </c>
      <c r="H469" s="125">
        <f>Lista!G468</f>
        <v>0</v>
      </c>
      <c r="I469" s="125">
        <f>Lista!H468</f>
        <v>0</v>
      </c>
      <c r="J469" s="125">
        <f>Lista!I468</f>
        <v>0</v>
      </c>
      <c r="K469" s="125">
        <f>Lista!J468</f>
        <v>0</v>
      </c>
      <c r="L469" s="125">
        <f>Lista!K468</f>
        <v>0</v>
      </c>
      <c r="M469" s="125">
        <f>Lista!L468</f>
        <v>0</v>
      </c>
      <c r="N469" s="125">
        <f>Lista!M468</f>
        <v>0</v>
      </c>
      <c r="O469" s="125">
        <f>Lista!N468</f>
        <v>0</v>
      </c>
      <c r="P469" s="125">
        <f>Lista!O468</f>
        <v>0</v>
      </c>
      <c r="Q469" s="125">
        <f>Lista!P468</f>
        <v>0</v>
      </c>
      <c r="R469" s="125">
        <f>Lista!Q468</f>
        <v>0</v>
      </c>
      <c r="S469" s="125">
        <f>Lista!R468</f>
        <v>0</v>
      </c>
      <c r="T469" s="81"/>
      <c r="U469" s="81"/>
      <c r="V469" s="81"/>
      <c r="W469" s="81"/>
      <c r="X469" s="81"/>
      <c r="Y469" s="81"/>
      <c r="Z469" s="81"/>
      <c r="AA469" s="81"/>
      <c r="AB469" s="81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  <c r="BS469" s="81"/>
      <c r="BT469" s="81"/>
      <c r="BU469" s="81"/>
      <c r="BV469" s="81"/>
      <c r="BW469" s="81"/>
      <c r="BX469" s="81"/>
      <c r="BY469" s="81"/>
      <c r="BZ469" s="81"/>
      <c r="CA469" s="81"/>
      <c r="CB469" s="81"/>
      <c r="CC469" s="81"/>
      <c r="CD469" s="81"/>
      <c r="CE469" s="81"/>
      <c r="CF469" s="81"/>
      <c r="CG469" s="81"/>
      <c r="CH469" s="81"/>
      <c r="CI469" s="81"/>
      <c r="CJ469" s="81"/>
      <c r="CK469" s="81"/>
      <c r="CL469" s="81"/>
      <c r="CM469" s="81"/>
      <c r="CN469" s="81"/>
      <c r="CO469" s="81"/>
      <c r="CP469" s="81"/>
      <c r="CQ469" s="81"/>
      <c r="CR469" s="81"/>
      <c r="CS469" s="81"/>
      <c r="CT469" s="81"/>
      <c r="CU469" s="81"/>
      <c r="CV469" s="81"/>
      <c r="CW469" s="81"/>
      <c r="CX469" s="81"/>
      <c r="CY469" s="81"/>
      <c r="CZ469" s="81"/>
      <c r="DA469" s="81"/>
      <c r="DB469" s="81"/>
      <c r="DC469" s="81"/>
      <c r="DD469" s="81"/>
      <c r="DE469" s="81"/>
      <c r="DF469" s="81"/>
      <c r="DG469" s="81"/>
      <c r="DH469" s="81"/>
      <c r="DI469" s="81"/>
      <c r="DJ469" s="81"/>
      <c r="DK469" s="81"/>
      <c r="DL469" s="81"/>
      <c r="DM469" s="81"/>
      <c r="DN469" s="81"/>
      <c r="DO469" s="81"/>
      <c r="DP469" s="81"/>
      <c r="DQ469" s="81"/>
      <c r="DR469" s="81"/>
      <c r="DS469" s="81"/>
      <c r="DT469" s="81"/>
      <c r="DU469" s="81"/>
      <c r="DV469" s="81"/>
      <c r="DW469" s="121"/>
    </row>
    <row r="470" spans="1:127" x14ac:dyDescent="0.25">
      <c r="A470" s="2">
        <f>COUNTIF($D$2:D470,'Reporte de Nomina'!$E$2)</f>
        <v>0</v>
      </c>
      <c r="B470" s="125">
        <f>Lista!A469</f>
        <v>0</v>
      </c>
      <c r="C470" s="125">
        <f>Lista!B469</f>
        <v>0</v>
      </c>
      <c r="D470" s="125">
        <f>Lista!C469</f>
        <v>0</v>
      </c>
      <c r="E470" s="125">
        <f>Lista!D469</f>
        <v>0</v>
      </c>
      <c r="F470" s="125">
        <f>Lista!E469</f>
        <v>0</v>
      </c>
      <c r="G470" s="125">
        <f>Lista!F469</f>
        <v>0</v>
      </c>
      <c r="H470" s="125">
        <f>Lista!G469</f>
        <v>0</v>
      </c>
      <c r="I470" s="125">
        <f>Lista!H469</f>
        <v>0</v>
      </c>
      <c r="J470" s="125">
        <f>Lista!I469</f>
        <v>0</v>
      </c>
      <c r="K470" s="125">
        <f>Lista!J469</f>
        <v>0</v>
      </c>
      <c r="L470" s="125">
        <f>Lista!K469</f>
        <v>0</v>
      </c>
      <c r="M470" s="125">
        <f>Lista!L469</f>
        <v>0</v>
      </c>
      <c r="N470" s="125">
        <f>Lista!M469</f>
        <v>0</v>
      </c>
      <c r="O470" s="125">
        <f>Lista!N469</f>
        <v>0</v>
      </c>
      <c r="P470" s="125">
        <f>Lista!O469</f>
        <v>0</v>
      </c>
      <c r="Q470" s="125">
        <f>Lista!P469</f>
        <v>0</v>
      </c>
      <c r="R470" s="125">
        <f>Lista!Q469</f>
        <v>0</v>
      </c>
      <c r="S470" s="125">
        <f>Lista!R469</f>
        <v>0</v>
      </c>
      <c r="T470" s="81"/>
      <c r="U470" s="81"/>
      <c r="V470" s="81"/>
      <c r="W470" s="81"/>
      <c r="X470" s="81"/>
      <c r="Y470" s="81"/>
      <c r="Z470" s="81"/>
      <c r="AA470" s="81"/>
      <c r="AB470" s="81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  <c r="BS470" s="81"/>
      <c r="BT470" s="81"/>
      <c r="BU470" s="81"/>
      <c r="BV470" s="81"/>
      <c r="BW470" s="81"/>
      <c r="BX470" s="81"/>
      <c r="BY470" s="81"/>
      <c r="BZ470" s="81"/>
      <c r="CA470" s="81"/>
      <c r="CB470" s="81"/>
      <c r="CC470" s="81"/>
      <c r="CD470" s="81"/>
      <c r="CE470" s="81"/>
      <c r="CF470" s="81"/>
      <c r="CG470" s="81"/>
      <c r="CH470" s="81"/>
      <c r="CI470" s="81"/>
      <c r="CJ470" s="81"/>
      <c r="CK470" s="81"/>
      <c r="CL470" s="81"/>
      <c r="CM470" s="81"/>
      <c r="CN470" s="81"/>
      <c r="CO470" s="81"/>
      <c r="CP470" s="81"/>
      <c r="CQ470" s="81"/>
      <c r="CR470" s="81"/>
      <c r="CS470" s="81"/>
      <c r="CT470" s="81"/>
      <c r="CU470" s="81"/>
      <c r="CV470" s="81"/>
      <c r="CW470" s="81"/>
      <c r="CX470" s="81"/>
      <c r="CY470" s="81"/>
      <c r="CZ470" s="81"/>
      <c r="DA470" s="81"/>
      <c r="DB470" s="81"/>
      <c r="DC470" s="81"/>
      <c r="DD470" s="81"/>
      <c r="DE470" s="81"/>
      <c r="DF470" s="81"/>
      <c r="DG470" s="81"/>
      <c r="DH470" s="81"/>
      <c r="DI470" s="81"/>
      <c r="DJ470" s="81"/>
      <c r="DK470" s="81"/>
      <c r="DL470" s="81"/>
      <c r="DM470" s="81"/>
      <c r="DN470" s="81"/>
      <c r="DO470" s="81"/>
      <c r="DP470" s="81"/>
      <c r="DQ470" s="81"/>
      <c r="DR470" s="81"/>
      <c r="DS470" s="81"/>
      <c r="DT470" s="81"/>
      <c r="DU470" s="81"/>
      <c r="DV470" s="81"/>
      <c r="DW470" s="121"/>
    </row>
    <row r="471" spans="1:127" x14ac:dyDescent="0.25">
      <c r="A471" s="2">
        <f>COUNTIF($D$2:D471,'Reporte de Nomina'!$E$2)</f>
        <v>0</v>
      </c>
      <c r="B471" s="125">
        <f>Lista!A470</f>
        <v>0</v>
      </c>
      <c r="C471" s="125">
        <f>Lista!B470</f>
        <v>0</v>
      </c>
      <c r="D471" s="125">
        <f>Lista!C470</f>
        <v>0</v>
      </c>
      <c r="E471" s="125">
        <f>Lista!D470</f>
        <v>0</v>
      </c>
      <c r="F471" s="125">
        <f>Lista!E470</f>
        <v>0</v>
      </c>
      <c r="G471" s="125">
        <f>Lista!F470</f>
        <v>0</v>
      </c>
      <c r="H471" s="125">
        <f>Lista!G470</f>
        <v>0</v>
      </c>
      <c r="I471" s="125">
        <f>Lista!H470</f>
        <v>0</v>
      </c>
      <c r="J471" s="125">
        <f>Lista!I470</f>
        <v>0</v>
      </c>
      <c r="K471" s="125">
        <f>Lista!J470</f>
        <v>0</v>
      </c>
      <c r="L471" s="125">
        <f>Lista!K470</f>
        <v>0</v>
      </c>
      <c r="M471" s="125">
        <f>Lista!L470</f>
        <v>0</v>
      </c>
      <c r="N471" s="125">
        <f>Lista!M470</f>
        <v>0</v>
      </c>
      <c r="O471" s="125">
        <f>Lista!N470</f>
        <v>0</v>
      </c>
      <c r="P471" s="125">
        <f>Lista!O470</f>
        <v>0</v>
      </c>
      <c r="Q471" s="125">
        <f>Lista!P470</f>
        <v>0</v>
      </c>
      <c r="R471" s="125">
        <f>Lista!Q470</f>
        <v>0</v>
      </c>
      <c r="S471" s="125">
        <f>Lista!R470</f>
        <v>0</v>
      </c>
      <c r="T471" s="81"/>
      <c r="U471" s="81"/>
      <c r="V471" s="81"/>
      <c r="W471" s="81"/>
      <c r="X471" s="81"/>
      <c r="Y471" s="81"/>
      <c r="Z471" s="81"/>
      <c r="AA471" s="81"/>
      <c r="AB471" s="81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  <c r="BS471" s="81"/>
      <c r="BT471" s="81"/>
      <c r="BU471" s="81"/>
      <c r="BV471" s="81"/>
      <c r="BW471" s="81"/>
      <c r="BX471" s="81"/>
      <c r="BY471" s="81"/>
      <c r="BZ471" s="81"/>
      <c r="CA471" s="81"/>
      <c r="CB471" s="81"/>
      <c r="CC471" s="81"/>
      <c r="CD471" s="81"/>
      <c r="CE471" s="81"/>
      <c r="CF471" s="81"/>
      <c r="CG471" s="81"/>
      <c r="CH471" s="81"/>
      <c r="CI471" s="81"/>
      <c r="CJ471" s="81"/>
      <c r="CK471" s="81"/>
      <c r="CL471" s="81"/>
      <c r="CM471" s="81"/>
      <c r="CN471" s="81"/>
      <c r="CO471" s="81"/>
      <c r="CP471" s="81"/>
      <c r="CQ471" s="81"/>
      <c r="CR471" s="81"/>
      <c r="CS471" s="81"/>
      <c r="CT471" s="81"/>
      <c r="CU471" s="81"/>
      <c r="CV471" s="81"/>
      <c r="CW471" s="81"/>
      <c r="CX471" s="81"/>
      <c r="CY471" s="81"/>
      <c r="CZ471" s="81"/>
      <c r="DA471" s="81"/>
      <c r="DB471" s="81"/>
      <c r="DC471" s="81"/>
      <c r="DD471" s="81"/>
      <c r="DE471" s="81"/>
      <c r="DF471" s="81"/>
      <c r="DG471" s="81"/>
      <c r="DH471" s="81"/>
      <c r="DI471" s="81"/>
      <c r="DJ471" s="81"/>
      <c r="DK471" s="81"/>
      <c r="DL471" s="81"/>
      <c r="DM471" s="81"/>
      <c r="DN471" s="81"/>
      <c r="DO471" s="81"/>
      <c r="DP471" s="81"/>
      <c r="DQ471" s="81"/>
      <c r="DR471" s="81"/>
      <c r="DS471" s="81"/>
      <c r="DT471" s="81"/>
      <c r="DU471" s="81"/>
      <c r="DV471" s="81"/>
      <c r="DW471" s="121"/>
    </row>
    <row r="472" spans="1:127" x14ac:dyDescent="0.25">
      <c r="A472" s="2">
        <f>COUNTIF($D$2:D472,'Reporte de Nomina'!$E$2)</f>
        <v>0</v>
      </c>
      <c r="B472" s="125">
        <f>Lista!A471</f>
        <v>0</v>
      </c>
      <c r="C472" s="125">
        <f>Lista!B471</f>
        <v>0</v>
      </c>
      <c r="D472" s="125">
        <f>Lista!C471</f>
        <v>0</v>
      </c>
      <c r="E472" s="125">
        <f>Lista!D471</f>
        <v>0</v>
      </c>
      <c r="F472" s="125">
        <f>Lista!E471</f>
        <v>0</v>
      </c>
      <c r="G472" s="125">
        <f>Lista!F471</f>
        <v>0</v>
      </c>
      <c r="H472" s="125">
        <f>Lista!G471</f>
        <v>0</v>
      </c>
      <c r="I472" s="125">
        <f>Lista!H471</f>
        <v>0</v>
      </c>
      <c r="J472" s="125">
        <f>Lista!I471</f>
        <v>0</v>
      </c>
      <c r="K472" s="125">
        <f>Lista!J471</f>
        <v>0</v>
      </c>
      <c r="L472" s="125">
        <f>Lista!K471</f>
        <v>0</v>
      </c>
      <c r="M472" s="125">
        <f>Lista!L471</f>
        <v>0</v>
      </c>
      <c r="N472" s="125">
        <f>Lista!M471</f>
        <v>0</v>
      </c>
      <c r="O472" s="125">
        <f>Lista!N471</f>
        <v>0</v>
      </c>
      <c r="P472" s="125">
        <f>Lista!O471</f>
        <v>0</v>
      </c>
      <c r="Q472" s="125">
        <f>Lista!P471</f>
        <v>0</v>
      </c>
      <c r="R472" s="125">
        <f>Lista!Q471</f>
        <v>0</v>
      </c>
      <c r="S472" s="125">
        <f>Lista!R471</f>
        <v>0</v>
      </c>
      <c r="T472" s="81"/>
      <c r="U472" s="81"/>
      <c r="V472" s="81"/>
      <c r="W472" s="81"/>
      <c r="X472" s="81"/>
      <c r="Y472" s="81"/>
      <c r="Z472" s="81"/>
      <c r="AA472" s="81"/>
      <c r="AB472" s="81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  <c r="BS472" s="81"/>
      <c r="BT472" s="81"/>
      <c r="BU472" s="81"/>
      <c r="BV472" s="81"/>
      <c r="BW472" s="81"/>
      <c r="BX472" s="81"/>
      <c r="BY472" s="81"/>
      <c r="BZ472" s="81"/>
      <c r="CA472" s="81"/>
      <c r="CB472" s="81"/>
      <c r="CC472" s="81"/>
      <c r="CD472" s="81"/>
      <c r="CE472" s="81"/>
      <c r="CF472" s="81"/>
      <c r="CG472" s="81"/>
      <c r="CH472" s="81"/>
      <c r="CI472" s="81"/>
      <c r="CJ472" s="81"/>
      <c r="CK472" s="81"/>
      <c r="CL472" s="81"/>
      <c r="CM472" s="81"/>
      <c r="CN472" s="81"/>
      <c r="CO472" s="81"/>
      <c r="CP472" s="81"/>
      <c r="CQ472" s="81"/>
      <c r="CR472" s="81"/>
      <c r="CS472" s="81"/>
      <c r="CT472" s="81"/>
      <c r="CU472" s="81"/>
      <c r="CV472" s="81"/>
      <c r="CW472" s="81"/>
      <c r="CX472" s="81"/>
      <c r="CY472" s="81"/>
      <c r="CZ472" s="81"/>
      <c r="DA472" s="81"/>
      <c r="DB472" s="81"/>
      <c r="DC472" s="81"/>
      <c r="DD472" s="81"/>
      <c r="DE472" s="81"/>
      <c r="DF472" s="81"/>
      <c r="DG472" s="81"/>
      <c r="DH472" s="81"/>
      <c r="DI472" s="81"/>
      <c r="DJ472" s="81"/>
      <c r="DK472" s="81"/>
      <c r="DL472" s="81"/>
      <c r="DM472" s="81"/>
      <c r="DN472" s="81"/>
      <c r="DO472" s="81"/>
      <c r="DP472" s="81"/>
      <c r="DQ472" s="81"/>
      <c r="DR472" s="81"/>
      <c r="DS472" s="81"/>
      <c r="DT472" s="81"/>
      <c r="DU472" s="81"/>
      <c r="DV472" s="81"/>
      <c r="DW472" s="121"/>
    </row>
    <row r="473" spans="1:127" x14ac:dyDescent="0.25">
      <c r="A473" s="2">
        <f>COUNTIF($D$2:D473,'Reporte de Nomina'!$E$2)</f>
        <v>0</v>
      </c>
      <c r="B473" s="125">
        <f>Lista!A472</f>
        <v>0</v>
      </c>
      <c r="C473" s="125">
        <f>Lista!B472</f>
        <v>0</v>
      </c>
      <c r="D473" s="125">
        <f>Lista!C472</f>
        <v>0</v>
      </c>
      <c r="E473" s="125">
        <f>Lista!D472</f>
        <v>0</v>
      </c>
      <c r="F473" s="125">
        <f>Lista!E472</f>
        <v>0</v>
      </c>
      <c r="G473" s="125">
        <f>Lista!F472</f>
        <v>0</v>
      </c>
      <c r="H473" s="125">
        <f>Lista!G472</f>
        <v>0</v>
      </c>
      <c r="I473" s="125">
        <f>Lista!H472</f>
        <v>0</v>
      </c>
      <c r="J473" s="125">
        <f>Lista!I472</f>
        <v>0</v>
      </c>
      <c r="K473" s="125">
        <f>Lista!J472</f>
        <v>0</v>
      </c>
      <c r="L473" s="125">
        <f>Lista!K472</f>
        <v>0</v>
      </c>
      <c r="M473" s="125">
        <f>Lista!L472</f>
        <v>0</v>
      </c>
      <c r="N473" s="125">
        <f>Lista!M472</f>
        <v>0</v>
      </c>
      <c r="O473" s="125">
        <f>Lista!N472</f>
        <v>0</v>
      </c>
      <c r="P473" s="125">
        <f>Lista!O472</f>
        <v>0</v>
      </c>
      <c r="Q473" s="125">
        <f>Lista!P472</f>
        <v>0</v>
      </c>
      <c r="R473" s="125">
        <f>Lista!Q472</f>
        <v>0</v>
      </c>
      <c r="S473" s="125">
        <f>Lista!R472</f>
        <v>0</v>
      </c>
      <c r="T473" s="81"/>
      <c r="U473" s="81"/>
      <c r="V473" s="81"/>
      <c r="W473" s="81"/>
      <c r="X473" s="81"/>
      <c r="Y473" s="81"/>
      <c r="Z473" s="81"/>
      <c r="AA473" s="81"/>
      <c r="AB473" s="81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  <c r="BS473" s="81"/>
      <c r="BT473" s="81"/>
      <c r="BU473" s="81"/>
      <c r="BV473" s="81"/>
      <c r="BW473" s="81"/>
      <c r="BX473" s="81"/>
      <c r="BY473" s="81"/>
      <c r="BZ473" s="81"/>
      <c r="CA473" s="81"/>
      <c r="CB473" s="81"/>
      <c r="CC473" s="81"/>
      <c r="CD473" s="81"/>
      <c r="CE473" s="81"/>
      <c r="CF473" s="81"/>
      <c r="CG473" s="81"/>
      <c r="CH473" s="81"/>
      <c r="CI473" s="81"/>
      <c r="CJ473" s="81"/>
      <c r="CK473" s="81"/>
      <c r="CL473" s="81"/>
      <c r="CM473" s="81"/>
      <c r="CN473" s="81"/>
      <c r="CO473" s="81"/>
      <c r="CP473" s="81"/>
      <c r="CQ473" s="81"/>
      <c r="CR473" s="81"/>
      <c r="CS473" s="81"/>
      <c r="CT473" s="81"/>
      <c r="CU473" s="81"/>
      <c r="CV473" s="81"/>
      <c r="CW473" s="81"/>
      <c r="CX473" s="81"/>
      <c r="CY473" s="81"/>
      <c r="CZ473" s="81"/>
      <c r="DA473" s="81"/>
      <c r="DB473" s="81"/>
      <c r="DC473" s="81"/>
      <c r="DD473" s="81"/>
      <c r="DE473" s="81"/>
      <c r="DF473" s="81"/>
      <c r="DG473" s="81"/>
      <c r="DH473" s="81"/>
      <c r="DI473" s="81"/>
      <c r="DJ473" s="81"/>
      <c r="DK473" s="81"/>
      <c r="DL473" s="81"/>
      <c r="DM473" s="81"/>
      <c r="DN473" s="81"/>
      <c r="DO473" s="81"/>
      <c r="DP473" s="81"/>
      <c r="DQ473" s="81"/>
      <c r="DR473" s="81"/>
      <c r="DS473" s="81"/>
      <c r="DT473" s="81"/>
      <c r="DU473" s="81"/>
      <c r="DV473" s="81"/>
      <c r="DW473" s="121"/>
    </row>
    <row r="474" spans="1:127" x14ac:dyDescent="0.25">
      <c r="A474" s="2">
        <f>COUNTIF($D$2:D474,'Reporte de Nomina'!$E$2)</f>
        <v>0</v>
      </c>
      <c r="B474" s="125">
        <f>Lista!A473</f>
        <v>0</v>
      </c>
      <c r="C474" s="125">
        <f>Lista!B473</f>
        <v>0</v>
      </c>
      <c r="D474" s="125">
        <f>Lista!C473</f>
        <v>0</v>
      </c>
      <c r="E474" s="125">
        <f>Lista!D473</f>
        <v>0</v>
      </c>
      <c r="F474" s="125">
        <f>Lista!E473</f>
        <v>0</v>
      </c>
      <c r="G474" s="125">
        <f>Lista!F473</f>
        <v>0</v>
      </c>
      <c r="H474" s="125">
        <f>Lista!G473</f>
        <v>0</v>
      </c>
      <c r="I474" s="125">
        <f>Lista!H473</f>
        <v>0</v>
      </c>
      <c r="J474" s="125">
        <f>Lista!I473</f>
        <v>0</v>
      </c>
      <c r="K474" s="125">
        <f>Lista!J473</f>
        <v>0</v>
      </c>
      <c r="L474" s="125">
        <f>Lista!K473</f>
        <v>0</v>
      </c>
      <c r="M474" s="125">
        <f>Lista!L473</f>
        <v>0</v>
      </c>
      <c r="N474" s="125">
        <f>Lista!M473</f>
        <v>0</v>
      </c>
      <c r="O474" s="125">
        <f>Lista!N473</f>
        <v>0</v>
      </c>
      <c r="P474" s="125">
        <f>Lista!O473</f>
        <v>0</v>
      </c>
      <c r="Q474" s="125">
        <f>Lista!P473</f>
        <v>0</v>
      </c>
      <c r="R474" s="125">
        <f>Lista!Q473</f>
        <v>0</v>
      </c>
      <c r="S474" s="125">
        <f>Lista!R473</f>
        <v>0</v>
      </c>
      <c r="T474" s="81"/>
      <c r="U474" s="81"/>
      <c r="V474" s="81"/>
      <c r="W474" s="81"/>
      <c r="X474" s="81"/>
      <c r="Y474" s="81"/>
      <c r="Z474" s="81"/>
      <c r="AA474" s="81"/>
      <c r="AB474" s="81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  <c r="BS474" s="81"/>
      <c r="BT474" s="81"/>
      <c r="BU474" s="81"/>
      <c r="BV474" s="81"/>
      <c r="BW474" s="81"/>
      <c r="BX474" s="81"/>
      <c r="BY474" s="81"/>
      <c r="BZ474" s="81"/>
      <c r="CA474" s="81"/>
      <c r="CB474" s="81"/>
      <c r="CC474" s="81"/>
      <c r="CD474" s="81"/>
      <c r="CE474" s="81"/>
      <c r="CF474" s="81"/>
      <c r="CG474" s="81"/>
      <c r="CH474" s="81"/>
      <c r="CI474" s="81"/>
      <c r="CJ474" s="81"/>
      <c r="CK474" s="81"/>
      <c r="CL474" s="81"/>
      <c r="CM474" s="81"/>
      <c r="CN474" s="81"/>
      <c r="CO474" s="81"/>
      <c r="CP474" s="81"/>
      <c r="CQ474" s="81"/>
      <c r="CR474" s="81"/>
      <c r="CS474" s="81"/>
      <c r="CT474" s="81"/>
      <c r="CU474" s="81"/>
      <c r="CV474" s="81"/>
      <c r="CW474" s="81"/>
      <c r="CX474" s="81"/>
      <c r="CY474" s="81"/>
      <c r="CZ474" s="81"/>
      <c r="DA474" s="81"/>
      <c r="DB474" s="81"/>
      <c r="DC474" s="81"/>
      <c r="DD474" s="81"/>
      <c r="DE474" s="81"/>
      <c r="DF474" s="81"/>
      <c r="DG474" s="81"/>
      <c r="DH474" s="81"/>
      <c r="DI474" s="81"/>
      <c r="DJ474" s="81"/>
      <c r="DK474" s="81"/>
      <c r="DL474" s="81"/>
      <c r="DM474" s="81"/>
      <c r="DN474" s="81"/>
      <c r="DO474" s="81"/>
      <c r="DP474" s="81"/>
      <c r="DQ474" s="81"/>
      <c r="DR474" s="81"/>
      <c r="DS474" s="81"/>
      <c r="DT474" s="81"/>
      <c r="DU474" s="81"/>
      <c r="DV474" s="81"/>
      <c r="DW474" s="121"/>
    </row>
    <row r="475" spans="1:127" x14ac:dyDescent="0.25">
      <c r="A475" s="2">
        <f>COUNTIF($D$2:D475,'Reporte de Nomina'!$E$2)</f>
        <v>0</v>
      </c>
      <c r="B475" s="125">
        <f>Lista!A474</f>
        <v>0</v>
      </c>
      <c r="C475" s="125">
        <f>Lista!B474</f>
        <v>0</v>
      </c>
      <c r="D475" s="125">
        <f>Lista!C474</f>
        <v>0</v>
      </c>
      <c r="E475" s="125">
        <f>Lista!D474</f>
        <v>0</v>
      </c>
      <c r="F475" s="125">
        <f>Lista!E474</f>
        <v>0</v>
      </c>
      <c r="G475" s="125">
        <f>Lista!F474</f>
        <v>0</v>
      </c>
      <c r="H475" s="125">
        <f>Lista!G474</f>
        <v>0</v>
      </c>
      <c r="I475" s="125">
        <f>Lista!H474</f>
        <v>0</v>
      </c>
      <c r="J475" s="125">
        <f>Lista!I474</f>
        <v>0</v>
      </c>
      <c r="K475" s="125">
        <f>Lista!J474</f>
        <v>0</v>
      </c>
      <c r="L475" s="125">
        <f>Lista!K474</f>
        <v>0</v>
      </c>
      <c r="M475" s="125">
        <f>Lista!L474</f>
        <v>0</v>
      </c>
      <c r="N475" s="125">
        <f>Lista!M474</f>
        <v>0</v>
      </c>
      <c r="O475" s="125">
        <f>Lista!N474</f>
        <v>0</v>
      </c>
      <c r="P475" s="125">
        <f>Lista!O474</f>
        <v>0</v>
      </c>
      <c r="Q475" s="125">
        <f>Lista!P474</f>
        <v>0</v>
      </c>
      <c r="R475" s="125">
        <f>Lista!Q474</f>
        <v>0</v>
      </c>
      <c r="S475" s="125">
        <f>Lista!R474</f>
        <v>0</v>
      </c>
      <c r="T475" s="81"/>
      <c r="U475" s="81"/>
      <c r="V475" s="81"/>
      <c r="W475" s="81"/>
      <c r="X475" s="81"/>
      <c r="Y475" s="81"/>
      <c r="Z475" s="81"/>
      <c r="AA475" s="81"/>
      <c r="AB475" s="81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  <c r="BS475" s="81"/>
      <c r="BT475" s="81"/>
      <c r="BU475" s="81"/>
      <c r="BV475" s="81"/>
      <c r="BW475" s="81"/>
      <c r="BX475" s="81"/>
      <c r="BY475" s="81"/>
      <c r="BZ475" s="81"/>
      <c r="CA475" s="81"/>
      <c r="CB475" s="81"/>
      <c r="CC475" s="81"/>
      <c r="CD475" s="81"/>
      <c r="CE475" s="81"/>
      <c r="CF475" s="81"/>
      <c r="CG475" s="81"/>
      <c r="CH475" s="81"/>
      <c r="CI475" s="81"/>
      <c r="CJ475" s="81"/>
      <c r="CK475" s="81"/>
      <c r="CL475" s="81"/>
      <c r="CM475" s="81"/>
      <c r="CN475" s="81"/>
      <c r="CO475" s="81"/>
      <c r="CP475" s="81"/>
      <c r="CQ475" s="81"/>
      <c r="CR475" s="81"/>
      <c r="CS475" s="81"/>
      <c r="CT475" s="81"/>
      <c r="CU475" s="81"/>
      <c r="CV475" s="81"/>
      <c r="CW475" s="81"/>
      <c r="CX475" s="81"/>
      <c r="CY475" s="81"/>
      <c r="CZ475" s="81"/>
      <c r="DA475" s="81"/>
      <c r="DB475" s="81"/>
      <c r="DC475" s="81"/>
      <c r="DD475" s="81"/>
      <c r="DE475" s="81"/>
      <c r="DF475" s="81"/>
      <c r="DG475" s="81"/>
      <c r="DH475" s="81"/>
      <c r="DI475" s="81"/>
      <c r="DJ475" s="81"/>
      <c r="DK475" s="81"/>
      <c r="DL475" s="81"/>
      <c r="DM475" s="81"/>
      <c r="DN475" s="81"/>
      <c r="DO475" s="81"/>
      <c r="DP475" s="81"/>
      <c r="DQ475" s="81"/>
      <c r="DR475" s="81"/>
      <c r="DS475" s="81"/>
      <c r="DT475" s="81"/>
      <c r="DU475" s="81"/>
      <c r="DV475" s="81"/>
      <c r="DW475" s="121"/>
    </row>
    <row r="476" spans="1:127" x14ac:dyDescent="0.25">
      <c r="A476" s="2">
        <f>COUNTIF($D$2:D476,'Reporte de Nomina'!$E$2)</f>
        <v>0</v>
      </c>
      <c r="B476" s="125">
        <f>Lista!A475</f>
        <v>0</v>
      </c>
      <c r="C476" s="125">
        <f>Lista!B475</f>
        <v>0</v>
      </c>
      <c r="D476" s="125">
        <f>Lista!C475</f>
        <v>0</v>
      </c>
      <c r="E476" s="125">
        <f>Lista!D475</f>
        <v>0</v>
      </c>
      <c r="F476" s="125">
        <f>Lista!E475</f>
        <v>0</v>
      </c>
      <c r="G476" s="125">
        <f>Lista!F475</f>
        <v>0</v>
      </c>
      <c r="H476" s="125">
        <f>Lista!G475</f>
        <v>0</v>
      </c>
      <c r="I476" s="125">
        <f>Lista!H475</f>
        <v>0</v>
      </c>
      <c r="J476" s="125">
        <f>Lista!I475</f>
        <v>0</v>
      </c>
      <c r="K476" s="125">
        <f>Lista!J475</f>
        <v>0</v>
      </c>
      <c r="L476" s="125">
        <f>Lista!K475</f>
        <v>0</v>
      </c>
      <c r="M476" s="125">
        <f>Lista!L475</f>
        <v>0</v>
      </c>
      <c r="N476" s="125">
        <f>Lista!M475</f>
        <v>0</v>
      </c>
      <c r="O476" s="125">
        <f>Lista!N475</f>
        <v>0</v>
      </c>
      <c r="P476" s="125">
        <f>Lista!O475</f>
        <v>0</v>
      </c>
      <c r="Q476" s="125">
        <f>Lista!P475</f>
        <v>0</v>
      </c>
      <c r="R476" s="125">
        <f>Lista!Q475</f>
        <v>0</v>
      </c>
      <c r="S476" s="125">
        <f>Lista!R475</f>
        <v>0</v>
      </c>
      <c r="T476" s="81"/>
      <c r="U476" s="81"/>
      <c r="V476" s="81"/>
      <c r="W476" s="81"/>
      <c r="X476" s="81"/>
      <c r="Y476" s="81"/>
      <c r="Z476" s="81"/>
      <c r="AA476" s="81"/>
      <c r="AB476" s="81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  <c r="BS476" s="81"/>
      <c r="BT476" s="81"/>
      <c r="BU476" s="81"/>
      <c r="BV476" s="81"/>
      <c r="BW476" s="81"/>
      <c r="BX476" s="81"/>
      <c r="BY476" s="81"/>
      <c r="BZ476" s="81"/>
      <c r="CA476" s="81"/>
      <c r="CB476" s="81"/>
      <c r="CC476" s="81"/>
      <c r="CD476" s="81"/>
      <c r="CE476" s="81"/>
      <c r="CF476" s="81"/>
      <c r="CG476" s="81"/>
      <c r="CH476" s="81"/>
      <c r="CI476" s="81"/>
      <c r="CJ476" s="81"/>
      <c r="CK476" s="81"/>
      <c r="CL476" s="81"/>
      <c r="CM476" s="81"/>
      <c r="CN476" s="81"/>
      <c r="CO476" s="81"/>
      <c r="CP476" s="81"/>
      <c r="CQ476" s="81"/>
      <c r="CR476" s="81"/>
      <c r="CS476" s="81"/>
      <c r="CT476" s="81"/>
      <c r="CU476" s="81"/>
      <c r="CV476" s="81"/>
      <c r="CW476" s="81"/>
      <c r="CX476" s="81"/>
      <c r="CY476" s="81"/>
      <c r="CZ476" s="81"/>
      <c r="DA476" s="81"/>
      <c r="DB476" s="81"/>
      <c r="DC476" s="81"/>
      <c r="DD476" s="81"/>
      <c r="DE476" s="81"/>
      <c r="DF476" s="81"/>
      <c r="DG476" s="81"/>
      <c r="DH476" s="81"/>
      <c r="DI476" s="81"/>
      <c r="DJ476" s="81"/>
      <c r="DK476" s="81"/>
      <c r="DL476" s="81"/>
      <c r="DM476" s="81"/>
      <c r="DN476" s="81"/>
      <c r="DO476" s="81"/>
      <c r="DP476" s="81"/>
      <c r="DQ476" s="81"/>
      <c r="DR476" s="81"/>
      <c r="DS476" s="81"/>
      <c r="DT476" s="81"/>
      <c r="DU476" s="81"/>
      <c r="DV476" s="81"/>
      <c r="DW476" s="121"/>
    </row>
    <row r="477" spans="1:127" x14ac:dyDescent="0.25">
      <c r="A477" s="2">
        <f>COUNTIF($D$2:D477,'Reporte de Nomina'!$E$2)</f>
        <v>0</v>
      </c>
      <c r="B477" s="125">
        <f>Lista!A476</f>
        <v>0</v>
      </c>
      <c r="C477" s="125">
        <f>Lista!B476</f>
        <v>0</v>
      </c>
      <c r="D477" s="125">
        <f>Lista!C476</f>
        <v>0</v>
      </c>
      <c r="E477" s="125">
        <f>Lista!D476</f>
        <v>0</v>
      </c>
      <c r="F477" s="125">
        <f>Lista!E476</f>
        <v>0</v>
      </c>
      <c r="G477" s="125">
        <f>Lista!F476</f>
        <v>0</v>
      </c>
      <c r="H477" s="125">
        <f>Lista!G476</f>
        <v>0</v>
      </c>
      <c r="I477" s="125">
        <f>Lista!H476</f>
        <v>0</v>
      </c>
      <c r="J477" s="125">
        <f>Lista!I476</f>
        <v>0</v>
      </c>
      <c r="K477" s="125">
        <f>Lista!J476</f>
        <v>0</v>
      </c>
      <c r="L477" s="125">
        <f>Lista!K476</f>
        <v>0</v>
      </c>
      <c r="M477" s="125">
        <f>Lista!L476</f>
        <v>0</v>
      </c>
      <c r="N477" s="125">
        <f>Lista!M476</f>
        <v>0</v>
      </c>
      <c r="O477" s="125">
        <f>Lista!N476</f>
        <v>0</v>
      </c>
      <c r="P477" s="125">
        <f>Lista!O476</f>
        <v>0</v>
      </c>
      <c r="Q477" s="125">
        <f>Lista!P476</f>
        <v>0</v>
      </c>
      <c r="R477" s="125">
        <f>Lista!Q476</f>
        <v>0</v>
      </c>
      <c r="S477" s="125">
        <f>Lista!R476</f>
        <v>0</v>
      </c>
      <c r="T477" s="81"/>
      <c r="U477" s="81"/>
      <c r="V477" s="81"/>
      <c r="W477" s="81"/>
      <c r="X477" s="81"/>
      <c r="Y477" s="81"/>
      <c r="Z477" s="81"/>
      <c r="AA477" s="81"/>
      <c r="AB477" s="81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  <c r="BS477" s="81"/>
      <c r="BT477" s="81"/>
      <c r="BU477" s="81"/>
      <c r="BV477" s="81"/>
      <c r="BW477" s="81"/>
      <c r="BX477" s="81"/>
      <c r="BY477" s="81"/>
      <c r="BZ477" s="81"/>
      <c r="CA477" s="81"/>
      <c r="CB477" s="81"/>
      <c r="CC477" s="81"/>
      <c r="CD477" s="81"/>
      <c r="CE477" s="81"/>
      <c r="CF477" s="81"/>
      <c r="CG477" s="81"/>
      <c r="CH477" s="81"/>
      <c r="CI477" s="81"/>
      <c r="CJ477" s="81"/>
      <c r="CK477" s="81"/>
      <c r="CL477" s="81"/>
      <c r="CM477" s="81"/>
      <c r="CN477" s="81"/>
      <c r="CO477" s="81"/>
      <c r="CP477" s="81"/>
      <c r="CQ477" s="81"/>
      <c r="CR477" s="81"/>
      <c r="CS477" s="81"/>
      <c r="CT477" s="81"/>
      <c r="CU477" s="81"/>
      <c r="CV477" s="81"/>
      <c r="CW477" s="81"/>
      <c r="CX477" s="81"/>
      <c r="CY477" s="81"/>
      <c r="CZ477" s="81"/>
      <c r="DA477" s="81"/>
      <c r="DB477" s="81"/>
      <c r="DC477" s="81"/>
      <c r="DD477" s="81"/>
      <c r="DE477" s="81"/>
      <c r="DF477" s="81"/>
      <c r="DG477" s="81"/>
      <c r="DH477" s="81"/>
      <c r="DI477" s="81"/>
      <c r="DJ477" s="81"/>
      <c r="DK477" s="81"/>
      <c r="DL477" s="81"/>
      <c r="DM477" s="81"/>
      <c r="DN477" s="81"/>
      <c r="DO477" s="81"/>
      <c r="DP477" s="81"/>
      <c r="DQ477" s="81"/>
      <c r="DR477" s="81"/>
      <c r="DS477" s="81"/>
      <c r="DT477" s="81"/>
      <c r="DU477" s="81"/>
      <c r="DV477" s="81"/>
      <c r="DW477" s="121"/>
    </row>
    <row r="478" spans="1:127" x14ac:dyDescent="0.25">
      <c r="A478" s="2">
        <f>COUNTIF($D$2:D478,'Reporte de Nomina'!$E$2)</f>
        <v>0</v>
      </c>
      <c r="B478" s="125">
        <f>Lista!A477</f>
        <v>0</v>
      </c>
      <c r="C478" s="125">
        <f>Lista!B477</f>
        <v>0</v>
      </c>
      <c r="D478" s="125">
        <f>Lista!C477</f>
        <v>0</v>
      </c>
      <c r="E478" s="125">
        <f>Lista!D477</f>
        <v>0</v>
      </c>
      <c r="F478" s="125">
        <f>Lista!E477</f>
        <v>0</v>
      </c>
      <c r="G478" s="125">
        <f>Lista!F477</f>
        <v>0</v>
      </c>
      <c r="H478" s="125">
        <f>Lista!G477</f>
        <v>0</v>
      </c>
      <c r="I478" s="125">
        <f>Lista!H477</f>
        <v>0</v>
      </c>
      <c r="J478" s="125">
        <f>Lista!I477</f>
        <v>0</v>
      </c>
      <c r="K478" s="125">
        <f>Lista!J477</f>
        <v>0</v>
      </c>
      <c r="L478" s="125">
        <f>Lista!K477</f>
        <v>0</v>
      </c>
      <c r="M478" s="125">
        <f>Lista!L477</f>
        <v>0</v>
      </c>
      <c r="N478" s="125">
        <f>Lista!M477</f>
        <v>0</v>
      </c>
      <c r="O478" s="125">
        <f>Lista!N477</f>
        <v>0</v>
      </c>
      <c r="P478" s="125">
        <f>Lista!O477</f>
        <v>0</v>
      </c>
      <c r="Q478" s="125">
        <f>Lista!P477</f>
        <v>0</v>
      </c>
      <c r="R478" s="125">
        <f>Lista!Q477</f>
        <v>0</v>
      </c>
      <c r="S478" s="125">
        <f>Lista!R477</f>
        <v>0</v>
      </c>
      <c r="T478" s="81"/>
      <c r="U478" s="81"/>
      <c r="V478" s="81"/>
      <c r="W478" s="81"/>
      <c r="X478" s="81"/>
      <c r="Y478" s="81"/>
      <c r="Z478" s="81"/>
      <c r="AA478" s="81"/>
      <c r="AB478" s="81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  <c r="BS478" s="81"/>
      <c r="BT478" s="81"/>
      <c r="BU478" s="81"/>
      <c r="BV478" s="81"/>
      <c r="BW478" s="81"/>
      <c r="BX478" s="81"/>
      <c r="BY478" s="81"/>
      <c r="BZ478" s="81"/>
      <c r="CA478" s="81"/>
      <c r="CB478" s="81"/>
      <c r="CC478" s="81"/>
      <c r="CD478" s="81"/>
      <c r="CE478" s="81"/>
      <c r="CF478" s="81"/>
      <c r="CG478" s="81"/>
      <c r="CH478" s="81"/>
      <c r="CI478" s="81"/>
      <c r="CJ478" s="81"/>
      <c r="CK478" s="81"/>
      <c r="CL478" s="81"/>
      <c r="CM478" s="81"/>
      <c r="CN478" s="81"/>
      <c r="CO478" s="81"/>
      <c r="CP478" s="81"/>
      <c r="CQ478" s="81"/>
      <c r="CR478" s="81"/>
      <c r="CS478" s="81"/>
      <c r="CT478" s="81"/>
      <c r="CU478" s="81"/>
      <c r="CV478" s="81"/>
      <c r="CW478" s="81"/>
      <c r="CX478" s="81"/>
      <c r="CY478" s="81"/>
      <c r="CZ478" s="81"/>
      <c r="DA478" s="81"/>
      <c r="DB478" s="81"/>
      <c r="DC478" s="81"/>
      <c r="DD478" s="81"/>
      <c r="DE478" s="81"/>
      <c r="DF478" s="81"/>
      <c r="DG478" s="81"/>
      <c r="DH478" s="81"/>
      <c r="DI478" s="81"/>
      <c r="DJ478" s="81"/>
      <c r="DK478" s="81"/>
      <c r="DL478" s="81"/>
      <c r="DM478" s="81"/>
      <c r="DN478" s="81"/>
      <c r="DO478" s="81"/>
      <c r="DP478" s="81"/>
      <c r="DQ478" s="81"/>
      <c r="DR478" s="81"/>
      <c r="DS478" s="81"/>
      <c r="DT478" s="81"/>
      <c r="DU478" s="81"/>
      <c r="DV478" s="81"/>
      <c r="DW478" s="121"/>
    </row>
    <row r="479" spans="1:127" x14ac:dyDescent="0.25">
      <c r="A479" s="2">
        <f>COUNTIF($D$2:D479,'Reporte de Nomina'!$E$2)</f>
        <v>0</v>
      </c>
      <c r="B479" s="125">
        <f>Lista!A478</f>
        <v>0</v>
      </c>
      <c r="C479" s="125">
        <f>Lista!B478</f>
        <v>0</v>
      </c>
      <c r="D479" s="125">
        <f>Lista!C478</f>
        <v>0</v>
      </c>
      <c r="E479" s="125">
        <f>Lista!D478</f>
        <v>0</v>
      </c>
      <c r="F479" s="125">
        <f>Lista!E478</f>
        <v>0</v>
      </c>
      <c r="G479" s="125">
        <f>Lista!F478</f>
        <v>0</v>
      </c>
      <c r="H479" s="125">
        <f>Lista!G478</f>
        <v>0</v>
      </c>
      <c r="I479" s="125">
        <f>Lista!H478</f>
        <v>0</v>
      </c>
      <c r="J479" s="125">
        <f>Lista!I478</f>
        <v>0</v>
      </c>
      <c r="K479" s="125">
        <f>Lista!J478</f>
        <v>0</v>
      </c>
      <c r="L479" s="125">
        <f>Lista!K478</f>
        <v>0</v>
      </c>
      <c r="M479" s="125">
        <f>Lista!L478</f>
        <v>0</v>
      </c>
      <c r="N479" s="125">
        <f>Lista!M478</f>
        <v>0</v>
      </c>
      <c r="O479" s="125">
        <f>Lista!N478</f>
        <v>0</v>
      </c>
      <c r="P479" s="125">
        <f>Lista!O478</f>
        <v>0</v>
      </c>
      <c r="Q479" s="125">
        <f>Lista!P478</f>
        <v>0</v>
      </c>
      <c r="R479" s="125">
        <f>Lista!Q478</f>
        <v>0</v>
      </c>
      <c r="S479" s="125">
        <f>Lista!R478</f>
        <v>0</v>
      </c>
      <c r="T479" s="81"/>
      <c r="U479" s="81"/>
      <c r="V479" s="81"/>
      <c r="W479" s="81"/>
      <c r="X479" s="81"/>
      <c r="Y479" s="81"/>
      <c r="Z479" s="81"/>
      <c r="AA479" s="81"/>
      <c r="AB479" s="81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  <c r="BS479" s="81"/>
      <c r="BT479" s="81"/>
      <c r="BU479" s="81"/>
      <c r="BV479" s="81"/>
      <c r="BW479" s="81"/>
      <c r="BX479" s="81"/>
      <c r="BY479" s="81"/>
      <c r="BZ479" s="81"/>
      <c r="CA479" s="81"/>
      <c r="CB479" s="81"/>
      <c r="CC479" s="81"/>
      <c r="CD479" s="81"/>
      <c r="CE479" s="81"/>
      <c r="CF479" s="81"/>
      <c r="CG479" s="81"/>
      <c r="CH479" s="81"/>
      <c r="CI479" s="81"/>
      <c r="CJ479" s="81"/>
      <c r="CK479" s="81"/>
      <c r="CL479" s="81"/>
      <c r="CM479" s="81"/>
      <c r="CN479" s="81"/>
      <c r="CO479" s="81"/>
      <c r="CP479" s="81"/>
      <c r="CQ479" s="81"/>
      <c r="CR479" s="81"/>
      <c r="CS479" s="81"/>
      <c r="CT479" s="81"/>
      <c r="CU479" s="81"/>
      <c r="CV479" s="81"/>
      <c r="CW479" s="81"/>
      <c r="CX479" s="81"/>
      <c r="CY479" s="81"/>
      <c r="CZ479" s="81"/>
      <c r="DA479" s="81"/>
      <c r="DB479" s="81"/>
      <c r="DC479" s="81"/>
      <c r="DD479" s="81"/>
      <c r="DE479" s="81"/>
      <c r="DF479" s="81"/>
      <c r="DG479" s="81"/>
      <c r="DH479" s="81"/>
      <c r="DI479" s="81"/>
      <c r="DJ479" s="81"/>
      <c r="DK479" s="81"/>
      <c r="DL479" s="81"/>
      <c r="DM479" s="81"/>
      <c r="DN479" s="81"/>
      <c r="DO479" s="81"/>
      <c r="DP479" s="81"/>
      <c r="DQ479" s="81"/>
      <c r="DR479" s="81"/>
      <c r="DS479" s="81"/>
      <c r="DT479" s="81"/>
      <c r="DU479" s="81"/>
      <c r="DV479" s="81"/>
      <c r="DW479" s="121"/>
    </row>
    <row r="480" spans="1:127" x14ac:dyDescent="0.25">
      <c r="A480" s="2">
        <f>COUNTIF($D$2:D480,'Reporte de Nomina'!$E$2)</f>
        <v>0</v>
      </c>
      <c r="B480" s="125">
        <f>Lista!A479</f>
        <v>0</v>
      </c>
      <c r="C480" s="125">
        <f>Lista!B479</f>
        <v>0</v>
      </c>
      <c r="D480" s="125">
        <f>Lista!C479</f>
        <v>0</v>
      </c>
      <c r="E480" s="125">
        <f>Lista!D479</f>
        <v>0</v>
      </c>
      <c r="F480" s="125">
        <f>Lista!E479</f>
        <v>0</v>
      </c>
      <c r="G480" s="125">
        <f>Lista!F479</f>
        <v>0</v>
      </c>
      <c r="H480" s="125">
        <f>Lista!G479</f>
        <v>0</v>
      </c>
      <c r="I480" s="125">
        <f>Lista!H479</f>
        <v>0</v>
      </c>
      <c r="J480" s="125">
        <f>Lista!I479</f>
        <v>0</v>
      </c>
      <c r="K480" s="125">
        <f>Lista!J479</f>
        <v>0</v>
      </c>
      <c r="L480" s="125">
        <f>Lista!K479</f>
        <v>0</v>
      </c>
      <c r="M480" s="125">
        <f>Lista!L479</f>
        <v>0</v>
      </c>
      <c r="N480" s="125">
        <f>Lista!M479</f>
        <v>0</v>
      </c>
      <c r="O480" s="125">
        <f>Lista!N479</f>
        <v>0</v>
      </c>
      <c r="P480" s="125">
        <f>Lista!O479</f>
        <v>0</v>
      </c>
      <c r="Q480" s="125">
        <f>Lista!P479</f>
        <v>0</v>
      </c>
      <c r="R480" s="125">
        <f>Lista!Q479</f>
        <v>0</v>
      </c>
      <c r="S480" s="125">
        <f>Lista!R479</f>
        <v>0</v>
      </c>
      <c r="T480" s="81"/>
      <c r="U480" s="81"/>
      <c r="V480" s="81"/>
      <c r="W480" s="81"/>
      <c r="X480" s="81"/>
      <c r="Y480" s="81"/>
      <c r="Z480" s="81"/>
      <c r="AA480" s="81"/>
      <c r="AB480" s="81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  <c r="BS480" s="81"/>
      <c r="BT480" s="81"/>
      <c r="BU480" s="81"/>
      <c r="BV480" s="81"/>
      <c r="BW480" s="81"/>
      <c r="BX480" s="81"/>
      <c r="BY480" s="81"/>
      <c r="BZ480" s="81"/>
      <c r="CA480" s="81"/>
      <c r="CB480" s="81"/>
      <c r="CC480" s="81"/>
      <c r="CD480" s="81"/>
      <c r="CE480" s="81"/>
      <c r="CF480" s="81"/>
      <c r="CG480" s="81"/>
      <c r="CH480" s="81"/>
      <c r="CI480" s="81"/>
      <c r="CJ480" s="81"/>
      <c r="CK480" s="81"/>
      <c r="CL480" s="81"/>
      <c r="CM480" s="81"/>
      <c r="CN480" s="81"/>
      <c r="CO480" s="81"/>
      <c r="CP480" s="81"/>
      <c r="CQ480" s="81"/>
      <c r="CR480" s="81"/>
      <c r="CS480" s="81"/>
      <c r="CT480" s="81"/>
      <c r="CU480" s="81"/>
      <c r="CV480" s="81"/>
      <c r="CW480" s="81"/>
      <c r="CX480" s="81"/>
      <c r="CY480" s="81"/>
      <c r="CZ480" s="81"/>
      <c r="DA480" s="81"/>
      <c r="DB480" s="81"/>
      <c r="DC480" s="81"/>
      <c r="DD480" s="81"/>
      <c r="DE480" s="81"/>
      <c r="DF480" s="81"/>
      <c r="DG480" s="81"/>
      <c r="DH480" s="81"/>
      <c r="DI480" s="81"/>
      <c r="DJ480" s="81"/>
      <c r="DK480" s="81"/>
      <c r="DL480" s="81"/>
      <c r="DM480" s="81"/>
      <c r="DN480" s="81"/>
      <c r="DO480" s="81"/>
      <c r="DP480" s="81"/>
      <c r="DQ480" s="81"/>
      <c r="DR480" s="81"/>
      <c r="DS480" s="81"/>
      <c r="DT480" s="81"/>
      <c r="DU480" s="81"/>
      <c r="DV480" s="81"/>
      <c r="DW480" s="121"/>
    </row>
    <row r="481" spans="1:127" x14ac:dyDescent="0.25">
      <c r="A481" s="2">
        <f>COUNTIF($D$2:D481,'Reporte de Nomina'!$E$2)</f>
        <v>0</v>
      </c>
      <c r="B481" s="125">
        <f>Lista!A480</f>
        <v>0</v>
      </c>
      <c r="C481" s="125">
        <f>Lista!B480</f>
        <v>0</v>
      </c>
      <c r="D481" s="125">
        <f>Lista!C480</f>
        <v>0</v>
      </c>
      <c r="E481" s="125">
        <f>Lista!D480</f>
        <v>0</v>
      </c>
      <c r="F481" s="125">
        <f>Lista!E480</f>
        <v>0</v>
      </c>
      <c r="G481" s="125">
        <f>Lista!F480</f>
        <v>0</v>
      </c>
      <c r="H481" s="125">
        <f>Lista!G480</f>
        <v>0</v>
      </c>
      <c r="I481" s="125">
        <f>Lista!H480</f>
        <v>0</v>
      </c>
      <c r="J481" s="125">
        <f>Lista!I480</f>
        <v>0</v>
      </c>
      <c r="K481" s="125">
        <f>Lista!J480</f>
        <v>0</v>
      </c>
      <c r="L481" s="125">
        <f>Lista!K480</f>
        <v>0</v>
      </c>
      <c r="M481" s="125">
        <f>Lista!L480</f>
        <v>0</v>
      </c>
      <c r="N481" s="125">
        <f>Lista!M480</f>
        <v>0</v>
      </c>
      <c r="O481" s="125">
        <f>Lista!N480</f>
        <v>0</v>
      </c>
      <c r="P481" s="125">
        <f>Lista!O480</f>
        <v>0</v>
      </c>
      <c r="Q481" s="125">
        <f>Lista!P480</f>
        <v>0</v>
      </c>
      <c r="R481" s="125">
        <f>Lista!Q480</f>
        <v>0</v>
      </c>
      <c r="S481" s="125">
        <f>Lista!R480</f>
        <v>0</v>
      </c>
      <c r="T481" s="81"/>
      <c r="U481" s="81"/>
      <c r="V481" s="81"/>
      <c r="W481" s="81"/>
      <c r="X481" s="81"/>
      <c r="Y481" s="81"/>
      <c r="Z481" s="81"/>
      <c r="AA481" s="81"/>
      <c r="AB481" s="81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  <c r="BS481" s="81"/>
      <c r="BT481" s="81"/>
      <c r="BU481" s="81"/>
      <c r="BV481" s="81"/>
      <c r="BW481" s="81"/>
      <c r="BX481" s="81"/>
      <c r="BY481" s="81"/>
      <c r="BZ481" s="81"/>
      <c r="CA481" s="81"/>
      <c r="CB481" s="81"/>
      <c r="CC481" s="81"/>
      <c r="CD481" s="81"/>
      <c r="CE481" s="81"/>
      <c r="CF481" s="81"/>
      <c r="CG481" s="81"/>
      <c r="CH481" s="81"/>
      <c r="CI481" s="81"/>
      <c r="CJ481" s="81"/>
      <c r="CK481" s="81"/>
      <c r="CL481" s="81"/>
      <c r="CM481" s="81"/>
      <c r="CN481" s="81"/>
      <c r="CO481" s="81"/>
      <c r="CP481" s="81"/>
      <c r="CQ481" s="81"/>
      <c r="CR481" s="81"/>
      <c r="CS481" s="81"/>
      <c r="CT481" s="81"/>
      <c r="CU481" s="81"/>
      <c r="CV481" s="81"/>
      <c r="CW481" s="81"/>
      <c r="CX481" s="81"/>
      <c r="CY481" s="81"/>
      <c r="CZ481" s="81"/>
      <c r="DA481" s="81"/>
      <c r="DB481" s="81"/>
      <c r="DC481" s="81"/>
      <c r="DD481" s="81"/>
      <c r="DE481" s="81"/>
      <c r="DF481" s="81"/>
      <c r="DG481" s="81"/>
      <c r="DH481" s="81"/>
      <c r="DI481" s="81"/>
      <c r="DJ481" s="81"/>
      <c r="DK481" s="81"/>
      <c r="DL481" s="81"/>
      <c r="DM481" s="81"/>
      <c r="DN481" s="81"/>
      <c r="DO481" s="81"/>
      <c r="DP481" s="81"/>
      <c r="DQ481" s="81"/>
      <c r="DR481" s="81"/>
      <c r="DS481" s="81"/>
      <c r="DT481" s="81"/>
      <c r="DU481" s="81"/>
      <c r="DV481" s="81"/>
      <c r="DW481" s="121"/>
    </row>
    <row r="482" spans="1:127" x14ac:dyDescent="0.25">
      <c r="A482" s="2">
        <f>COUNTIF($D$2:D482,'Reporte de Nomina'!$E$2)</f>
        <v>0</v>
      </c>
      <c r="B482" s="125">
        <f>Lista!A481</f>
        <v>0</v>
      </c>
      <c r="C482" s="125">
        <f>Lista!B481</f>
        <v>0</v>
      </c>
      <c r="D482" s="125">
        <f>Lista!C481</f>
        <v>0</v>
      </c>
      <c r="E482" s="125">
        <f>Lista!D481</f>
        <v>0</v>
      </c>
      <c r="F482" s="125">
        <f>Lista!E481</f>
        <v>0</v>
      </c>
      <c r="G482" s="125">
        <f>Lista!F481</f>
        <v>0</v>
      </c>
      <c r="H482" s="125">
        <f>Lista!G481</f>
        <v>0</v>
      </c>
      <c r="I482" s="125">
        <f>Lista!H481</f>
        <v>0</v>
      </c>
      <c r="J482" s="125">
        <f>Lista!I481</f>
        <v>0</v>
      </c>
      <c r="K482" s="125">
        <f>Lista!J481</f>
        <v>0</v>
      </c>
      <c r="L482" s="125">
        <f>Lista!K481</f>
        <v>0</v>
      </c>
      <c r="M482" s="125">
        <f>Lista!L481</f>
        <v>0</v>
      </c>
      <c r="N482" s="125">
        <f>Lista!M481</f>
        <v>0</v>
      </c>
      <c r="O482" s="125">
        <f>Lista!N481</f>
        <v>0</v>
      </c>
      <c r="P482" s="125">
        <f>Lista!O481</f>
        <v>0</v>
      </c>
      <c r="Q482" s="125">
        <f>Lista!P481</f>
        <v>0</v>
      </c>
      <c r="R482" s="125">
        <f>Lista!Q481</f>
        <v>0</v>
      </c>
      <c r="S482" s="125">
        <f>Lista!R481</f>
        <v>0</v>
      </c>
      <c r="T482" s="81"/>
      <c r="U482" s="81"/>
      <c r="V482" s="81"/>
      <c r="W482" s="81"/>
      <c r="X482" s="81"/>
      <c r="Y482" s="81"/>
      <c r="Z482" s="81"/>
      <c r="AA482" s="81"/>
      <c r="AB482" s="81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  <c r="BS482" s="81"/>
      <c r="BT482" s="81"/>
      <c r="BU482" s="81"/>
      <c r="BV482" s="81"/>
      <c r="BW482" s="81"/>
      <c r="BX482" s="81"/>
      <c r="BY482" s="81"/>
      <c r="BZ482" s="81"/>
      <c r="CA482" s="81"/>
      <c r="CB482" s="81"/>
      <c r="CC482" s="81"/>
      <c r="CD482" s="81"/>
      <c r="CE482" s="81"/>
      <c r="CF482" s="81"/>
      <c r="CG482" s="81"/>
      <c r="CH482" s="81"/>
      <c r="CI482" s="81"/>
      <c r="CJ482" s="81"/>
      <c r="CK482" s="81"/>
      <c r="CL482" s="81"/>
      <c r="CM482" s="81"/>
      <c r="CN482" s="81"/>
      <c r="CO482" s="81"/>
      <c r="CP482" s="81"/>
      <c r="CQ482" s="81"/>
      <c r="CR482" s="81"/>
      <c r="CS482" s="81"/>
      <c r="CT482" s="81"/>
      <c r="CU482" s="81"/>
      <c r="CV482" s="81"/>
      <c r="CW482" s="81"/>
      <c r="CX482" s="81"/>
      <c r="CY482" s="81"/>
      <c r="CZ482" s="81"/>
      <c r="DA482" s="81"/>
      <c r="DB482" s="81"/>
      <c r="DC482" s="81"/>
      <c r="DD482" s="81"/>
      <c r="DE482" s="81"/>
      <c r="DF482" s="81"/>
      <c r="DG482" s="81"/>
      <c r="DH482" s="81"/>
      <c r="DI482" s="81"/>
      <c r="DJ482" s="81"/>
      <c r="DK482" s="81"/>
      <c r="DL482" s="81"/>
      <c r="DM482" s="81"/>
      <c r="DN482" s="81"/>
      <c r="DO482" s="81"/>
      <c r="DP482" s="81"/>
      <c r="DQ482" s="81"/>
      <c r="DR482" s="81"/>
      <c r="DS482" s="81"/>
      <c r="DT482" s="81"/>
      <c r="DU482" s="81"/>
      <c r="DV482" s="81"/>
      <c r="DW482" s="121"/>
    </row>
    <row r="483" spans="1:127" x14ac:dyDescent="0.25">
      <c r="A483" s="2">
        <f>COUNTIF($D$2:D483,'Reporte de Nomina'!$E$2)</f>
        <v>0</v>
      </c>
      <c r="B483" s="125">
        <f>Lista!A482</f>
        <v>0</v>
      </c>
      <c r="C483" s="125">
        <f>Lista!B482</f>
        <v>0</v>
      </c>
      <c r="D483" s="125">
        <f>Lista!C482</f>
        <v>0</v>
      </c>
      <c r="E483" s="125">
        <f>Lista!D482</f>
        <v>0</v>
      </c>
      <c r="F483" s="125">
        <f>Lista!E482</f>
        <v>0</v>
      </c>
      <c r="G483" s="125">
        <f>Lista!F482</f>
        <v>0</v>
      </c>
      <c r="H483" s="125">
        <f>Lista!G482</f>
        <v>0</v>
      </c>
      <c r="I483" s="125">
        <f>Lista!H482</f>
        <v>0</v>
      </c>
      <c r="J483" s="125">
        <f>Lista!I482</f>
        <v>0</v>
      </c>
      <c r="K483" s="125">
        <f>Lista!J482</f>
        <v>0</v>
      </c>
      <c r="L483" s="125">
        <f>Lista!K482</f>
        <v>0</v>
      </c>
      <c r="M483" s="125">
        <f>Lista!L482</f>
        <v>0</v>
      </c>
      <c r="N483" s="125">
        <f>Lista!M482</f>
        <v>0</v>
      </c>
      <c r="O483" s="125">
        <f>Lista!N482</f>
        <v>0</v>
      </c>
      <c r="P483" s="125">
        <f>Lista!O482</f>
        <v>0</v>
      </c>
      <c r="Q483" s="125">
        <f>Lista!P482</f>
        <v>0</v>
      </c>
      <c r="R483" s="125">
        <f>Lista!Q482</f>
        <v>0</v>
      </c>
      <c r="S483" s="125">
        <f>Lista!R482</f>
        <v>0</v>
      </c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  <c r="BS483" s="81"/>
      <c r="BT483" s="81"/>
      <c r="BU483" s="81"/>
      <c r="BV483" s="81"/>
      <c r="BW483" s="81"/>
      <c r="BX483" s="81"/>
      <c r="BY483" s="81"/>
      <c r="BZ483" s="81"/>
      <c r="CA483" s="81"/>
      <c r="CB483" s="81"/>
      <c r="CC483" s="81"/>
      <c r="CD483" s="81"/>
      <c r="CE483" s="81"/>
      <c r="CF483" s="81"/>
      <c r="CG483" s="81"/>
      <c r="CH483" s="81"/>
      <c r="CI483" s="81"/>
      <c r="CJ483" s="81"/>
      <c r="CK483" s="81"/>
      <c r="CL483" s="81"/>
      <c r="CM483" s="81"/>
      <c r="CN483" s="81"/>
      <c r="CO483" s="81"/>
      <c r="CP483" s="81"/>
      <c r="CQ483" s="81"/>
      <c r="CR483" s="81"/>
      <c r="CS483" s="81"/>
      <c r="CT483" s="81"/>
      <c r="CU483" s="81"/>
      <c r="CV483" s="81"/>
      <c r="CW483" s="81"/>
      <c r="CX483" s="81"/>
      <c r="CY483" s="81"/>
      <c r="CZ483" s="81"/>
      <c r="DA483" s="81"/>
      <c r="DB483" s="81"/>
      <c r="DC483" s="81"/>
      <c r="DD483" s="81"/>
      <c r="DE483" s="81"/>
      <c r="DF483" s="81"/>
      <c r="DG483" s="81"/>
      <c r="DH483" s="81"/>
      <c r="DI483" s="81"/>
      <c r="DJ483" s="81"/>
      <c r="DK483" s="81"/>
      <c r="DL483" s="81"/>
      <c r="DM483" s="81"/>
      <c r="DN483" s="81"/>
      <c r="DO483" s="81"/>
      <c r="DP483" s="81"/>
      <c r="DQ483" s="81"/>
      <c r="DR483" s="81"/>
      <c r="DS483" s="81"/>
      <c r="DT483" s="81"/>
      <c r="DU483" s="81"/>
      <c r="DV483" s="81"/>
      <c r="DW483" s="121"/>
    </row>
    <row r="484" spans="1:127" x14ac:dyDescent="0.25">
      <c r="A484" s="2">
        <f>COUNTIF($D$2:D484,'Reporte de Nomina'!$E$2)</f>
        <v>0</v>
      </c>
      <c r="B484" s="125">
        <f>Lista!A483</f>
        <v>0</v>
      </c>
      <c r="C484" s="125">
        <f>Lista!B483</f>
        <v>0</v>
      </c>
      <c r="D484" s="125">
        <f>Lista!C483</f>
        <v>0</v>
      </c>
      <c r="E484" s="125">
        <f>Lista!D483</f>
        <v>0</v>
      </c>
      <c r="F484" s="125">
        <f>Lista!E483</f>
        <v>0</v>
      </c>
      <c r="G484" s="125">
        <f>Lista!F483</f>
        <v>0</v>
      </c>
      <c r="H484" s="125">
        <f>Lista!G483</f>
        <v>0</v>
      </c>
      <c r="I484" s="125">
        <f>Lista!H483</f>
        <v>0</v>
      </c>
      <c r="J484" s="125">
        <f>Lista!I483</f>
        <v>0</v>
      </c>
      <c r="K484" s="125">
        <f>Lista!J483</f>
        <v>0</v>
      </c>
      <c r="L484" s="125">
        <f>Lista!K483</f>
        <v>0</v>
      </c>
      <c r="M484" s="125">
        <f>Lista!L483</f>
        <v>0</v>
      </c>
      <c r="N484" s="125">
        <f>Lista!M483</f>
        <v>0</v>
      </c>
      <c r="O484" s="125">
        <f>Lista!N483</f>
        <v>0</v>
      </c>
      <c r="P484" s="125">
        <f>Lista!O483</f>
        <v>0</v>
      </c>
      <c r="Q484" s="125">
        <f>Lista!P483</f>
        <v>0</v>
      </c>
      <c r="R484" s="125">
        <f>Lista!Q483</f>
        <v>0</v>
      </c>
      <c r="S484" s="125">
        <f>Lista!R483</f>
        <v>0</v>
      </c>
      <c r="T484" s="81"/>
      <c r="U484" s="81"/>
      <c r="V484" s="81"/>
      <c r="W484" s="81"/>
      <c r="X484" s="81"/>
      <c r="Y484" s="81"/>
      <c r="Z484" s="81"/>
      <c r="AA484" s="81"/>
      <c r="AB484" s="81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  <c r="BS484" s="81"/>
      <c r="BT484" s="81"/>
      <c r="BU484" s="81"/>
      <c r="BV484" s="81"/>
      <c r="BW484" s="81"/>
      <c r="BX484" s="81"/>
      <c r="BY484" s="81"/>
      <c r="BZ484" s="81"/>
      <c r="CA484" s="81"/>
      <c r="CB484" s="81"/>
      <c r="CC484" s="81"/>
      <c r="CD484" s="81"/>
      <c r="CE484" s="81"/>
      <c r="CF484" s="81"/>
      <c r="CG484" s="81"/>
      <c r="CH484" s="81"/>
      <c r="CI484" s="81"/>
      <c r="CJ484" s="81"/>
      <c r="CK484" s="81"/>
      <c r="CL484" s="81"/>
      <c r="CM484" s="81"/>
      <c r="CN484" s="81"/>
      <c r="CO484" s="81"/>
      <c r="CP484" s="81"/>
      <c r="CQ484" s="81"/>
      <c r="CR484" s="81"/>
      <c r="CS484" s="81"/>
      <c r="CT484" s="81"/>
      <c r="CU484" s="81"/>
      <c r="CV484" s="81"/>
      <c r="CW484" s="81"/>
      <c r="CX484" s="81"/>
      <c r="CY484" s="81"/>
      <c r="CZ484" s="81"/>
      <c r="DA484" s="81"/>
      <c r="DB484" s="81"/>
      <c r="DC484" s="81"/>
      <c r="DD484" s="81"/>
      <c r="DE484" s="81"/>
      <c r="DF484" s="81"/>
      <c r="DG484" s="81"/>
      <c r="DH484" s="81"/>
      <c r="DI484" s="81"/>
      <c r="DJ484" s="81"/>
      <c r="DK484" s="81"/>
      <c r="DL484" s="81"/>
      <c r="DM484" s="81"/>
      <c r="DN484" s="81"/>
      <c r="DO484" s="81"/>
      <c r="DP484" s="81"/>
      <c r="DQ484" s="81"/>
      <c r="DR484" s="81"/>
      <c r="DS484" s="81"/>
      <c r="DT484" s="81"/>
      <c r="DU484" s="81"/>
      <c r="DV484" s="81"/>
      <c r="DW484" s="121"/>
    </row>
    <row r="485" spans="1:127" x14ac:dyDescent="0.25">
      <c r="A485" s="2">
        <f>COUNTIF($D$2:D485,'Reporte de Nomina'!$E$2)</f>
        <v>0</v>
      </c>
      <c r="B485" s="125">
        <f>Lista!A484</f>
        <v>0</v>
      </c>
      <c r="C485" s="125">
        <f>Lista!B484</f>
        <v>0</v>
      </c>
      <c r="D485" s="125">
        <f>Lista!C484</f>
        <v>0</v>
      </c>
      <c r="E485" s="125">
        <f>Lista!D484</f>
        <v>0</v>
      </c>
      <c r="F485" s="125">
        <f>Lista!E484</f>
        <v>0</v>
      </c>
      <c r="G485" s="125">
        <f>Lista!F484</f>
        <v>0</v>
      </c>
      <c r="H485" s="125">
        <f>Lista!G484</f>
        <v>0</v>
      </c>
      <c r="I485" s="125">
        <f>Lista!H484</f>
        <v>0</v>
      </c>
      <c r="J485" s="125">
        <f>Lista!I484</f>
        <v>0</v>
      </c>
      <c r="K485" s="125">
        <f>Lista!J484</f>
        <v>0</v>
      </c>
      <c r="L485" s="125">
        <f>Lista!K484</f>
        <v>0</v>
      </c>
      <c r="M485" s="125">
        <f>Lista!L484</f>
        <v>0</v>
      </c>
      <c r="N485" s="125">
        <f>Lista!M484</f>
        <v>0</v>
      </c>
      <c r="O485" s="125">
        <f>Lista!N484</f>
        <v>0</v>
      </c>
      <c r="P485" s="125">
        <f>Lista!O484</f>
        <v>0</v>
      </c>
      <c r="Q485" s="125">
        <f>Lista!P484</f>
        <v>0</v>
      </c>
      <c r="R485" s="125">
        <f>Lista!Q484</f>
        <v>0</v>
      </c>
      <c r="S485" s="125">
        <f>Lista!R484</f>
        <v>0</v>
      </c>
      <c r="T485" s="81"/>
      <c r="U485" s="81"/>
      <c r="V485" s="81"/>
      <c r="W485" s="81"/>
      <c r="X485" s="81"/>
      <c r="Y485" s="81"/>
      <c r="Z485" s="81"/>
      <c r="AA485" s="81"/>
      <c r="AB485" s="81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  <c r="BS485" s="81"/>
      <c r="BT485" s="81"/>
      <c r="BU485" s="81"/>
      <c r="BV485" s="81"/>
      <c r="BW485" s="81"/>
      <c r="BX485" s="81"/>
      <c r="BY485" s="81"/>
      <c r="BZ485" s="81"/>
      <c r="CA485" s="81"/>
      <c r="CB485" s="81"/>
      <c r="CC485" s="81"/>
      <c r="CD485" s="81"/>
      <c r="CE485" s="81"/>
      <c r="CF485" s="81"/>
      <c r="CG485" s="81"/>
      <c r="CH485" s="81"/>
      <c r="CI485" s="81"/>
      <c r="CJ485" s="81"/>
      <c r="CK485" s="81"/>
      <c r="CL485" s="81"/>
      <c r="CM485" s="81"/>
      <c r="CN485" s="81"/>
      <c r="CO485" s="81"/>
      <c r="CP485" s="81"/>
      <c r="CQ485" s="81"/>
      <c r="CR485" s="81"/>
      <c r="CS485" s="81"/>
      <c r="CT485" s="81"/>
      <c r="CU485" s="81"/>
      <c r="CV485" s="81"/>
      <c r="CW485" s="81"/>
      <c r="CX485" s="81"/>
      <c r="CY485" s="81"/>
      <c r="CZ485" s="81"/>
      <c r="DA485" s="81"/>
      <c r="DB485" s="81"/>
      <c r="DC485" s="81"/>
      <c r="DD485" s="81"/>
      <c r="DE485" s="81"/>
      <c r="DF485" s="81"/>
      <c r="DG485" s="81"/>
      <c r="DH485" s="81"/>
      <c r="DI485" s="81"/>
      <c r="DJ485" s="81"/>
      <c r="DK485" s="81"/>
      <c r="DL485" s="81"/>
      <c r="DM485" s="81"/>
      <c r="DN485" s="81"/>
      <c r="DO485" s="81"/>
      <c r="DP485" s="81"/>
      <c r="DQ485" s="81"/>
      <c r="DR485" s="81"/>
      <c r="DS485" s="81"/>
      <c r="DT485" s="81"/>
      <c r="DU485" s="81"/>
      <c r="DV485" s="81"/>
      <c r="DW485" s="121"/>
    </row>
    <row r="486" spans="1:127" x14ac:dyDescent="0.25">
      <c r="A486" s="2">
        <f>COUNTIF($D$2:D486,'Reporte de Nomina'!$E$2)</f>
        <v>0</v>
      </c>
      <c r="B486" s="125">
        <f>Lista!A485</f>
        <v>0</v>
      </c>
      <c r="C486" s="125">
        <f>Lista!B485</f>
        <v>0</v>
      </c>
      <c r="D486" s="125">
        <f>Lista!C485</f>
        <v>0</v>
      </c>
      <c r="E486" s="125">
        <f>Lista!D485</f>
        <v>0</v>
      </c>
      <c r="F486" s="125">
        <f>Lista!E485</f>
        <v>0</v>
      </c>
      <c r="G486" s="125">
        <f>Lista!F485</f>
        <v>0</v>
      </c>
      <c r="H486" s="125">
        <f>Lista!G485</f>
        <v>0</v>
      </c>
      <c r="I486" s="125">
        <f>Lista!H485</f>
        <v>0</v>
      </c>
      <c r="J486" s="125">
        <f>Lista!I485</f>
        <v>0</v>
      </c>
      <c r="K486" s="125">
        <f>Lista!J485</f>
        <v>0</v>
      </c>
      <c r="L486" s="125">
        <f>Lista!K485</f>
        <v>0</v>
      </c>
      <c r="M486" s="125">
        <f>Lista!L485</f>
        <v>0</v>
      </c>
      <c r="N486" s="125">
        <f>Lista!M485</f>
        <v>0</v>
      </c>
      <c r="O486" s="125">
        <f>Lista!N485</f>
        <v>0</v>
      </c>
      <c r="P486" s="125">
        <f>Lista!O485</f>
        <v>0</v>
      </c>
      <c r="Q486" s="125">
        <f>Lista!P485</f>
        <v>0</v>
      </c>
      <c r="R486" s="125">
        <f>Lista!Q485</f>
        <v>0</v>
      </c>
      <c r="S486" s="125">
        <f>Lista!R485</f>
        <v>0</v>
      </c>
      <c r="T486" s="81"/>
      <c r="U486" s="81"/>
      <c r="V486" s="81"/>
      <c r="W486" s="81"/>
      <c r="X486" s="81"/>
      <c r="Y486" s="81"/>
      <c r="Z486" s="81"/>
      <c r="AA486" s="81"/>
      <c r="AB486" s="81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  <c r="BS486" s="81"/>
      <c r="BT486" s="81"/>
      <c r="BU486" s="81"/>
      <c r="BV486" s="81"/>
      <c r="BW486" s="81"/>
      <c r="BX486" s="81"/>
      <c r="BY486" s="81"/>
      <c r="BZ486" s="81"/>
      <c r="CA486" s="81"/>
      <c r="CB486" s="81"/>
      <c r="CC486" s="81"/>
      <c r="CD486" s="81"/>
      <c r="CE486" s="81"/>
      <c r="CF486" s="81"/>
      <c r="CG486" s="81"/>
      <c r="CH486" s="81"/>
      <c r="CI486" s="81"/>
      <c r="CJ486" s="81"/>
      <c r="CK486" s="81"/>
      <c r="CL486" s="81"/>
      <c r="CM486" s="81"/>
      <c r="CN486" s="81"/>
      <c r="CO486" s="81"/>
      <c r="CP486" s="81"/>
      <c r="CQ486" s="81"/>
      <c r="CR486" s="81"/>
      <c r="CS486" s="81"/>
      <c r="CT486" s="81"/>
      <c r="CU486" s="81"/>
      <c r="CV486" s="81"/>
      <c r="CW486" s="81"/>
      <c r="CX486" s="81"/>
      <c r="CY486" s="81"/>
      <c r="CZ486" s="81"/>
      <c r="DA486" s="81"/>
      <c r="DB486" s="81"/>
      <c r="DC486" s="81"/>
      <c r="DD486" s="81"/>
      <c r="DE486" s="81"/>
      <c r="DF486" s="81"/>
      <c r="DG486" s="81"/>
      <c r="DH486" s="81"/>
      <c r="DI486" s="81"/>
      <c r="DJ486" s="81"/>
      <c r="DK486" s="81"/>
      <c r="DL486" s="81"/>
      <c r="DM486" s="81"/>
      <c r="DN486" s="81"/>
      <c r="DO486" s="81"/>
      <c r="DP486" s="81"/>
      <c r="DQ486" s="81"/>
      <c r="DR486" s="81"/>
      <c r="DS486" s="81"/>
      <c r="DT486" s="81"/>
      <c r="DU486" s="81"/>
      <c r="DV486" s="81"/>
      <c r="DW486" s="121"/>
    </row>
    <row r="487" spans="1:127" x14ac:dyDescent="0.25">
      <c r="A487" s="2">
        <f>COUNTIF($D$2:D487,'Reporte de Nomina'!$E$2)</f>
        <v>0</v>
      </c>
      <c r="B487" s="125">
        <f>Lista!A486</f>
        <v>0</v>
      </c>
      <c r="C487" s="125">
        <f>Lista!B486</f>
        <v>0</v>
      </c>
      <c r="D487" s="125">
        <f>Lista!C486</f>
        <v>0</v>
      </c>
      <c r="E487" s="125">
        <f>Lista!D486</f>
        <v>0</v>
      </c>
      <c r="F487" s="125">
        <f>Lista!E486</f>
        <v>0</v>
      </c>
      <c r="G487" s="125">
        <f>Lista!F486</f>
        <v>0</v>
      </c>
      <c r="H487" s="125">
        <f>Lista!G486</f>
        <v>0</v>
      </c>
      <c r="I487" s="125">
        <f>Lista!H486</f>
        <v>0</v>
      </c>
      <c r="J487" s="125">
        <f>Lista!I486</f>
        <v>0</v>
      </c>
      <c r="K487" s="125">
        <f>Lista!J486</f>
        <v>0</v>
      </c>
      <c r="L487" s="125">
        <f>Lista!K486</f>
        <v>0</v>
      </c>
      <c r="M487" s="125">
        <f>Lista!L486</f>
        <v>0</v>
      </c>
      <c r="N487" s="125">
        <f>Lista!M486</f>
        <v>0</v>
      </c>
      <c r="O487" s="125">
        <f>Lista!N486</f>
        <v>0</v>
      </c>
      <c r="P487" s="125">
        <f>Lista!O486</f>
        <v>0</v>
      </c>
      <c r="Q487" s="125">
        <f>Lista!P486</f>
        <v>0</v>
      </c>
      <c r="R487" s="125">
        <f>Lista!Q486</f>
        <v>0</v>
      </c>
      <c r="S487" s="125">
        <f>Lista!R486</f>
        <v>0</v>
      </c>
      <c r="T487" s="81"/>
      <c r="U487" s="81"/>
      <c r="V487" s="81"/>
      <c r="W487" s="81"/>
      <c r="X487" s="81"/>
      <c r="Y487" s="81"/>
      <c r="Z487" s="81"/>
      <c r="AA487" s="81"/>
      <c r="AB487" s="81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  <c r="BS487" s="81"/>
      <c r="BT487" s="81"/>
      <c r="BU487" s="81"/>
      <c r="BV487" s="81"/>
      <c r="BW487" s="81"/>
      <c r="BX487" s="81"/>
      <c r="BY487" s="81"/>
      <c r="BZ487" s="81"/>
      <c r="CA487" s="81"/>
      <c r="CB487" s="81"/>
      <c r="CC487" s="81"/>
      <c r="CD487" s="81"/>
      <c r="CE487" s="81"/>
      <c r="CF487" s="81"/>
      <c r="CG487" s="81"/>
      <c r="CH487" s="81"/>
      <c r="CI487" s="81"/>
      <c r="CJ487" s="81"/>
      <c r="CK487" s="81"/>
      <c r="CL487" s="81"/>
      <c r="CM487" s="81"/>
      <c r="CN487" s="81"/>
      <c r="CO487" s="81"/>
      <c r="CP487" s="81"/>
      <c r="CQ487" s="81"/>
      <c r="CR487" s="81"/>
      <c r="CS487" s="81"/>
      <c r="CT487" s="81"/>
      <c r="CU487" s="81"/>
      <c r="CV487" s="81"/>
      <c r="CW487" s="81"/>
      <c r="CX487" s="81"/>
      <c r="CY487" s="81"/>
      <c r="CZ487" s="81"/>
      <c r="DA487" s="81"/>
      <c r="DB487" s="81"/>
      <c r="DC487" s="81"/>
      <c r="DD487" s="81"/>
      <c r="DE487" s="81"/>
      <c r="DF487" s="81"/>
      <c r="DG487" s="81"/>
      <c r="DH487" s="81"/>
      <c r="DI487" s="81"/>
      <c r="DJ487" s="81"/>
      <c r="DK487" s="81"/>
      <c r="DL487" s="81"/>
      <c r="DM487" s="81"/>
      <c r="DN487" s="81"/>
      <c r="DO487" s="81"/>
      <c r="DP487" s="81"/>
      <c r="DQ487" s="81"/>
      <c r="DR487" s="81"/>
      <c r="DS487" s="81"/>
      <c r="DT487" s="81"/>
      <c r="DU487" s="81"/>
      <c r="DV487" s="81"/>
      <c r="DW487" s="121"/>
    </row>
    <row r="488" spans="1:127" x14ac:dyDescent="0.25">
      <c r="A488" s="2">
        <f>COUNTIF($D$2:D488,'Reporte de Nomina'!$E$2)</f>
        <v>0</v>
      </c>
      <c r="B488" s="125">
        <f>Lista!A487</f>
        <v>0</v>
      </c>
      <c r="C488" s="125">
        <f>Lista!B487</f>
        <v>0</v>
      </c>
      <c r="D488" s="125">
        <f>Lista!C487</f>
        <v>0</v>
      </c>
      <c r="E488" s="125">
        <f>Lista!D487</f>
        <v>0</v>
      </c>
      <c r="F488" s="125">
        <f>Lista!E487</f>
        <v>0</v>
      </c>
      <c r="G488" s="125">
        <f>Lista!F487</f>
        <v>0</v>
      </c>
      <c r="H488" s="125">
        <f>Lista!G487</f>
        <v>0</v>
      </c>
      <c r="I488" s="125">
        <f>Lista!H487</f>
        <v>0</v>
      </c>
      <c r="J488" s="125">
        <f>Lista!I487</f>
        <v>0</v>
      </c>
      <c r="K488" s="125">
        <f>Lista!J487</f>
        <v>0</v>
      </c>
      <c r="L488" s="125">
        <f>Lista!K487</f>
        <v>0</v>
      </c>
      <c r="M488" s="125">
        <f>Lista!L487</f>
        <v>0</v>
      </c>
      <c r="N488" s="125">
        <f>Lista!M487</f>
        <v>0</v>
      </c>
      <c r="O488" s="125">
        <f>Lista!N487</f>
        <v>0</v>
      </c>
      <c r="P488" s="125">
        <f>Lista!O487</f>
        <v>0</v>
      </c>
      <c r="Q488" s="125">
        <f>Lista!P487</f>
        <v>0</v>
      </c>
      <c r="R488" s="125">
        <f>Lista!Q487</f>
        <v>0</v>
      </c>
      <c r="S488" s="125">
        <f>Lista!R487</f>
        <v>0</v>
      </c>
      <c r="T488" s="81"/>
      <c r="U488" s="81"/>
      <c r="V488" s="81"/>
      <c r="W488" s="81"/>
      <c r="X488" s="81"/>
      <c r="Y488" s="81"/>
      <c r="Z488" s="81"/>
      <c r="AA488" s="81"/>
      <c r="AB488" s="81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  <c r="BS488" s="81"/>
      <c r="BT488" s="81"/>
      <c r="BU488" s="81"/>
      <c r="BV488" s="81"/>
      <c r="BW488" s="81"/>
      <c r="BX488" s="81"/>
      <c r="BY488" s="81"/>
      <c r="BZ488" s="81"/>
      <c r="CA488" s="81"/>
      <c r="CB488" s="81"/>
      <c r="CC488" s="81"/>
      <c r="CD488" s="81"/>
      <c r="CE488" s="81"/>
      <c r="CF488" s="81"/>
      <c r="CG488" s="81"/>
      <c r="CH488" s="81"/>
      <c r="CI488" s="81"/>
      <c r="CJ488" s="81"/>
      <c r="CK488" s="81"/>
      <c r="CL488" s="81"/>
      <c r="CM488" s="81"/>
      <c r="CN488" s="81"/>
      <c r="CO488" s="81"/>
      <c r="CP488" s="81"/>
      <c r="CQ488" s="81"/>
      <c r="CR488" s="81"/>
      <c r="CS488" s="81"/>
      <c r="CT488" s="81"/>
      <c r="CU488" s="81"/>
      <c r="CV488" s="81"/>
      <c r="CW488" s="81"/>
      <c r="CX488" s="81"/>
      <c r="CY488" s="81"/>
      <c r="CZ488" s="81"/>
      <c r="DA488" s="81"/>
      <c r="DB488" s="81"/>
      <c r="DC488" s="81"/>
      <c r="DD488" s="81"/>
      <c r="DE488" s="81"/>
      <c r="DF488" s="81"/>
      <c r="DG488" s="81"/>
      <c r="DH488" s="81"/>
      <c r="DI488" s="81"/>
      <c r="DJ488" s="81"/>
      <c r="DK488" s="81"/>
      <c r="DL488" s="81"/>
      <c r="DM488" s="81"/>
      <c r="DN488" s="81"/>
      <c r="DO488" s="81"/>
      <c r="DP488" s="81"/>
      <c r="DQ488" s="81"/>
      <c r="DR488" s="81"/>
      <c r="DS488" s="81"/>
      <c r="DT488" s="81"/>
      <c r="DU488" s="81"/>
      <c r="DV488" s="81"/>
      <c r="DW488" s="121"/>
    </row>
    <row r="489" spans="1:127" x14ac:dyDescent="0.25">
      <c r="A489" s="2">
        <f>COUNTIF($D$2:D489,'Reporte de Nomina'!$E$2)</f>
        <v>0</v>
      </c>
      <c r="B489" s="125">
        <f>Lista!A488</f>
        <v>0</v>
      </c>
      <c r="C489" s="125">
        <f>Lista!B488</f>
        <v>0</v>
      </c>
      <c r="D489" s="125">
        <f>Lista!C488</f>
        <v>0</v>
      </c>
      <c r="E489" s="125">
        <f>Lista!D488</f>
        <v>0</v>
      </c>
      <c r="F489" s="125">
        <f>Lista!E488</f>
        <v>0</v>
      </c>
      <c r="G489" s="125">
        <f>Lista!F488</f>
        <v>0</v>
      </c>
      <c r="H489" s="125">
        <f>Lista!G488</f>
        <v>0</v>
      </c>
      <c r="I489" s="125">
        <f>Lista!H488</f>
        <v>0</v>
      </c>
      <c r="J489" s="125">
        <f>Lista!I488</f>
        <v>0</v>
      </c>
      <c r="K489" s="125">
        <f>Lista!J488</f>
        <v>0</v>
      </c>
      <c r="L489" s="125">
        <f>Lista!K488</f>
        <v>0</v>
      </c>
      <c r="M489" s="125">
        <f>Lista!L488</f>
        <v>0</v>
      </c>
      <c r="N489" s="125">
        <f>Lista!M488</f>
        <v>0</v>
      </c>
      <c r="O489" s="125">
        <f>Lista!N488</f>
        <v>0</v>
      </c>
      <c r="P489" s="125">
        <f>Lista!O488</f>
        <v>0</v>
      </c>
      <c r="Q489" s="125">
        <f>Lista!P488</f>
        <v>0</v>
      </c>
      <c r="R489" s="125">
        <f>Lista!Q488</f>
        <v>0</v>
      </c>
      <c r="S489" s="125">
        <f>Lista!R488</f>
        <v>0</v>
      </c>
      <c r="T489" s="81"/>
      <c r="U489" s="81"/>
      <c r="V489" s="81"/>
      <c r="W489" s="81"/>
      <c r="X489" s="81"/>
      <c r="Y489" s="81"/>
      <c r="Z489" s="81"/>
      <c r="AA489" s="81"/>
      <c r="AB489" s="81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  <c r="BS489" s="81"/>
      <c r="BT489" s="81"/>
      <c r="BU489" s="81"/>
      <c r="BV489" s="81"/>
      <c r="BW489" s="81"/>
      <c r="BX489" s="81"/>
      <c r="BY489" s="81"/>
      <c r="BZ489" s="81"/>
      <c r="CA489" s="81"/>
      <c r="CB489" s="81"/>
      <c r="CC489" s="81"/>
      <c r="CD489" s="81"/>
      <c r="CE489" s="81"/>
      <c r="CF489" s="81"/>
      <c r="CG489" s="81"/>
      <c r="CH489" s="81"/>
      <c r="CI489" s="81"/>
      <c r="CJ489" s="81"/>
      <c r="CK489" s="81"/>
      <c r="CL489" s="81"/>
      <c r="CM489" s="81"/>
      <c r="CN489" s="81"/>
      <c r="CO489" s="81"/>
      <c r="CP489" s="81"/>
      <c r="CQ489" s="81"/>
      <c r="CR489" s="81"/>
      <c r="CS489" s="81"/>
      <c r="CT489" s="81"/>
      <c r="CU489" s="81"/>
      <c r="CV489" s="81"/>
      <c r="CW489" s="81"/>
      <c r="CX489" s="81"/>
      <c r="CY489" s="81"/>
      <c r="CZ489" s="81"/>
      <c r="DA489" s="81"/>
      <c r="DB489" s="81"/>
      <c r="DC489" s="81"/>
      <c r="DD489" s="81"/>
      <c r="DE489" s="81"/>
      <c r="DF489" s="81"/>
      <c r="DG489" s="81"/>
      <c r="DH489" s="81"/>
      <c r="DI489" s="81"/>
      <c r="DJ489" s="81"/>
      <c r="DK489" s="81"/>
      <c r="DL489" s="81"/>
      <c r="DM489" s="81"/>
      <c r="DN489" s="81"/>
      <c r="DO489" s="81"/>
      <c r="DP489" s="81"/>
      <c r="DQ489" s="81"/>
      <c r="DR489" s="81"/>
      <c r="DS489" s="81"/>
      <c r="DT489" s="81"/>
      <c r="DU489" s="81"/>
      <c r="DV489" s="81"/>
      <c r="DW489" s="121"/>
    </row>
    <row r="490" spans="1:127" x14ac:dyDescent="0.25">
      <c r="A490" s="2">
        <f>COUNTIF($D$2:D490,'Reporte de Nomina'!$E$2)</f>
        <v>0</v>
      </c>
      <c r="B490" s="125">
        <f>Lista!A489</f>
        <v>0</v>
      </c>
      <c r="C490" s="125">
        <f>Lista!B489</f>
        <v>0</v>
      </c>
      <c r="D490" s="125">
        <f>Lista!C489</f>
        <v>0</v>
      </c>
      <c r="E490" s="125">
        <f>Lista!D489</f>
        <v>0</v>
      </c>
      <c r="F490" s="125">
        <f>Lista!E489</f>
        <v>0</v>
      </c>
      <c r="G490" s="125">
        <f>Lista!F489</f>
        <v>0</v>
      </c>
      <c r="H490" s="125">
        <f>Lista!G489</f>
        <v>0</v>
      </c>
      <c r="I490" s="125">
        <f>Lista!H489</f>
        <v>0</v>
      </c>
      <c r="J490" s="125">
        <f>Lista!I489</f>
        <v>0</v>
      </c>
      <c r="K490" s="125">
        <f>Lista!J489</f>
        <v>0</v>
      </c>
      <c r="L490" s="125">
        <f>Lista!K489</f>
        <v>0</v>
      </c>
      <c r="M490" s="125">
        <f>Lista!L489</f>
        <v>0</v>
      </c>
      <c r="N490" s="125">
        <f>Lista!M489</f>
        <v>0</v>
      </c>
      <c r="O490" s="125">
        <f>Lista!N489</f>
        <v>0</v>
      </c>
      <c r="P490" s="125">
        <f>Lista!O489</f>
        <v>0</v>
      </c>
      <c r="Q490" s="125">
        <f>Lista!P489</f>
        <v>0</v>
      </c>
      <c r="R490" s="125">
        <f>Lista!Q489</f>
        <v>0</v>
      </c>
      <c r="S490" s="125">
        <f>Lista!R489</f>
        <v>0</v>
      </c>
      <c r="T490" s="81"/>
      <c r="U490" s="81"/>
      <c r="V490" s="81"/>
      <c r="W490" s="81"/>
      <c r="X490" s="81"/>
      <c r="Y490" s="81"/>
      <c r="Z490" s="81"/>
      <c r="AA490" s="81"/>
      <c r="AB490" s="81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  <c r="BS490" s="81"/>
      <c r="BT490" s="81"/>
      <c r="BU490" s="81"/>
      <c r="BV490" s="81"/>
      <c r="BW490" s="81"/>
      <c r="BX490" s="81"/>
      <c r="BY490" s="81"/>
      <c r="BZ490" s="81"/>
      <c r="CA490" s="81"/>
      <c r="CB490" s="81"/>
      <c r="CC490" s="81"/>
      <c r="CD490" s="81"/>
      <c r="CE490" s="81"/>
      <c r="CF490" s="81"/>
      <c r="CG490" s="81"/>
      <c r="CH490" s="81"/>
      <c r="CI490" s="81"/>
      <c r="CJ490" s="81"/>
      <c r="CK490" s="81"/>
      <c r="CL490" s="81"/>
      <c r="CM490" s="81"/>
      <c r="CN490" s="81"/>
      <c r="CO490" s="81"/>
      <c r="CP490" s="81"/>
      <c r="CQ490" s="81"/>
      <c r="CR490" s="81"/>
      <c r="CS490" s="81"/>
      <c r="CT490" s="81"/>
      <c r="CU490" s="81"/>
      <c r="CV490" s="81"/>
      <c r="CW490" s="81"/>
      <c r="CX490" s="81"/>
      <c r="CY490" s="81"/>
      <c r="CZ490" s="81"/>
      <c r="DA490" s="81"/>
      <c r="DB490" s="81"/>
      <c r="DC490" s="81"/>
      <c r="DD490" s="81"/>
      <c r="DE490" s="81"/>
      <c r="DF490" s="81"/>
      <c r="DG490" s="81"/>
      <c r="DH490" s="81"/>
      <c r="DI490" s="81"/>
      <c r="DJ490" s="81"/>
      <c r="DK490" s="81"/>
      <c r="DL490" s="81"/>
      <c r="DM490" s="81"/>
      <c r="DN490" s="81"/>
      <c r="DO490" s="81"/>
      <c r="DP490" s="81"/>
      <c r="DQ490" s="81"/>
      <c r="DR490" s="81"/>
      <c r="DS490" s="81"/>
      <c r="DT490" s="81"/>
      <c r="DU490" s="81"/>
      <c r="DV490" s="81"/>
      <c r="DW490" s="121"/>
    </row>
    <row r="491" spans="1:127" x14ac:dyDescent="0.25">
      <c r="A491" s="2">
        <f>COUNTIF($D$2:D491,'Reporte de Nomina'!$E$2)</f>
        <v>0</v>
      </c>
      <c r="B491" s="125">
        <f>Lista!A490</f>
        <v>0</v>
      </c>
      <c r="C491" s="125">
        <f>Lista!B490</f>
        <v>0</v>
      </c>
      <c r="D491" s="125">
        <f>Lista!C490</f>
        <v>0</v>
      </c>
      <c r="E491" s="125">
        <f>Lista!D490</f>
        <v>0</v>
      </c>
      <c r="F491" s="125">
        <f>Lista!E490</f>
        <v>0</v>
      </c>
      <c r="G491" s="125">
        <f>Lista!F490</f>
        <v>0</v>
      </c>
      <c r="H491" s="125">
        <f>Lista!G490</f>
        <v>0</v>
      </c>
      <c r="I491" s="125">
        <f>Lista!H490</f>
        <v>0</v>
      </c>
      <c r="J491" s="125">
        <f>Lista!I490</f>
        <v>0</v>
      </c>
      <c r="K491" s="125">
        <f>Lista!J490</f>
        <v>0</v>
      </c>
      <c r="L491" s="125">
        <f>Lista!K490</f>
        <v>0</v>
      </c>
      <c r="M491" s="125">
        <f>Lista!L490</f>
        <v>0</v>
      </c>
      <c r="N491" s="125">
        <f>Lista!M490</f>
        <v>0</v>
      </c>
      <c r="O491" s="125">
        <f>Lista!N490</f>
        <v>0</v>
      </c>
      <c r="P491" s="125">
        <f>Lista!O490</f>
        <v>0</v>
      </c>
      <c r="Q491" s="125">
        <f>Lista!P490</f>
        <v>0</v>
      </c>
      <c r="R491" s="125">
        <f>Lista!Q490</f>
        <v>0</v>
      </c>
      <c r="S491" s="125">
        <f>Lista!R490</f>
        <v>0</v>
      </c>
      <c r="T491" s="81"/>
      <c r="U491" s="81"/>
      <c r="V491" s="81"/>
      <c r="W491" s="81"/>
      <c r="X491" s="81"/>
      <c r="Y491" s="81"/>
      <c r="Z491" s="81"/>
      <c r="AA491" s="81"/>
      <c r="AB491" s="81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  <c r="BS491" s="81"/>
      <c r="BT491" s="81"/>
      <c r="BU491" s="81"/>
      <c r="BV491" s="81"/>
      <c r="BW491" s="81"/>
      <c r="BX491" s="81"/>
      <c r="BY491" s="81"/>
      <c r="BZ491" s="81"/>
      <c r="CA491" s="81"/>
      <c r="CB491" s="81"/>
      <c r="CC491" s="81"/>
      <c r="CD491" s="81"/>
      <c r="CE491" s="81"/>
      <c r="CF491" s="81"/>
      <c r="CG491" s="81"/>
      <c r="CH491" s="81"/>
      <c r="CI491" s="81"/>
      <c r="CJ491" s="81"/>
      <c r="CK491" s="81"/>
      <c r="CL491" s="81"/>
      <c r="CM491" s="81"/>
      <c r="CN491" s="81"/>
      <c r="CO491" s="81"/>
      <c r="CP491" s="81"/>
      <c r="CQ491" s="81"/>
      <c r="CR491" s="81"/>
      <c r="CS491" s="81"/>
      <c r="CT491" s="81"/>
      <c r="CU491" s="81"/>
      <c r="CV491" s="81"/>
      <c r="CW491" s="81"/>
      <c r="CX491" s="81"/>
      <c r="CY491" s="81"/>
      <c r="CZ491" s="81"/>
      <c r="DA491" s="81"/>
      <c r="DB491" s="81"/>
      <c r="DC491" s="81"/>
      <c r="DD491" s="81"/>
      <c r="DE491" s="81"/>
      <c r="DF491" s="81"/>
      <c r="DG491" s="81"/>
      <c r="DH491" s="81"/>
      <c r="DI491" s="81"/>
      <c r="DJ491" s="81"/>
      <c r="DK491" s="81"/>
      <c r="DL491" s="81"/>
      <c r="DM491" s="81"/>
      <c r="DN491" s="81"/>
      <c r="DO491" s="81"/>
      <c r="DP491" s="81"/>
      <c r="DQ491" s="81"/>
      <c r="DR491" s="81"/>
      <c r="DS491" s="81"/>
      <c r="DT491" s="81"/>
      <c r="DU491" s="81"/>
      <c r="DV491" s="81"/>
      <c r="DW491" s="121"/>
    </row>
    <row r="492" spans="1:127" x14ac:dyDescent="0.25">
      <c r="A492" s="2">
        <f>COUNTIF($D$2:D492,'Reporte de Nomina'!$E$2)</f>
        <v>0</v>
      </c>
      <c r="B492" s="125">
        <f>Lista!A491</f>
        <v>0</v>
      </c>
      <c r="C492" s="125">
        <f>Lista!B491</f>
        <v>0</v>
      </c>
      <c r="D492" s="125">
        <f>Lista!C491</f>
        <v>0</v>
      </c>
      <c r="E492" s="125">
        <f>Lista!D491</f>
        <v>0</v>
      </c>
      <c r="F492" s="125">
        <f>Lista!E491</f>
        <v>0</v>
      </c>
      <c r="G492" s="125">
        <f>Lista!F491</f>
        <v>0</v>
      </c>
      <c r="H492" s="125">
        <f>Lista!G491</f>
        <v>0</v>
      </c>
      <c r="I492" s="125">
        <f>Lista!H491</f>
        <v>0</v>
      </c>
      <c r="J492" s="125">
        <f>Lista!I491</f>
        <v>0</v>
      </c>
      <c r="K492" s="125">
        <f>Lista!J491</f>
        <v>0</v>
      </c>
      <c r="L492" s="125">
        <f>Lista!K491</f>
        <v>0</v>
      </c>
      <c r="M492" s="125">
        <f>Lista!L491</f>
        <v>0</v>
      </c>
      <c r="N492" s="125">
        <f>Lista!M491</f>
        <v>0</v>
      </c>
      <c r="O492" s="125">
        <f>Lista!N491</f>
        <v>0</v>
      </c>
      <c r="P492" s="125">
        <f>Lista!O491</f>
        <v>0</v>
      </c>
      <c r="Q492" s="125">
        <f>Lista!P491</f>
        <v>0</v>
      </c>
      <c r="R492" s="125">
        <f>Lista!Q491</f>
        <v>0</v>
      </c>
      <c r="S492" s="125">
        <f>Lista!R491</f>
        <v>0</v>
      </c>
      <c r="T492" s="81"/>
      <c r="U492" s="81"/>
      <c r="V492" s="81"/>
      <c r="W492" s="81"/>
      <c r="X492" s="81"/>
      <c r="Y492" s="81"/>
      <c r="Z492" s="81"/>
      <c r="AA492" s="81"/>
      <c r="AB492" s="81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  <c r="BS492" s="81"/>
      <c r="BT492" s="81"/>
      <c r="BU492" s="81"/>
      <c r="BV492" s="81"/>
      <c r="BW492" s="81"/>
      <c r="BX492" s="81"/>
      <c r="BY492" s="81"/>
      <c r="BZ492" s="81"/>
      <c r="CA492" s="81"/>
      <c r="CB492" s="81"/>
      <c r="CC492" s="81"/>
      <c r="CD492" s="81"/>
      <c r="CE492" s="81"/>
      <c r="CF492" s="81"/>
      <c r="CG492" s="81"/>
      <c r="CH492" s="81"/>
      <c r="CI492" s="81"/>
      <c r="CJ492" s="81"/>
      <c r="CK492" s="81"/>
      <c r="CL492" s="81"/>
      <c r="CM492" s="81"/>
      <c r="CN492" s="81"/>
      <c r="CO492" s="81"/>
      <c r="CP492" s="81"/>
      <c r="CQ492" s="81"/>
      <c r="CR492" s="81"/>
      <c r="CS492" s="81"/>
      <c r="CT492" s="81"/>
      <c r="CU492" s="81"/>
      <c r="CV492" s="81"/>
      <c r="CW492" s="81"/>
      <c r="CX492" s="81"/>
      <c r="CY492" s="81"/>
      <c r="CZ492" s="81"/>
      <c r="DA492" s="81"/>
      <c r="DB492" s="81"/>
      <c r="DC492" s="81"/>
      <c r="DD492" s="81"/>
      <c r="DE492" s="81"/>
      <c r="DF492" s="81"/>
      <c r="DG492" s="81"/>
      <c r="DH492" s="81"/>
      <c r="DI492" s="81"/>
      <c r="DJ492" s="81"/>
      <c r="DK492" s="81"/>
      <c r="DL492" s="81"/>
      <c r="DM492" s="81"/>
      <c r="DN492" s="81"/>
      <c r="DO492" s="81"/>
      <c r="DP492" s="81"/>
      <c r="DQ492" s="81"/>
      <c r="DR492" s="81"/>
      <c r="DS492" s="81"/>
      <c r="DT492" s="81"/>
      <c r="DU492" s="81"/>
      <c r="DV492" s="81"/>
      <c r="DW492" s="121"/>
    </row>
    <row r="493" spans="1:127" x14ac:dyDescent="0.25">
      <c r="A493" s="2">
        <f>COUNTIF($D$2:D493,'Reporte de Nomina'!$E$2)</f>
        <v>0</v>
      </c>
      <c r="B493" s="125">
        <f>Lista!A492</f>
        <v>0</v>
      </c>
      <c r="C493" s="125">
        <f>Lista!B492</f>
        <v>0</v>
      </c>
      <c r="D493" s="125">
        <f>Lista!C492</f>
        <v>0</v>
      </c>
      <c r="E493" s="125">
        <f>Lista!D492</f>
        <v>0</v>
      </c>
      <c r="F493" s="125">
        <f>Lista!E492</f>
        <v>0</v>
      </c>
      <c r="G493" s="125">
        <f>Lista!F492</f>
        <v>0</v>
      </c>
      <c r="H493" s="125">
        <f>Lista!G492</f>
        <v>0</v>
      </c>
      <c r="I493" s="125">
        <f>Lista!H492</f>
        <v>0</v>
      </c>
      <c r="J493" s="125">
        <f>Lista!I492</f>
        <v>0</v>
      </c>
      <c r="K493" s="125">
        <f>Lista!J492</f>
        <v>0</v>
      </c>
      <c r="L493" s="125">
        <f>Lista!K492</f>
        <v>0</v>
      </c>
      <c r="M493" s="125">
        <f>Lista!L492</f>
        <v>0</v>
      </c>
      <c r="N493" s="125">
        <f>Lista!M492</f>
        <v>0</v>
      </c>
      <c r="O493" s="125">
        <f>Lista!N492</f>
        <v>0</v>
      </c>
      <c r="P493" s="125">
        <f>Lista!O492</f>
        <v>0</v>
      </c>
      <c r="Q493" s="125">
        <f>Lista!P492</f>
        <v>0</v>
      </c>
      <c r="R493" s="125">
        <f>Lista!Q492</f>
        <v>0</v>
      </c>
      <c r="S493" s="125">
        <f>Lista!R492</f>
        <v>0</v>
      </c>
      <c r="T493" s="81"/>
      <c r="U493" s="81"/>
      <c r="V493" s="81"/>
      <c r="W493" s="81"/>
      <c r="X493" s="81"/>
      <c r="Y493" s="81"/>
      <c r="Z493" s="81"/>
      <c r="AA493" s="81"/>
      <c r="AB493" s="81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  <c r="BS493" s="81"/>
      <c r="BT493" s="81"/>
      <c r="BU493" s="81"/>
      <c r="BV493" s="81"/>
      <c r="BW493" s="81"/>
      <c r="BX493" s="81"/>
      <c r="BY493" s="81"/>
      <c r="BZ493" s="81"/>
      <c r="CA493" s="81"/>
      <c r="CB493" s="81"/>
      <c r="CC493" s="81"/>
      <c r="CD493" s="81"/>
      <c r="CE493" s="81"/>
      <c r="CF493" s="81"/>
      <c r="CG493" s="81"/>
      <c r="CH493" s="81"/>
      <c r="CI493" s="81"/>
      <c r="CJ493" s="81"/>
      <c r="CK493" s="81"/>
      <c r="CL493" s="81"/>
      <c r="CM493" s="81"/>
      <c r="CN493" s="81"/>
      <c r="CO493" s="81"/>
      <c r="CP493" s="81"/>
      <c r="CQ493" s="81"/>
      <c r="CR493" s="81"/>
      <c r="CS493" s="81"/>
      <c r="CT493" s="81"/>
      <c r="CU493" s="81"/>
      <c r="CV493" s="81"/>
      <c r="CW493" s="81"/>
      <c r="CX493" s="81"/>
      <c r="CY493" s="81"/>
      <c r="CZ493" s="81"/>
      <c r="DA493" s="81"/>
      <c r="DB493" s="81"/>
      <c r="DC493" s="81"/>
      <c r="DD493" s="81"/>
      <c r="DE493" s="81"/>
      <c r="DF493" s="81"/>
      <c r="DG493" s="81"/>
      <c r="DH493" s="81"/>
      <c r="DI493" s="81"/>
      <c r="DJ493" s="81"/>
      <c r="DK493" s="81"/>
      <c r="DL493" s="81"/>
      <c r="DM493" s="81"/>
      <c r="DN493" s="81"/>
      <c r="DO493" s="81"/>
      <c r="DP493" s="81"/>
      <c r="DQ493" s="81"/>
      <c r="DR493" s="81"/>
      <c r="DS493" s="81"/>
      <c r="DT493" s="81"/>
      <c r="DU493" s="81"/>
      <c r="DV493" s="81"/>
      <c r="DW493" s="121"/>
    </row>
    <row r="494" spans="1:127" x14ac:dyDescent="0.25">
      <c r="A494" s="2">
        <f>COUNTIF($D$2:D494,'Reporte de Nomina'!$E$2)</f>
        <v>0</v>
      </c>
      <c r="B494" s="125">
        <f>Lista!A493</f>
        <v>0</v>
      </c>
      <c r="C494" s="125">
        <f>Lista!B493</f>
        <v>0</v>
      </c>
      <c r="D494" s="125">
        <f>Lista!C493</f>
        <v>0</v>
      </c>
      <c r="E494" s="125">
        <f>Lista!D493</f>
        <v>0</v>
      </c>
      <c r="F494" s="125">
        <f>Lista!E493</f>
        <v>0</v>
      </c>
      <c r="G494" s="125">
        <f>Lista!F493</f>
        <v>0</v>
      </c>
      <c r="H494" s="125">
        <f>Lista!G493</f>
        <v>0</v>
      </c>
      <c r="I494" s="125">
        <f>Lista!H493</f>
        <v>0</v>
      </c>
      <c r="J494" s="125">
        <f>Lista!I493</f>
        <v>0</v>
      </c>
      <c r="K494" s="125">
        <f>Lista!J493</f>
        <v>0</v>
      </c>
      <c r="L494" s="125">
        <f>Lista!K493</f>
        <v>0</v>
      </c>
      <c r="M494" s="125">
        <f>Lista!L493</f>
        <v>0</v>
      </c>
      <c r="N494" s="125">
        <f>Lista!M493</f>
        <v>0</v>
      </c>
      <c r="O494" s="125">
        <f>Lista!N493</f>
        <v>0</v>
      </c>
      <c r="P494" s="125">
        <f>Lista!O493</f>
        <v>0</v>
      </c>
      <c r="Q494" s="125">
        <f>Lista!P493</f>
        <v>0</v>
      </c>
      <c r="R494" s="125">
        <f>Lista!Q493</f>
        <v>0</v>
      </c>
      <c r="S494" s="125">
        <f>Lista!R493</f>
        <v>0</v>
      </c>
      <c r="T494" s="81"/>
      <c r="U494" s="81"/>
      <c r="V494" s="81"/>
      <c r="W494" s="81"/>
      <c r="X494" s="81"/>
      <c r="Y494" s="81"/>
      <c r="Z494" s="81"/>
      <c r="AA494" s="81"/>
      <c r="AB494" s="81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  <c r="BS494" s="81"/>
      <c r="BT494" s="81"/>
      <c r="BU494" s="81"/>
      <c r="BV494" s="81"/>
      <c r="BW494" s="81"/>
      <c r="BX494" s="81"/>
      <c r="BY494" s="81"/>
      <c r="BZ494" s="81"/>
      <c r="CA494" s="81"/>
      <c r="CB494" s="81"/>
      <c r="CC494" s="81"/>
      <c r="CD494" s="81"/>
      <c r="CE494" s="81"/>
      <c r="CF494" s="81"/>
      <c r="CG494" s="81"/>
      <c r="CH494" s="81"/>
      <c r="CI494" s="81"/>
      <c r="CJ494" s="81"/>
      <c r="CK494" s="81"/>
      <c r="CL494" s="81"/>
      <c r="CM494" s="81"/>
      <c r="CN494" s="81"/>
      <c r="CO494" s="81"/>
      <c r="CP494" s="81"/>
      <c r="CQ494" s="81"/>
      <c r="CR494" s="81"/>
      <c r="CS494" s="81"/>
      <c r="CT494" s="81"/>
      <c r="CU494" s="81"/>
      <c r="CV494" s="81"/>
      <c r="CW494" s="81"/>
      <c r="CX494" s="81"/>
      <c r="CY494" s="81"/>
      <c r="CZ494" s="81"/>
      <c r="DA494" s="81"/>
      <c r="DB494" s="81"/>
      <c r="DC494" s="81"/>
      <c r="DD494" s="81"/>
      <c r="DE494" s="81"/>
      <c r="DF494" s="81"/>
      <c r="DG494" s="81"/>
      <c r="DH494" s="81"/>
      <c r="DI494" s="81"/>
      <c r="DJ494" s="81"/>
      <c r="DK494" s="81"/>
      <c r="DL494" s="81"/>
      <c r="DM494" s="81"/>
      <c r="DN494" s="81"/>
      <c r="DO494" s="81"/>
      <c r="DP494" s="81"/>
      <c r="DQ494" s="81"/>
      <c r="DR494" s="81"/>
      <c r="DS494" s="81"/>
      <c r="DT494" s="81"/>
      <c r="DU494" s="81"/>
      <c r="DV494" s="81"/>
      <c r="DW494" s="121"/>
    </row>
    <row r="495" spans="1:127" x14ac:dyDescent="0.25">
      <c r="A495" s="2">
        <f>COUNTIF($D$2:D495,'Reporte de Nomina'!$E$2)</f>
        <v>0</v>
      </c>
      <c r="B495" s="125">
        <f>Lista!A494</f>
        <v>0</v>
      </c>
      <c r="C495" s="125">
        <f>Lista!B494</f>
        <v>0</v>
      </c>
      <c r="D495" s="125">
        <f>Lista!C494</f>
        <v>0</v>
      </c>
      <c r="E495" s="125">
        <f>Lista!D494</f>
        <v>0</v>
      </c>
      <c r="F495" s="125">
        <f>Lista!E494</f>
        <v>0</v>
      </c>
      <c r="G495" s="125">
        <f>Lista!F494</f>
        <v>0</v>
      </c>
      <c r="H495" s="125">
        <f>Lista!G494</f>
        <v>0</v>
      </c>
      <c r="I495" s="125">
        <f>Lista!H494</f>
        <v>0</v>
      </c>
      <c r="J495" s="125">
        <f>Lista!I494</f>
        <v>0</v>
      </c>
      <c r="K495" s="125">
        <f>Lista!J494</f>
        <v>0</v>
      </c>
      <c r="L495" s="125">
        <f>Lista!K494</f>
        <v>0</v>
      </c>
      <c r="M495" s="125">
        <f>Lista!L494</f>
        <v>0</v>
      </c>
      <c r="N495" s="125">
        <f>Lista!M494</f>
        <v>0</v>
      </c>
      <c r="O495" s="125">
        <f>Lista!N494</f>
        <v>0</v>
      </c>
      <c r="P495" s="125">
        <f>Lista!O494</f>
        <v>0</v>
      </c>
      <c r="Q495" s="125">
        <f>Lista!P494</f>
        <v>0</v>
      </c>
      <c r="R495" s="125">
        <f>Lista!Q494</f>
        <v>0</v>
      </c>
      <c r="S495" s="125">
        <f>Lista!R494</f>
        <v>0</v>
      </c>
      <c r="T495" s="81"/>
      <c r="U495" s="81"/>
      <c r="V495" s="81"/>
      <c r="W495" s="81"/>
      <c r="X495" s="81"/>
      <c r="Y495" s="81"/>
      <c r="Z495" s="81"/>
      <c r="AA495" s="81"/>
      <c r="AB495" s="81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  <c r="BS495" s="81"/>
      <c r="BT495" s="81"/>
      <c r="BU495" s="81"/>
      <c r="BV495" s="81"/>
      <c r="BW495" s="81"/>
      <c r="BX495" s="81"/>
      <c r="BY495" s="81"/>
      <c r="BZ495" s="81"/>
      <c r="CA495" s="81"/>
      <c r="CB495" s="81"/>
      <c r="CC495" s="81"/>
      <c r="CD495" s="81"/>
      <c r="CE495" s="81"/>
      <c r="CF495" s="81"/>
      <c r="CG495" s="81"/>
      <c r="CH495" s="81"/>
      <c r="CI495" s="81"/>
      <c r="CJ495" s="81"/>
      <c r="CK495" s="81"/>
      <c r="CL495" s="81"/>
      <c r="CM495" s="81"/>
      <c r="CN495" s="81"/>
      <c r="CO495" s="81"/>
      <c r="CP495" s="81"/>
      <c r="CQ495" s="81"/>
      <c r="CR495" s="81"/>
      <c r="CS495" s="81"/>
      <c r="CT495" s="81"/>
      <c r="CU495" s="81"/>
      <c r="CV495" s="81"/>
      <c r="CW495" s="81"/>
      <c r="CX495" s="81"/>
      <c r="CY495" s="81"/>
      <c r="CZ495" s="81"/>
      <c r="DA495" s="81"/>
      <c r="DB495" s="81"/>
      <c r="DC495" s="81"/>
      <c r="DD495" s="81"/>
      <c r="DE495" s="81"/>
      <c r="DF495" s="81"/>
      <c r="DG495" s="81"/>
      <c r="DH495" s="81"/>
      <c r="DI495" s="81"/>
      <c r="DJ495" s="81"/>
      <c r="DK495" s="81"/>
      <c r="DL495" s="81"/>
      <c r="DM495" s="81"/>
      <c r="DN495" s="81"/>
      <c r="DO495" s="81"/>
      <c r="DP495" s="81"/>
      <c r="DQ495" s="81"/>
      <c r="DR495" s="81"/>
      <c r="DS495" s="81"/>
      <c r="DT495" s="81"/>
      <c r="DU495" s="81"/>
      <c r="DV495" s="81"/>
      <c r="DW495" s="121"/>
    </row>
    <row r="496" spans="1:127" x14ac:dyDescent="0.25">
      <c r="A496" s="2">
        <f>COUNTIF($D$2:D496,'Reporte de Nomina'!$E$2)</f>
        <v>0</v>
      </c>
      <c r="B496" s="125">
        <f>Lista!A495</f>
        <v>0</v>
      </c>
      <c r="C496" s="125">
        <f>Lista!B495</f>
        <v>0</v>
      </c>
      <c r="D496" s="125">
        <f>Lista!C495</f>
        <v>0</v>
      </c>
      <c r="E496" s="125">
        <f>Lista!D495</f>
        <v>0</v>
      </c>
      <c r="F496" s="125">
        <f>Lista!E495</f>
        <v>0</v>
      </c>
      <c r="G496" s="125">
        <f>Lista!F495</f>
        <v>0</v>
      </c>
      <c r="H496" s="125">
        <f>Lista!G495</f>
        <v>0</v>
      </c>
      <c r="I496" s="125">
        <f>Lista!H495</f>
        <v>0</v>
      </c>
      <c r="J496" s="125">
        <f>Lista!I495</f>
        <v>0</v>
      </c>
      <c r="K496" s="125">
        <f>Lista!J495</f>
        <v>0</v>
      </c>
      <c r="L496" s="125">
        <f>Lista!K495</f>
        <v>0</v>
      </c>
      <c r="M496" s="125">
        <f>Lista!L495</f>
        <v>0</v>
      </c>
      <c r="N496" s="125">
        <f>Lista!M495</f>
        <v>0</v>
      </c>
      <c r="O496" s="125">
        <f>Lista!N495</f>
        <v>0</v>
      </c>
      <c r="P496" s="125">
        <f>Lista!O495</f>
        <v>0</v>
      </c>
      <c r="Q496" s="125">
        <f>Lista!P495</f>
        <v>0</v>
      </c>
      <c r="R496" s="125">
        <f>Lista!Q495</f>
        <v>0</v>
      </c>
      <c r="S496" s="125">
        <f>Lista!R495</f>
        <v>0</v>
      </c>
      <c r="T496" s="81"/>
      <c r="U496" s="81"/>
      <c r="V496" s="81"/>
      <c r="W496" s="81"/>
      <c r="X496" s="81"/>
      <c r="Y496" s="81"/>
      <c r="Z496" s="81"/>
      <c r="AA496" s="81"/>
      <c r="AB496" s="81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  <c r="BS496" s="81"/>
      <c r="BT496" s="81"/>
      <c r="BU496" s="81"/>
      <c r="BV496" s="81"/>
      <c r="BW496" s="81"/>
      <c r="BX496" s="81"/>
      <c r="BY496" s="81"/>
      <c r="BZ496" s="81"/>
      <c r="CA496" s="81"/>
      <c r="CB496" s="81"/>
      <c r="CC496" s="81"/>
      <c r="CD496" s="81"/>
      <c r="CE496" s="81"/>
      <c r="CF496" s="81"/>
      <c r="CG496" s="81"/>
      <c r="CH496" s="81"/>
      <c r="CI496" s="81"/>
      <c r="CJ496" s="81"/>
      <c r="CK496" s="81"/>
      <c r="CL496" s="81"/>
      <c r="CM496" s="81"/>
      <c r="CN496" s="81"/>
      <c r="CO496" s="81"/>
      <c r="CP496" s="81"/>
      <c r="CQ496" s="81"/>
      <c r="CR496" s="81"/>
      <c r="CS496" s="81"/>
      <c r="CT496" s="81"/>
      <c r="CU496" s="81"/>
      <c r="CV496" s="81"/>
      <c r="CW496" s="81"/>
      <c r="CX496" s="81"/>
      <c r="CY496" s="81"/>
      <c r="CZ496" s="81"/>
      <c r="DA496" s="81"/>
      <c r="DB496" s="81"/>
      <c r="DC496" s="81"/>
      <c r="DD496" s="81"/>
      <c r="DE496" s="81"/>
      <c r="DF496" s="81"/>
      <c r="DG496" s="81"/>
      <c r="DH496" s="81"/>
      <c r="DI496" s="81"/>
      <c r="DJ496" s="81"/>
      <c r="DK496" s="81"/>
      <c r="DL496" s="81"/>
      <c r="DM496" s="81"/>
      <c r="DN496" s="81"/>
      <c r="DO496" s="81"/>
      <c r="DP496" s="81"/>
      <c r="DQ496" s="81"/>
      <c r="DR496" s="81"/>
      <c r="DS496" s="81"/>
      <c r="DT496" s="81"/>
      <c r="DU496" s="81"/>
      <c r="DV496" s="81"/>
      <c r="DW496" s="121"/>
    </row>
    <row r="497" spans="1:127" x14ac:dyDescent="0.25">
      <c r="A497" s="2">
        <f>COUNTIF($D$2:D497,'Reporte de Nomina'!$E$2)</f>
        <v>0</v>
      </c>
      <c r="B497" s="125">
        <f>Lista!A496</f>
        <v>0</v>
      </c>
      <c r="C497" s="125">
        <f>Lista!B496</f>
        <v>0</v>
      </c>
      <c r="D497" s="125">
        <f>Lista!C496</f>
        <v>0</v>
      </c>
      <c r="E497" s="125">
        <f>Lista!D496</f>
        <v>0</v>
      </c>
      <c r="F497" s="125">
        <f>Lista!E496</f>
        <v>0</v>
      </c>
      <c r="G497" s="125">
        <f>Lista!F496</f>
        <v>0</v>
      </c>
      <c r="H497" s="125">
        <f>Lista!G496</f>
        <v>0</v>
      </c>
      <c r="I497" s="125">
        <f>Lista!H496</f>
        <v>0</v>
      </c>
      <c r="J497" s="125">
        <f>Lista!I496</f>
        <v>0</v>
      </c>
      <c r="K497" s="125">
        <f>Lista!J496</f>
        <v>0</v>
      </c>
      <c r="L497" s="125">
        <f>Lista!K496</f>
        <v>0</v>
      </c>
      <c r="M497" s="125">
        <f>Lista!L496</f>
        <v>0</v>
      </c>
      <c r="N497" s="125">
        <f>Lista!M496</f>
        <v>0</v>
      </c>
      <c r="O497" s="125">
        <f>Lista!N496</f>
        <v>0</v>
      </c>
      <c r="P497" s="125">
        <f>Lista!O496</f>
        <v>0</v>
      </c>
      <c r="Q497" s="125">
        <f>Lista!P496</f>
        <v>0</v>
      </c>
      <c r="R497" s="125">
        <f>Lista!Q496</f>
        <v>0</v>
      </c>
      <c r="S497" s="125">
        <f>Lista!R496</f>
        <v>0</v>
      </c>
      <c r="T497" s="81"/>
      <c r="U497" s="81"/>
      <c r="V497" s="81"/>
      <c r="W497" s="81"/>
      <c r="X497" s="81"/>
      <c r="Y497" s="81"/>
      <c r="Z497" s="81"/>
      <c r="AA497" s="81"/>
      <c r="AB497" s="81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  <c r="BS497" s="81"/>
      <c r="BT497" s="81"/>
      <c r="BU497" s="81"/>
      <c r="BV497" s="81"/>
      <c r="BW497" s="81"/>
      <c r="BX497" s="81"/>
      <c r="BY497" s="81"/>
      <c r="BZ497" s="81"/>
      <c r="CA497" s="81"/>
      <c r="CB497" s="81"/>
      <c r="CC497" s="81"/>
      <c r="CD497" s="81"/>
      <c r="CE497" s="81"/>
      <c r="CF497" s="81"/>
      <c r="CG497" s="81"/>
      <c r="CH497" s="81"/>
      <c r="CI497" s="81"/>
      <c r="CJ497" s="81"/>
      <c r="CK497" s="81"/>
      <c r="CL497" s="81"/>
      <c r="CM497" s="81"/>
      <c r="CN497" s="81"/>
      <c r="CO497" s="81"/>
      <c r="CP497" s="81"/>
      <c r="CQ497" s="81"/>
      <c r="CR497" s="81"/>
      <c r="CS497" s="81"/>
      <c r="CT497" s="81"/>
      <c r="CU497" s="81"/>
      <c r="CV497" s="81"/>
      <c r="CW497" s="81"/>
      <c r="CX497" s="81"/>
      <c r="CY497" s="81"/>
      <c r="CZ497" s="81"/>
      <c r="DA497" s="81"/>
      <c r="DB497" s="81"/>
      <c r="DC497" s="81"/>
      <c r="DD497" s="81"/>
      <c r="DE497" s="81"/>
      <c r="DF497" s="81"/>
      <c r="DG497" s="81"/>
      <c r="DH497" s="81"/>
      <c r="DI497" s="81"/>
      <c r="DJ497" s="81"/>
      <c r="DK497" s="81"/>
      <c r="DL497" s="81"/>
      <c r="DM497" s="81"/>
      <c r="DN497" s="81"/>
      <c r="DO497" s="81"/>
      <c r="DP497" s="81"/>
      <c r="DQ497" s="81"/>
      <c r="DR497" s="81"/>
      <c r="DS497" s="81"/>
      <c r="DT497" s="81"/>
      <c r="DU497" s="81"/>
      <c r="DV497" s="81"/>
      <c r="DW497" s="121"/>
    </row>
    <row r="498" spans="1:127" x14ac:dyDescent="0.25">
      <c r="A498" s="2">
        <f>COUNTIF($D$2:D498,'Reporte de Nomina'!$E$2)</f>
        <v>0</v>
      </c>
      <c r="B498" s="125">
        <f>Lista!A497</f>
        <v>0</v>
      </c>
      <c r="C498" s="125">
        <f>Lista!B497</f>
        <v>0</v>
      </c>
      <c r="D498" s="125">
        <f>Lista!C497</f>
        <v>0</v>
      </c>
      <c r="E498" s="125">
        <f>Lista!D497</f>
        <v>0</v>
      </c>
      <c r="F498" s="125">
        <f>Lista!E497</f>
        <v>0</v>
      </c>
      <c r="G498" s="125">
        <f>Lista!F497</f>
        <v>0</v>
      </c>
      <c r="H498" s="125">
        <f>Lista!G497</f>
        <v>0</v>
      </c>
      <c r="I498" s="125">
        <f>Lista!H497</f>
        <v>0</v>
      </c>
      <c r="J498" s="125">
        <f>Lista!I497</f>
        <v>0</v>
      </c>
      <c r="K498" s="125">
        <f>Lista!J497</f>
        <v>0</v>
      </c>
      <c r="L498" s="125">
        <f>Lista!K497</f>
        <v>0</v>
      </c>
      <c r="M498" s="125">
        <f>Lista!L497</f>
        <v>0</v>
      </c>
      <c r="N498" s="125">
        <f>Lista!M497</f>
        <v>0</v>
      </c>
      <c r="O498" s="125">
        <f>Lista!N497</f>
        <v>0</v>
      </c>
      <c r="P498" s="125">
        <f>Lista!O497</f>
        <v>0</v>
      </c>
      <c r="Q498" s="125">
        <f>Lista!P497</f>
        <v>0</v>
      </c>
      <c r="R498" s="125">
        <f>Lista!Q497</f>
        <v>0</v>
      </c>
      <c r="S498" s="125">
        <f>Lista!R497</f>
        <v>0</v>
      </c>
      <c r="T498" s="81"/>
      <c r="U498" s="81"/>
      <c r="V498" s="81"/>
      <c r="W498" s="81"/>
      <c r="X498" s="81"/>
      <c r="Y498" s="81"/>
      <c r="Z498" s="81"/>
      <c r="AA498" s="81"/>
      <c r="AB498" s="81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  <c r="BS498" s="81"/>
      <c r="BT498" s="81"/>
      <c r="BU498" s="81"/>
      <c r="BV498" s="81"/>
      <c r="BW498" s="81"/>
      <c r="BX498" s="81"/>
      <c r="BY498" s="81"/>
      <c r="BZ498" s="81"/>
      <c r="CA498" s="81"/>
      <c r="CB498" s="81"/>
      <c r="CC498" s="81"/>
      <c r="CD498" s="81"/>
      <c r="CE498" s="81"/>
      <c r="CF498" s="81"/>
      <c r="CG498" s="81"/>
      <c r="CH498" s="81"/>
      <c r="CI498" s="81"/>
      <c r="CJ498" s="81"/>
      <c r="CK498" s="81"/>
      <c r="CL498" s="81"/>
      <c r="CM498" s="81"/>
      <c r="CN498" s="81"/>
      <c r="CO498" s="81"/>
      <c r="CP498" s="81"/>
      <c r="CQ498" s="81"/>
      <c r="CR498" s="81"/>
      <c r="CS498" s="81"/>
      <c r="CT498" s="81"/>
      <c r="CU498" s="81"/>
      <c r="CV498" s="81"/>
      <c r="CW498" s="81"/>
      <c r="CX498" s="81"/>
      <c r="CY498" s="81"/>
      <c r="CZ498" s="81"/>
      <c r="DA498" s="81"/>
      <c r="DB498" s="81"/>
      <c r="DC498" s="81"/>
      <c r="DD498" s="81"/>
      <c r="DE498" s="81"/>
      <c r="DF498" s="81"/>
      <c r="DG498" s="81"/>
      <c r="DH498" s="81"/>
      <c r="DI498" s="81"/>
      <c r="DJ498" s="81"/>
      <c r="DK498" s="81"/>
      <c r="DL498" s="81"/>
      <c r="DM498" s="81"/>
      <c r="DN498" s="81"/>
      <c r="DO498" s="81"/>
      <c r="DP498" s="81"/>
      <c r="DQ498" s="81"/>
      <c r="DR498" s="81"/>
      <c r="DS498" s="81"/>
      <c r="DT498" s="81"/>
      <c r="DU498" s="81"/>
      <c r="DV498" s="81"/>
      <c r="DW498" s="121"/>
    </row>
    <row r="499" spans="1:127" x14ac:dyDescent="0.25">
      <c r="A499" s="2">
        <f>COUNTIF($D$2:D499,'Reporte de Nomina'!$E$2)</f>
        <v>0</v>
      </c>
      <c r="B499" s="125">
        <f>Lista!A498</f>
        <v>0</v>
      </c>
      <c r="C499" s="125">
        <f>Lista!B498</f>
        <v>0</v>
      </c>
      <c r="D499" s="125">
        <f>Lista!C498</f>
        <v>0</v>
      </c>
      <c r="E499" s="125">
        <f>Lista!D498</f>
        <v>0</v>
      </c>
      <c r="F499" s="125">
        <f>Lista!E498</f>
        <v>0</v>
      </c>
      <c r="G499" s="125">
        <f>Lista!F498</f>
        <v>0</v>
      </c>
      <c r="H499" s="125">
        <f>Lista!G498</f>
        <v>0</v>
      </c>
      <c r="I499" s="125">
        <f>Lista!H498</f>
        <v>0</v>
      </c>
      <c r="J499" s="125">
        <f>Lista!I498</f>
        <v>0</v>
      </c>
      <c r="K499" s="125">
        <f>Lista!J498</f>
        <v>0</v>
      </c>
      <c r="L499" s="125">
        <f>Lista!K498</f>
        <v>0</v>
      </c>
      <c r="M499" s="125">
        <f>Lista!L498</f>
        <v>0</v>
      </c>
      <c r="N499" s="125">
        <f>Lista!M498</f>
        <v>0</v>
      </c>
      <c r="O499" s="125">
        <f>Lista!N498</f>
        <v>0</v>
      </c>
      <c r="P499" s="125">
        <f>Lista!O498</f>
        <v>0</v>
      </c>
      <c r="Q499" s="125">
        <f>Lista!P498</f>
        <v>0</v>
      </c>
      <c r="R499" s="125">
        <f>Lista!Q498</f>
        <v>0</v>
      </c>
      <c r="S499" s="125">
        <f>Lista!R498</f>
        <v>0</v>
      </c>
      <c r="T499" s="81"/>
      <c r="U499" s="81"/>
      <c r="V499" s="81"/>
      <c r="W499" s="81"/>
      <c r="X499" s="81"/>
      <c r="Y499" s="81"/>
      <c r="Z499" s="81"/>
      <c r="AA499" s="81"/>
      <c r="AB499" s="81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  <c r="BS499" s="81"/>
      <c r="BT499" s="81"/>
      <c r="BU499" s="81"/>
      <c r="BV499" s="81"/>
      <c r="BW499" s="81"/>
      <c r="BX499" s="81"/>
      <c r="BY499" s="81"/>
      <c r="BZ499" s="81"/>
      <c r="CA499" s="81"/>
      <c r="CB499" s="81"/>
      <c r="CC499" s="81"/>
      <c r="CD499" s="81"/>
      <c r="CE499" s="81"/>
      <c r="CF499" s="81"/>
      <c r="CG499" s="81"/>
      <c r="CH499" s="81"/>
      <c r="CI499" s="81"/>
      <c r="CJ499" s="81"/>
      <c r="CK499" s="81"/>
      <c r="CL499" s="81"/>
      <c r="CM499" s="81"/>
      <c r="CN499" s="81"/>
      <c r="CO499" s="81"/>
      <c r="CP499" s="81"/>
      <c r="CQ499" s="81"/>
      <c r="CR499" s="81"/>
      <c r="CS499" s="81"/>
      <c r="CT499" s="81"/>
      <c r="CU499" s="81"/>
      <c r="CV499" s="81"/>
      <c r="CW499" s="81"/>
      <c r="CX499" s="81"/>
      <c r="CY499" s="81"/>
      <c r="CZ499" s="81"/>
      <c r="DA499" s="81"/>
      <c r="DB499" s="81"/>
      <c r="DC499" s="81"/>
      <c r="DD499" s="81"/>
      <c r="DE499" s="81"/>
      <c r="DF499" s="81"/>
      <c r="DG499" s="81"/>
      <c r="DH499" s="81"/>
      <c r="DI499" s="81"/>
      <c r="DJ499" s="81"/>
      <c r="DK499" s="81"/>
      <c r="DL499" s="81"/>
      <c r="DM499" s="81"/>
      <c r="DN499" s="81"/>
      <c r="DO499" s="81"/>
      <c r="DP499" s="81"/>
      <c r="DQ499" s="81"/>
      <c r="DR499" s="81"/>
      <c r="DS499" s="81"/>
      <c r="DT499" s="81"/>
      <c r="DU499" s="81"/>
      <c r="DV499" s="81"/>
      <c r="DW499" s="121"/>
    </row>
    <row r="500" spans="1:127" x14ac:dyDescent="0.25">
      <c r="A500" s="2">
        <f>COUNTIF($D$2:D500,'Reporte de Nomina'!$E$2)</f>
        <v>0</v>
      </c>
      <c r="B500" s="125">
        <f>Lista!A499</f>
        <v>0</v>
      </c>
      <c r="C500" s="125">
        <f>Lista!B499</f>
        <v>0</v>
      </c>
      <c r="D500" s="125">
        <f>Lista!C499</f>
        <v>0</v>
      </c>
      <c r="E500" s="125">
        <f>Lista!D499</f>
        <v>0</v>
      </c>
      <c r="F500" s="125">
        <f>Lista!E499</f>
        <v>0</v>
      </c>
      <c r="G500" s="125">
        <f>Lista!F499</f>
        <v>0</v>
      </c>
      <c r="H500" s="125">
        <f>Lista!G499</f>
        <v>0</v>
      </c>
      <c r="I500" s="125">
        <f>Lista!H499</f>
        <v>0</v>
      </c>
      <c r="J500" s="125">
        <f>Lista!I499</f>
        <v>0</v>
      </c>
      <c r="K500" s="125">
        <f>Lista!J499</f>
        <v>0</v>
      </c>
      <c r="L500" s="125">
        <f>Lista!K499</f>
        <v>0</v>
      </c>
      <c r="M500" s="125">
        <f>Lista!L499</f>
        <v>0</v>
      </c>
      <c r="N500" s="125">
        <f>Lista!M499</f>
        <v>0</v>
      </c>
      <c r="O500" s="125">
        <f>Lista!N499</f>
        <v>0</v>
      </c>
      <c r="P500" s="125">
        <f>Lista!O499</f>
        <v>0</v>
      </c>
      <c r="Q500" s="125">
        <f>Lista!P499</f>
        <v>0</v>
      </c>
      <c r="R500" s="125">
        <f>Lista!Q499</f>
        <v>0</v>
      </c>
      <c r="S500" s="125">
        <f>Lista!R499</f>
        <v>0</v>
      </c>
      <c r="T500" s="81"/>
      <c r="U500" s="81"/>
      <c r="V500" s="81"/>
      <c r="W500" s="81"/>
      <c r="X500" s="81"/>
      <c r="Y500" s="81"/>
      <c r="Z500" s="81"/>
      <c r="AA500" s="81"/>
      <c r="AB500" s="81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  <c r="BS500" s="81"/>
      <c r="BT500" s="81"/>
      <c r="BU500" s="81"/>
      <c r="BV500" s="81"/>
      <c r="BW500" s="81"/>
      <c r="BX500" s="81"/>
      <c r="BY500" s="81"/>
      <c r="BZ500" s="81"/>
      <c r="CA500" s="81"/>
      <c r="CB500" s="81"/>
      <c r="CC500" s="81"/>
      <c r="CD500" s="81"/>
      <c r="CE500" s="81"/>
      <c r="CF500" s="81"/>
      <c r="CG500" s="81"/>
      <c r="CH500" s="81"/>
      <c r="CI500" s="81"/>
      <c r="CJ500" s="81"/>
      <c r="CK500" s="81"/>
      <c r="CL500" s="81"/>
      <c r="CM500" s="81"/>
      <c r="CN500" s="81"/>
      <c r="CO500" s="81"/>
      <c r="CP500" s="81"/>
      <c r="CQ500" s="81"/>
      <c r="CR500" s="81"/>
      <c r="CS500" s="81"/>
      <c r="CT500" s="81"/>
      <c r="CU500" s="81"/>
      <c r="CV500" s="81"/>
      <c r="CW500" s="81"/>
      <c r="CX500" s="81"/>
      <c r="CY500" s="81"/>
      <c r="CZ500" s="81"/>
      <c r="DA500" s="81"/>
      <c r="DB500" s="81"/>
      <c r="DC500" s="81"/>
      <c r="DD500" s="81"/>
      <c r="DE500" s="81"/>
      <c r="DF500" s="81"/>
      <c r="DG500" s="81"/>
      <c r="DH500" s="81"/>
      <c r="DI500" s="81"/>
      <c r="DJ500" s="81"/>
      <c r="DK500" s="81"/>
      <c r="DL500" s="81"/>
      <c r="DM500" s="81"/>
      <c r="DN500" s="81"/>
      <c r="DO500" s="81"/>
      <c r="DP500" s="81"/>
      <c r="DQ500" s="81"/>
      <c r="DR500" s="81"/>
      <c r="DS500" s="81"/>
      <c r="DT500" s="81"/>
      <c r="DU500" s="81"/>
      <c r="DV500" s="81"/>
      <c r="DW500" s="121"/>
    </row>
    <row r="501" spans="1:127" x14ac:dyDescent="0.25">
      <c r="A501" s="2">
        <f>COUNTIF($D$2:D501,'Reporte de Nomina'!$E$2)</f>
        <v>0</v>
      </c>
      <c r="B501" s="125">
        <f>Lista!A500</f>
        <v>0</v>
      </c>
      <c r="C501" s="125">
        <f>Lista!B500</f>
        <v>0</v>
      </c>
      <c r="D501" s="125">
        <f>Lista!C500</f>
        <v>0</v>
      </c>
      <c r="E501" s="125">
        <f>Lista!D500</f>
        <v>0</v>
      </c>
      <c r="F501" s="125">
        <f>Lista!E500</f>
        <v>0</v>
      </c>
      <c r="G501" s="125">
        <f>Lista!F500</f>
        <v>0</v>
      </c>
      <c r="H501" s="125">
        <f>Lista!G500</f>
        <v>0</v>
      </c>
      <c r="I501" s="125">
        <f>Lista!H500</f>
        <v>0</v>
      </c>
      <c r="J501" s="125">
        <f>Lista!I500</f>
        <v>0</v>
      </c>
      <c r="K501" s="125">
        <f>Lista!J500</f>
        <v>0</v>
      </c>
      <c r="L501" s="125">
        <f>Lista!K500</f>
        <v>0</v>
      </c>
      <c r="M501" s="125">
        <f>Lista!L500</f>
        <v>0</v>
      </c>
      <c r="N501" s="125">
        <f>Lista!M500</f>
        <v>0</v>
      </c>
      <c r="O501" s="125">
        <f>Lista!N500</f>
        <v>0</v>
      </c>
      <c r="P501" s="125">
        <f>Lista!O500</f>
        <v>0</v>
      </c>
      <c r="Q501" s="125">
        <f>Lista!P500</f>
        <v>0</v>
      </c>
      <c r="R501" s="125">
        <f>Lista!Q500</f>
        <v>0</v>
      </c>
      <c r="S501" s="125">
        <f>Lista!R500</f>
        <v>0</v>
      </c>
      <c r="T501" s="81"/>
      <c r="U501" s="81"/>
      <c r="V501" s="81"/>
      <c r="W501" s="81"/>
      <c r="X501" s="81"/>
      <c r="Y501" s="81"/>
      <c r="Z501" s="81"/>
      <c r="AA501" s="81"/>
      <c r="AB501" s="81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  <c r="BS501" s="81"/>
      <c r="BT501" s="81"/>
      <c r="BU501" s="81"/>
      <c r="BV501" s="81"/>
      <c r="BW501" s="81"/>
      <c r="BX501" s="81"/>
      <c r="BY501" s="81"/>
      <c r="BZ501" s="81"/>
      <c r="CA501" s="81"/>
      <c r="CB501" s="81"/>
      <c r="CC501" s="81"/>
      <c r="CD501" s="81"/>
      <c r="CE501" s="81"/>
      <c r="CF501" s="81"/>
      <c r="CG501" s="81"/>
      <c r="CH501" s="81"/>
      <c r="CI501" s="81"/>
      <c r="CJ501" s="81"/>
      <c r="CK501" s="81"/>
      <c r="CL501" s="81"/>
      <c r="CM501" s="81"/>
      <c r="CN501" s="81"/>
      <c r="CO501" s="81"/>
      <c r="CP501" s="81"/>
      <c r="CQ501" s="81"/>
      <c r="CR501" s="81"/>
      <c r="CS501" s="81"/>
      <c r="CT501" s="81"/>
      <c r="CU501" s="81"/>
      <c r="CV501" s="81"/>
      <c r="CW501" s="81"/>
      <c r="CX501" s="81"/>
      <c r="CY501" s="81"/>
      <c r="CZ501" s="81"/>
      <c r="DA501" s="81"/>
      <c r="DB501" s="81"/>
      <c r="DC501" s="81"/>
      <c r="DD501" s="81"/>
      <c r="DE501" s="81"/>
      <c r="DF501" s="81"/>
      <c r="DG501" s="81"/>
      <c r="DH501" s="81"/>
      <c r="DI501" s="81"/>
      <c r="DJ501" s="81"/>
      <c r="DK501" s="81"/>
      <c r="DL501" s="81"/>
      <c r="DM501" s="81"/>
      <c r="DN501" s="81"/>
      <c r="DO501" s="81"/>
      <c r="DP501" s="81"/>
      <c r="DQ501" s="81"/>
      <c r="DR501" s="81"/>
      <c r="DS501" s="81"/>
      <c r="DT501" s="81"/>
      <c r="DU501" s="81"/>
      <c r="DV501" s="81"/>
      <c r="DW501" s="121"/>
    </row>
    <row r="502" spans="1:127" x14ac:dyDescent="0.25">
      <c r="A502" s="2">
        <f>COUNTIF($D$2:D502,'Reporte de Nomina'!$E$2)</f>
        <v>0</v>
      </c>
      <c r="B502" s="125">
        <f>Lista!A501</f>
        <v>0</v>
      </c>
      <c r="C502" s="125">
        <f>Lista!B501</f>
        <v>0</v>
      </c>
      <c r="D502" s="125">
        <f>Lista!C501</f>
        <v>0</v>
      </c>
      <c r="E502" s="125">
        <f>Lista!D501</f>
        <v>0</v>
      </c>
      <c r="F502" s="125">
        <f>Lista!E501</f>
        <v>0</v>
      </c>
      <c r="G502" s="125">
        <f>Lista!F501</f>
        <v>0</v>
      </c>
      <c r="H502" s="125">
        <f>Lista!G501</f>
        <v>0</v>
      </c>
      <c r="I502" s="125">
        <f>Lista!H501</f>
        <v>0</v>
      </c>
      <c r="J502" s="125">
        <f>Lista!I501</f>
        <v>0</v>
      </c>
      <c r="K502" s="125">
        <f>Lista!J501</f>
        <v>0</v>
      </c>
      <c r="L502" s="125">
        <f>Lista!K501</f>
        <v>0</v>
      </c>
      <c r="M502" s="125">
        <f>Lista!L501</f>
        <v>0</v>
      </c>
      <c r="N502" s="125">
        <f>Lista!M501</f>
        <v>0</v>
      </c>
      <c r="O502" s="125">
        <f>Lista!N501</f>
        <v>0</v>
      </c>
      <c r="P502" s="125">
        <f>Lista!O501</f>
        <v>0</v>
      </c>
      <c r="Q502" s="125">
        <f>Lista!P501</f>
        <v>0</v>
      </c>
      <c r="R502" s="125">
        <f>Lista!Q501</f>
        <v>0</v>
      </c>
      <c r="S502" s="125">
        <f>Lista!R501</f>
        <v>0</v>
      </c>
      <c r="T502" s="81"/>
      <c r="U502" s="81"/>
      <c r="V502" s="81"/>
      <c r="W502" s="81"/>
      <c r="X502" s="81"/>
      <c r="Y502" s="81"/>
      <c r="Z502" s="81"/>
      <c r="AA502" s="81"/>
      <c r="AB502" s="81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  <c r="BS502" s="81"/>
      <c r="BT502" s="81"/>
      <c r="BU502" s="81"/>
      <c r="BV502" s="81"/>
      <c r="BW502" s="81"/>
      <c r="BX502" s="81"/>
      <c r="BY502" s="81"/>
      <c r="BZ502" s="81"/>
      <c r="CA502" s="81"/>
      <c r="CB502" s="81"/>
      <c r="CC502" s="81"/>
      <c r="CD502" s="81"/>
      <c r="CE502" s="81"/>
      <c r="CF502" s="81"/>
      <c r="CG502" s="81"/>
      <c r="CH502" s="81"/>
      <c r="CI502" s="81"/>
      <c r="CJ502" s="81"/>
      <c r="CK502" s="81"/>
      <c r="CL502" s="81"/>
      <c r="CM502" s="81"/>
      <c r="CN502" s="81"/>
      <c r="CO502" s="81"/>
      <c r="CP502" s="81"/>
      <c r="CQ502" s="81"/>
      <c r="CR502" s="81"/>
      <c r="CS502" s="81"/>
      <c r="CT502" s="81"/>
      <c r="CU502" s="81"/>
      <c r="CV502" s="81"/>
      <c r="CW502" s="81"/>
      <c r="CX502" s="81"/>
      <c r="CY502" s="81"/>
      <c r="CZ502" s="81"/>
      <c r="DA502" s="81"/>
      <c r="DB502" s="81"/>
      <c r="DC502" s="81"/>
      <c r="DD502" s="81"/>
      <c r="DE502" s="81"/>
      <c r="DF502" s="81"/>
      <c r="DG502" s="81"/>
      <c r="DH502" s="81"/>
      <c r="DI502" s="81"/>
      <c r="DJ502" s="81"/>
      <c r="DK502" s="81"/>
      <c r="DL502" s="81"/>
      <c r="DM502" s="81"/>
      <c r="DN502" s="81"/>
      <c r="DO502" s="81"/>
      <c r="DP502" s="81"/>
      <c r="DQ502" s="81"/>
      <c r="DR502" s="81"/>
      <c r="DS502" s="81"/>
      <c r="DT502" s="81"/>
      <c r="DU502" s="81"/>
      <c r="DV502" s="81"/>
      <c r="DW502" s="121"/>
    </row>
    <row r="503" spans="1:127" x14ac:dyDescent="0.25">
      <c r="A503" s="2">
        <f>COUNTIF($D$2:D503,'Reporte de Nomina'!$E$2)</f>
        <v>0</v>
      </c>
      <c r="B503" s="125">
        <f>Lista!A502</f>
        <v>0</v>
      </c>
      <c r="C503" s="125">
        <f>Lista!B502</f>
        <v>0</v>
      </c>
      <c r="D503" s="125">
        <f>Lista!C502</f>
        <v>0</v>
      </c>
      <c r="E503" s="125">
        <f>Lista!D502</f>
        <v>0</v>
      </c>
      <c r="F503" s="125">
        <f>Lista!E502</f>
        <v>0</v>
      </c>
      <c r="G503" s="125">
        <f>Lista!F502</f>
        <v>0</v>
      </c>
      <c r="H503" s="125">
        <f>Lista!G502</f>
        <v>0</v>
      </c>
      <c r="I503" s="125">
        <f>Lista!H502</f>
        <v>0</v>
      </c>
      <c r="J503" s="125">
        <f>Lista!I502</f>
        <v>0</v>
      </c>
      <c r="K503" s="125">
        <f>Lista!J502</f>
        <v>0</v>
      </c>
      <c r="L503" s="125">
        <f>Lista!K502</f>
        <v>0</v>
      </c>
      <c r="M503" s="125">
        <f>Lista!L502</f>
        <v>0</v>
      </c>
      <c r="N503" s="125">
        <f>Lista!M502</f>
        <v>0</v>
      </c>
      <c r="O503" s="125">
        <f>Lista!N502</f>
        <v>0</v>
      </c>
      <c r="P503" s="125">
        <f>Lista!O502</f>
        <v>0</v>
      </c>
      <c r="Q503" s="125">
        <f>Lista!P502</f>
        <v>0</v>
      </c>
      <c r="R503" s="125">
        <f>Lista!Q502</f>
        <v>0</v>
      </c>
      <c r="S503" s="125">
        <f>Lista!R502</f>
        <v>0</v>
      </c>
      <c r="T503" s="81"/>
      <c r="U503" s="81"/>
      <c r="V503" s="81"/>
      <c r="W503" s="81"/>
      <c r="X503" s="81"/>
      <c r="Y503" s="81"/>
      <c r="Z503" s="81"/>
      <c r="AA503" s="81"/>
      <c r="AB503" s="81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  <c r="BS503" s="81"/>
      <c r="BT503" s="81"/>
      <c r="BU503" s="81"/>
      <c r="BV503" s="81"/>
      <c r="BW503" s="81"/>
      <c r="BX503" s="81"/>
      <c r="BY503" s="81"/>
      <c r="BZ503" s="81"/>
      <c r="CA503" s="81"/>
      <c r="CB503" s="81"/>
      <c r="CC503" s="81"/>
      <c r="CD503" s="81"/>
      <c r="CE503" s="81"/>
      <c r="CF503" s="81"/>
      <c r="CG503" s="81"/>
      <c r="CH503" s="81"/>
      <c r="CI503" s="81"/>
      <c r="CJ503" s="81"/>
      <c r="CK503" s="81"/>
      <c r="CL503" s="81"/>
      <c r="CM503" s="81"/>
      <c r="CN503" s="81"/>
      <c r="CO503" s="81"/>
      <c r="CP503" s="81"/>
      <c r="CQ503" s="81"/>
      <c r="CR503" s="81"/>
      <c r="CS503" s="81"/>
      <c r="CT503" s="81"/>
      <c r="CU503" s="81"/>
      <c r="CV503" s="81"/>
      <c r="CW503" s="81"/>
      <c r="CX503" s="81"/>
      <c r="CY503" s="81"/>
      <c r="CZ503" s="81"/>
      <c r="DA503" s="81"/>
      <c r="DB503" s="81"/>
      <c r="DC503" s="81"/>
      <c r="DD503" s="81"/>
      <c r="DE503" s="81"/>
      <c r="DF503" s="81"/>
      <c r="DG503" s="81"/>
      <c r="DH503" s="81"/>
      <c r="DI503" s="81"/>
      <c r="DJ503" s="81"/>
      <c r="DK503" s="81"/>
      <c r="DL503" s="81"/>
      <c r="DM503" s="81"/>
      <c r="DN503" s="81"/>
      <c r="DO503" s="81"/>
      <c r="DP503" s="81"/>
      <c r="DQ503" s="81"/>
      <c r="DR503" s="81"/>
      <c r="DS503" s="81"/>
      <c r="DT503" s="81"/>
      <c r="DU503" s="81"/>
      <c r="DV503" s="81"/>
      <c r="DW503" s="121"/>
    </row>
    <row r="504" spans="1:127" x14ac:dyDescent="0.25">
      <c r="A504" s="2">
        <f>COUNTIF($D$2:D504,'Reporte de Nomina'!$E$2)</f>
        <v>0</v>
      </c>
      <c r="B504" s="125">
        <f>Lista!A503</f>
        <v>0</v>
      </c>
      <c r="C504" s="125">
        <f>Lista!B503</f>
        <v>0</v>
      </c>
      <c r="D504" s="125">
        <f>Lista!C503</f>
        <v>0</v>
      </c>
      <c r="E504" s="125">
        <f>Lista!D503</f>
        <v>0</v>
      </c>
      <c r="F504" s="125">
        <f>Lista!E503</f>
        <v>0</v>
      </c>
      <c r="G504" s="125">
        <f>Lista!F503</f>
        <v>0</v>
      </c>
      <c r="H504" s="125">
        <f>Lista!G503</f>
        <v>0</v>
      </c>
      <c r="I504" s="125">
        <f>Lista!H503</f>
        <v>0</v>
      </c>
      <c r="J504" s="125">
        <f>Lista!I503</f>
        <v>0</v>
      </c>
      <c r="K504" s="125">
        <f>Lista!J503</f>
        <v>0</v>
      </c>
      <c r="L504" s="125">
        <f>Lista!K503</f>
        <v>0</v>
      </c>
      <c r="M504" s="125">
        <f>Lista!L503</f>
        <v>0</v>
      </c>
      <c r="N504" s="125">
        <f>Lista!M503</f>
        <v>0</v>
      </c>
      <c r="O504" s="125">
        <f>Lista!N503</f>
        <v>0</v>
      </c>
      <c r="P504" s="125">
        <f>Lista!O503</f>
        <v>0</v>
      </c>
      <c r="Q504" s="125">
        <f>Lista!P503</f>
        <v>0</v>
      </c>
      <c r="R504" s="125">
        <f>Lista!Q503</f>
        <v>0</v>
      </c>
      <c r="S504" s="125">
        <f>Lista!R503</f>
        <v>0</v>
      </c>
      <c r="T504" s="81"/>
      <c r="U504" s="81"/>
      <c r="V504" s="81"/>
      <c r="W504" s="81"/>
      <c r="X504" s="81"/>
      <c r="Y504" s="81"/>
      <c r="Z504" s="81"/>
      <c r="AA504" s="81"/>
      <c r="AB504" s="81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  <c r="BS504" s="81"/>
      <c r="BT504" s="81"/>
      <c r="BU504" s="81"/>
      <c r="BV504" s="81"/>
      <c r="BW504" s="81"/>
      <c r="BX504" s="81"/>
      <c r="BY504" s="81"/>
      <c r="BZ504" s="81"/>
      <c r="CA504" s="81"/>
      <c r="CB504" s="81"/>
      <c r="CC504" s="81"/>
      <c r="CD504" s="81"/>
      <c r="CE504" s="81"/>
      <c r="CF504" s="81"/>
      <c r="CG504" s="81"/>
      <c r="CH504" s="81"/>
      <c r="CI504" s="81"/>
      <c r="CJ504" s="81"/>
      <c r="CK504" s="81"/>
      <c r="CL504" s="81"/>
      <c r="CM504" s="81"/>
      <c r="CN504" s="81"/>
      <c r="CO504" s="81"/>
      <c r="CP504" s="81"/>
      <c r="CQ504" s="81"/>
      <c r="CR504" s="81"/>
      <c r="CS504" s="81"/>
      <c r="CT504" s="81"/>
      <c r="CU504" s="81"/>
      <c r="CV504" s="81"/>
      <c r="CW504" s="81"/>
      <c r="CX504" s="81"/>
      <c r="CY504" s="81"/>
      <c r="CZ504" s="81"/>
      <c r="DA504" s="81"/>
      <c r="DB504" s="81"/>
      <c r="DC504" s="81"/>
      <c r="DD504" s="81"/>
      <c r="DE504" s="81"/>
      <c r="DF504" s="81"/>
      <c r="DG504" s="81"/>
      <c r="DH504" s="81"/>
      <c r="DI504" s="81"/>
      <c r="DJ504" s="81"/>
      <c r="DK504" s="81"/>
      <c r="DL504" s="81"/>
      <c r="DM504" s="81"/>
      <c r="DN504" s="81"/>
      <c r="DO504" s="81"/>
      <c r="DP504" s="81"/>
      <c r="DQ504" s="81"/>
      <c r="DR504" s="81"/>
      <c r="DS504" s="81"/>
      <c r="DT504" s="81"/>
      <c r="DU504" s="81"/>
      <c r="DV504" s="81"/>
      <c r="DW504" s="121"/>
    </row>
    <row r="505" spans="1:127" x14ac:dyDescent="0.25">
      <c r="A505" s="2">
        <f>COUNTIF($D$2:D505,'Reporte de Nomina'!$E$2)</f>
        <v>0</v>
      </c>
      <c r="B505" s="125">
        <f>Lista!A504</f>
        <v>0</v>
      </c>
      <c r="C505" s="125">
        <f>Lista!B504</f>
        <v>0</v>
      </c>
      <c r="D505" s="125">
        <f>Lista!C504</f>
        <v>0</v>
      </c>
      <c r="E505" s="125">
        <f>Lista!D504</f>
        <v>0</v>
      </c>
      <c r="F505" s="125">
        <f>Lista!E504</f>
        <v>0</v>
      </c>
      <c r="G505" s="125">
        <f>Lista!F504</f>
        <v>0</v>
      </c>
      <c r="H505" s="125">
        <f>Lista!G504</f>
        <v>0</v>
      </c>
      <c r="I505" s="125">
        <f>Lista!H504</f>
        <v>0</v>
      </c>
      <c r="J505" s="125">
        <f>Lista!I504</f>
        <v>0</v>
      </c>
      <c r="K505" s="125">
        <f>Lista!J504</f>
        <v>0</v>
      </c>
      <c r="L505" s="125">
        <f>Lista!K504</f>
        <v>0</v>
      </c>
      <c r="M505" s="125">
        <f>Lista!L504</f>
        <v>0</v>
      </c>
      <c r="N505" s="125">
        <f>Lista!M504</f>
        <v>0</v>
      </c>
      <c r="O505" s="125">
        <f>Lista!N504</f>
        <v>0</v>
      </c>
      <c r="P505" s="125">
        <f>Lista!O504</f>
        <v>0</v>
      </c>
      <c r="Q505" s="125">
        <f>Lista!P504</f>
        <v>0</v>
      </c>
      <c r="R505" s="125">
        <f>Lista!Q504</f>
        <v>0</v>
      </c>
      <c r="S505" s="125">
        <f>Lista!R504</f>
        <v>0</v>
      </c>
      <c r="T505" s="81"/>
      <c r="U505" s="81"/>
      <c r="V505" s="81"/>
      <c r="W505" s="81"/>
      <c r="X505" s="81"/>
      <c r="Y505" s="81"/>
      <c r="Z505" s="81"/>
      <c r="AA505" s="81"/>
      <c r="AB505" s="81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  <c r="BS505" s="81"/>
      <c r="BT505" s="81"/>
      <c r="BU505" s="81"/>
      <c r="BV505" s="81"/>
      <c r="BW505" s="81"/>
      <c r="BX505" s="81"/>
      <c r="BY505" s="81"/>
      <c r="BZ505" s="81"/>
      <c r="CA505" s="81"/>
      <c r="CB505" s="81"/>
      <c r="CC505" s="81"/>
      <c r="CD505" s="81"/>
      <c r="CE505" s="81"/>
      <c r="CF505" s="81"/>
      <c r="CG505" s="81"/>
      <c r="CH505" s="81"/>
      <c r="CI505" s="81"/>
      <c r="CJ505" s="81"/>
      <c r="CK505" s="81"/>
      <c r="CL505" s="81"/>
      <c r="CM505" s="81"/>
      <c r="CN505" s="81"/>
      <c r="CO505" s="81"/>
      <c r="CP505" s="81"/>
      <c r="CQ505" s="81"/>
      <c r="CR505" s="81"/>
      <c r="CS505" s="81"/>
      <c r="CT505" s="81"/>
      <c r="CU505" s="81"/>
      <c r="CV505" s="81"/>
      <c r="CW505" s="81"/>
      <c r="CX505" s="81"/>
      <c r="CY505" s="81"/>
      <c r="CZ505" s="81"/>
      <c r="DA505" s="81"/>
      <c r="DB505" s="81"/>
      <c r="DC505" s="81"/>
      <c r="DD505" s="81"/>
      <c r="DE505" s="81"/>
      <c r="DF505" s="81"/>
      <c r="DG505" s="81"/>
      <c r="DH505" s="81"/>
      <c r="DI505" s="81"/>
      <c r="DJ505" s="81"/>
      <c r="DK505" s="81"/>
      <c r="DL505" s="81"/>
      <c r="DM505" s="81"/>
      <c r="DN505" s="81"/>
      <c r="DO505" s="81"/>
      <c r="DP505" s="81"/>
      <c r="DQ505" s="81"/>
      <c r="DR505" s="81"/>
      <c r="DS505" s="81"/>
      <c r="DT505" s="81"/>
      <c r="DU505" s="81"/>
      <c r="DV505" s="81"/>
      <c r="DW505" s="121"/>
    </row>
    <row r="506" spans="1:127" x14ac:dyDescent="0.25">
      <c r="A506" s="2">
        <f>COUNTIF($D$2:D506,'Reporte de Nomina'!$E$2)</f>
        <v>0</v>
      </c>
      <c r="B506" s="125">
        <f>Lista!A505</f>
        <v>0</v>
      </c>
      <c r="C506" s="125">
        <f>Lista!B505</f>
        <v>0</v>
      </c>
      <c r="D506" s="125">
        <f>Lista!C505</f>
        <v>0</v>
      </c>
      <c r="E506" s="125">
        <f>Lista!D505</f>
        <v>0</v>
      </c>
      <c r="F506" s="125">
        <f>Lista!E505</f>
        <v>0</v>
      </c>
      <c r="G506" s="125">
        <f>Lista!F505</f>
        <v>0</v>
      </c>
      <c r="H506" s="125">
        <f>Lista!G505</f>
        <v>0</v>
      </c>
      <c r="I506" s="125">
        <f>Lista!H505</f>
        <v>0</v>
      </c>
      <c r="J506" s="125">
        <f>Lista!I505</f>
        <v>0</v>
      </c>
      <c r="K506" s="125">
        <f>Lista!J505</f>
        <v>0</v>
      </c>
      <c r="L506" s="125">
        <f>Lista!K505</f>
        <v>0</v>
      </c>
      <c r="M506" s="125">
        <f>Lista!L505</f>
        <v>0</v>
      </c>
      <c r="N506" s="125">
        <f>Lista!M505</f>
        <v>0</v>
      </c>
      <c r="O506" s="125">
        <f>Lista!N505</f>
        <v>0</v>
      </c>
      <c r="P506" s="125">
        <f>Lista!O505</f>
        <v>0</v>
      </c>
      <c r="Q506" s="125">
        <f>Lista!P505</f>
        <v>0</v>
      </c>
      <c r="R506" s="125">
        <f>Lista!Q505</f>
        <v>0</v>
      </c>
      <c r="S506" s="125">
        <f>Lista!R505</f>
        <v>0</v>
      </c>
      <c r="T506" s="81"/>
      <c r="U506" s="81"/>
      <c r="V506" s="81"/>
      <c r="W506" s="81"/>
      <c r="X506" s="81"/>
      <c r="Y506" s="81"/>
      <c r="Z506" s="81"/>
      <c r="AA506" s="81"/>
      <c r="AB506" s="81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  <c r="BS506" s="81"/>
      <c r="BT506" s="81"/>
      <c r="BU506" s="81"/>
      <c r="BV506" s="81"/>
      <c r="BW506" s="81"/>
      <c r="BX506" s="81"/>
      <c r="BY506" s="81"/>
      <c r="BZ506" s="81"/>
      <c r="CA506" s="81"/>
      <c r="CB506" s="81"/>
      <c r="CC506" s="81"/>
      <c r="CD506" s="81"/>
      <c r="CE506" s="81"/>
      <c r="CF506" s="81"/>
      <c r="CG506" s="81"/>
      <c r="CH506" s="81"/>
      <c r="CI506" s="81"/>
      <c r="CJ506" s="81"/>
      <c r="CK506" s="81"/>
      <c r="CL506" s="81"/>
      <c r="CM506" s="81"/>
      <c r="CN506" s="81"/>
      <c r="CO506" s="81"/>
      <c r="CP506" s="81"/>
      <c r="CQ506" s="81"/>
      <c r="CR506" s="81"/>
      <c r="CS506" s="81"/>
      <c r="CT506" s="81"/>
      <c r="CU506" s="81"/>
      <c r="CV506" s="81"/>
      <c r="CW506" s="81"/>
      <c r="CX506" s="81"/>
      <c r="CY506" s="81"/>
      <c r="CZ506" s="81"/>
      <c r="DA506" s="81"/>
      <c r="DB506" s="81"/>
      <c r="DC506" s="81"/>
      <c r="DD506" s="81"/>
      <c r="DE506" s="81"/>
      <c r="DF506" s="81"/>
      <c r="DG506" s="81"/>
      <c r="DH506" s="81"/>
      <c r="DI506" s="81"/>
      <c r="DJ506" s="81"/>
      <c r="DK506" s="81"/>
      <c r="DL506" s="81"/>
      <c r="DM506" s="81"/>
      <c r="DN506" s="81"/>
      <c r="DO506" s="81"/>
      <c r="DP506" s="81"/>
      <c r="DQ506" s="81"/>
      <c r="DR506" s="81"/>
      <c r="DS506" s="81"/>
      <c r="DT506" s="81"/>
      <c r="DU506" s="81"/>
      <c r="DV506" s="81"/>
      <c r="DW506" s="121"/>
    </row>
    <row r="507" spans="1:127" x14ac:dyDescent="0.25">
      <c r="A507" s="2">
        <f>COUNTIF($D$2:D507,'Reporte de Nomina'!$E$2)</f>
        <v>0</v>
      </c>
      <c r="B507" s="125">
        <f>Lista!A506</f>
        <v>0</v>
      </c>
      <c r="C507" s="125">
        <f>Lista!B506</f>
        <v>0</v>
      </c>
      <c r="D507" s="125">
        <f>Lista!C506</f>
        <v>0</v>
      </c>
      <c r="E507" s="125">
        <f>Lista!D506</f>
        <v>0</v>
      </c>
      <c r="F507" s="125">
        <f>Lista!E506</f>
        <v>0</v>
      </c>
      <c r="G507" s="125">
        <f>Lista!F506</f>
        <v>0</v>
      </c>
      <c r="H507" s="125">
        <f>Lista!G506</f>
        <v>0</v>
      </c>
      <c r="I507" s="125">
        <f>Lista!H506</f>
        <v>0</v>
      </c>
      <c r="J507" s="125">
        <f>Lista!I506</f>
        <v>0</v>
      </c>
      <c r="K507" s="125">
        <f>Lista!J506</f>
        <v>0</v>
      </c>
      <c r="L507" s="125">
        <f>Lista!K506</f>
        <v>0</v>
      </c>
      <c r="M507" s="125">
        <f>Lista!L506</f>
        <v>0</v>
      </c>
      <c r="N507" s="125">
        <f>Lista!M506</f>
        <v>0</v>
      </c>
      <c r="O507" s="125">
        <f>Lista!N506</f>
        <v>0</v>
      </c>
      <c r="P507" s="125">
        <f>Lista!O506</f>
        <v>0</v>
      </c>
      <c r="Q507" s="125">
        <f>Lista!P506</f>
        <v>0</v>
      </c>
      <c r="R507" s="125">
        <f>Lista!Q506</f>
        <v>0</v>
      </c>
      <c r="S507" s="125">
        <f>Lista!R506</f>
        <v>0</v>
      </c>
      <c r="T507" s="81"/>
      <c r="U507" s="81"/>
      <c r="V507" s="81"/>
      <c r="W507" s="81"/>
      <c r="X507" s="81"/>
      <c r="Y507" s="81"/>
      <c r="Z507" s="81"/>
      <c r="AA507" s="81"/>
      <c r="AB507" s="81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  <c r="BS507" s="81"/>
      <c r="BT507" s="81"/>
      <c r="BU507" s="81"/>
      <c r="BV507" s="81"/>
      <c r="BW507" s="81"/>
      <c r="BX507" s="81"/>
      <c r="BY507" s="81"/>
      <c r="BZ507" s="81"/>
      <c r="CA507" s="81"/>
      <c r="CB507" s="81"/>
      <c r="CC507" s="81"/>
      <c r="CD507" s="81"/>
      <c r="CE507" s="81"/>
      <c r="CF507" s="81"/>
      <c r="CG507" s="81"/>
      <c r="CH507" s="81"/>
      <c r="CI507" s="81"/>
      <c r="CJ507" s="81"/>
      <c r="CK507" s="81"/>
      <c r="CL507" s="81"/>
      <c r="CM507" s="81"/>
      <c r="CN507" s="81"/>
      <c r="CO507" s="81"/>
      <c r="CP507" s="81"/>
      <c r="CQ507" s="81"/>
      <c r="CR507" s="81"/>
      <c r="CS507" s="81"/>
      <c r="CT507" s="81"/>
      <c r="CU507" s="81"/>
      <c r="CV507" s="81"/>
      <c r="CW507" s="81"/>
      <c r="CX507" s="81"/>
      <c r="CY507" s="81"/>
      <c r="CZ507" s="81"/>
      <c r="DA507" s="81"/>
      <c r="DB507" s="81"/>
      <c r="DC507" s="81"/>
      <c r="DD507" s="81"/>
      <c r="DE507" s="81"/>
      <c r="DF507" s="81"/>
      <c r="DG507" s="81"/>
      <c r="DH507" s="81"/>
      <c r="DI507" s="81"/>
      <c r="DJ507" s="81"/>
      <c r="DK507" s="81"/>
      <c r="DL507" s="81"/>
      <c r="DM507" s="81"/>
      <c r="DN507" s="81"/>
      <c r="DO507" s="81"/>
      <c r="DP507" s="81"/>
      <c r="DQ507" s="81"/>
      <c r="DR507" s="81"/>
      <c r="DS507" s="81"/>
      <c r="DT507" s="81"/>
      <c r="DU507" s="81"/>
      <c r="DV507" s="81"/>
      <c r="DW507" s="121"/>
    </row>
    <row r="508" spans="1:127" x14ac:dyDescent="0.25">
      <c r="A508" s="2">
        <f>COUNTIF($D$2:D508,'Reporte de Nomina'!$E$2)</f>
        <v>0</v>
      </c>
      <c r="B508" s="125">
        <f>Lista!A507</f>
        <v>0</v>
      </c>
      <c r="C508" s="125">
        <f>Lista!B507</f>
        <v>0</v>
      </c>
      <c r="D508" s="125">
        <f>Lista!C507</f>
        <v>0</v>
      </c>
      <c r="E508" s="125">
        <f>Lista!D507</f>
        <v>0</v>
      </c>
      <c r="F508" s="125">
        <f>Lista!E507</f>
        <v>0</v>
      </c>
      <c r="G508" s="125">
        <f>Lista!F507</f>
        <v>0</v>
      </c>
      <c r="H508" s="125">
        <f>Lista!G507</f>
        <v>0</v>
      </c>
      <c r="I508" s="125">
        <f>Lista!H507</f>
        <v>0</v>
      </c>
      <c r="J508" s="125">
        <f>Lista!I507</f>
        <v>0</v>
      </c>
      <c r="K508" s="125">
        <f>Lista!J507</f>
        <v>0</v>
      </c>
      <c r="L508" s="125">
        <f>Lista!K507</f>
        <v>0</v>
      </c>
      <c r="M508" s="125">
        <f>Lista!L507</f>
        <v>0</v>
      </c>
      <c r="N508" s="125">
        <f>Lista!M507</f>
        <v>0</v>
      </c>
      <c r="O508" s="125">
        <f>Lista!N507</f>
        <v>0</v>
      </c>
      <c r="P508" s="125">
        <f>Lista!O507</f>
        <v>0</v>
      </c>
      <c r="Q508" s="125">
        <f>Lista!P507</f>
        <v>0</v>
      </c>
      <c r="R508" s="125">
        <f>Lista!Q507</f>
        <v>0</v>
      </c>
      <c r="S508" s="125">
        <f>Lista!R507</f>
        <v>0</v>
      </c>
      <c r="T508" s="81"/>
      <c r="U508" s="81"/>
      <c r="V508" s="81"/>
      <c r="W508" s="81"/>
      <c r="X508" s="81"/>
      <c r="Y508" s="81"/>
      <c r="Z508" s="81"/>
      <c r="AA508" s="81"/>
      <c r="AB508" s="81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  <c r="BS508" s="81"/>
      <c r="BT508" s="81"/>
      <c r="BU508" s="81"/>
      <c r="BV508" s="81"/>
      <c r="BW508" s="81"/>
      <c r="BX508" s="81"/>
      <c r="BY508" s="81"/>
      <c r="BZ508" s="81"/>
      <c r="CA508" s="81"/>
      <c r="CB508" s="81"/>
      <c r="CC508" s="81"/>
      <c r="CD508" s="81"/>
      <c r="CE508" s="81"/>
      <c r="CF508" s="81"/>
      <c r="CG508" s="81"/>
      <c r="CH508" s="81"/>
      <c r="CI508" s="81"/>
      <c r="CJ508" s="81"/>
      <c r="CK508" s="81"/>
      <c r="CL508" s="81"/>
      <c r="CM508" s="81"/>
      <c r="CN508" s="81"/>
      <c r="CO508" s="81"/>
      <c r="CP508" s="81"/>
      <c r="CQ508" s="81"/>
      <c r="CR508" s="81"/>
      <c r="CS508" s="81"/>
      <c r="CT508" s="81"/>
      <c r="CU508" s="81"/>
      <c r="CV508" s="81"/>
      <c r="CW508" s="81"/>
      <c r="CX508" s="81"/>
      <c r="CY508" s="81"/>
      <c r="CZ508" s="81"/>
      <c r="DA508" s="81"/>
      <c r="DB508" s="81"/>
      <c r="DC508" s="81"/>
      <c r="DD508" s="81"/>
      <c r="DE508" s="81"/>
      <c r="DF508" s="81"/>
      <c r="DG508" s="81"/>
      <c r="DH508" s="81"/>
      <c r="DI508" s="81"/>
      <c r="DJ508" s="81"/>
      <c r="DK508" s="81"/>
      <c r="DL508" s="81"/>
      <c r="DM508" s="81"/>
      <c r="DN508" s="81"/>
      <c r="DO508" s="81"/>
      <c r="DP508" s="81"/>
      <c r="DQ508" s="81"/>
      <c r="DR508" s="81"/>
      <c r="DS508" s="81"/>
      <c r="DT508" s="81"/>
      <c r="DU508" s="81"/>
      <c r="DV508" s="81"/>
      <c r="DW508" s="121"/>
    </row>
    <row r="509" spans="1:127" x14ac:dyDescent="0.25">
      <c r="A509" s="2">
        <f>COUNTIF($D$2:D509,'Reporte de Nomina'!$E$2)</f>
        <v>0</v>
      </c>
      <c r="B509" s="125">
        <f>Lista!A508</f>
        <v>0</v>
      </c>
      <c r="C509" s="125">
        <f>Lista!B508</f>
        <v>0</v>
      </c>
      <c r="D509" s="125">
        <f>Lista!C508</f>
        <v>0</v>
      </c>
      <c r="E509" s="125">
        <f>Lista!D508</f>
        <v>0</v>
      </c>
      <c r="F509" s="125">
        <f>Lista!E508</f>
        <v>0</v>
      </c>
      <c r="G509" s="125">
        <f>Lista!F508</f>
        <v>0</v>
      </c>
      <c r="H509" s="125">
        <f>Lista!G508</f>
        <v>0</v>
      </c>
      <c r="I509" s="125">
        <f>Lista!H508</f>
        <v>0</v>
      </c>
      <c r="J509" s="125">
        <f>Lista!I508</f>
        <v>0</v>
      </c>
      <c r="K509" s="125">
        <f>Lista!J508</f>
        <v>0</v>
      </c>
      <c r="L509" s="125">
        <f>Lista!K508</f>
        <v>0</v>
      </c>
      <c r="M509" s="125">
        <f>Lista!L508</f>
        <v>0</v>
      </c>
      <c r="N509" s="125">
        <f>Lista!M508</f>
        <v>0</v>
      </c>
      <c r="O509" s="125">
        <f>Lista!N508</f>
        <v>0</v>
      </c>
      <c r="P509" s="125">
        <f>Lista!O508</f>
        <v>0</v>
      </c>
      <c r="Q509" s="125">
        <f>Lista!P508</f>
        <v>0</v>
      </c>
      <c r="R509" s="125">
        <f>Lista!Q508</f>
        <v>0</v>
      </c>
      <c r="S509" s="125">
        <f>Lista!R508</f>
        <v>0</v>
      </c>
      <c r="T509" s="81"/>
      <c r="U509" s="81"/>
      <c r="V509" s="81"/>
      <c r="W509" s="81"/>
      <c r="X509" s="81"/>
      <c r="Y509" s="81"/>
      <c r="Z509" s="81"/>
      <c r="AA509" s="81"/>
      <c r="AB509" s="81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  <c r="BS509" s="81"/>
      <c r="BT509" s="81"/>
      <c r="BU509" s="81"/>
      <c r="BV509" s="81"/>
      <c r="BW509" s="81"/>
      <c r="BX509" s="81"/>
      <c r="BY509" s="81"/>
      <c r="BZ509" s="81"/>
      <c r="CA509" s="81"/>
      <c r="CB509" s="81"/>
      <c r="CC509" s="81"/>
      <c r="CD509" s="81"/>
      <c r="CE509" s="81"/>
      <c r="CF509" s="81"/>
      <c r="CG509" s="81"/>
      <c r="CH509" s="81"/>
      <c r="CI509" s="81"/>
      <c r="CJ509" s="81"/>
      <c r="CK509" s="81"/>
      <c r="CL509" s="81"/>
      <c r="CM509" s="81"/>
      <c r="CN509" s="81"/>
      <c r="CO509" s="81"/>
      <c r="CP509" s="81"/>
      <c r="CQ509" s="81"/>
      <c r="CR509" s="81"/>
      <c r="CS509" s="81"/>
      <c r="CT509" s="81"/>
      <c r="CU509" s="81"/>
      <c r="CV509" s="81"/>
      <c r="CW509" s="81"/>
      <c r="CX509" s="81"/>
      <c r="CY509" s="81"/>
      <c r="CZ509" s="81"/>
      <c r="DA509" s="81"/>
      <c r="DB509" s="81"/>
      <c r="DC509" s="81"/>
      <c r="DD509" s="81"/>
      <c r="DE509" s="81"/>
      <c r="DF509" s="81"/>
      <c r="DG509" s="81"/>
      <c r="DH509" s="81"/>
      <c r="DI509" s="81"/>
      <c r="DJ509" s="81"/>
      <c r="DK509" s="81"/>
      <c r="DL509" s="81"/>
      <c r="DM509" s="81"/>
      <c r="DN509" s="81"/>
      <c r="DO509" s="81"/>
      <c r="DP509" s="81"/>
      <c r="DQ509" s="81"/>
      <c r="DR509" s="81"/>
      <c r="DS509" s="81"/>
      <c r="DT509" s="81"/>
      <c r="DU509" s="81"/>
      <c r="DV509" s="81"/>
      <c r="DW509" s="121"/>
    </row>
    <row r="510" spans="1:127" x14ac:dyDescent="0.25">
      <c r="A510" s="2">
        <f>COUNTIF($D$2:D510,'Reporte de Nomina'!$E$2)</f>
        <v>0</v>
      </c>
      <c r="B510" s="125">
        <f>Lista!A509</f>
        <v>0</v>
      </c>
      <c r="C510" s="125">
        <f>Lista!B509</f>
        <v>0</v>
      </c>
      <c r="D510" s="125">
        <f>Lista!C509</f>
        <v>0</v>
      </c>
      <c r="E510" s="125">
        <f>Lista!D509</f>
        <v>0</v>
      </c>
      <c r="F510" s="125">
        <f>Lista!E509</f>
        <v>0</v>
      </c>
      <c r="G510" s="125">
        <f>Lista!F509</f>
        <v>0</v>
      </c>
      <c r="H510" s="125">
        <f>Lista!G509</f>
        <v>0</v>
      </c>
      <c r="I510" s="125">
        <f>Lista!H509</f>
        <v>0</v>
      </c>
      <c r="J510" s="125">
        <f>Lista!I509</f>
        <v>0</v>
      </c>
      <c r="K510" s="125">
        <f>Lista!J509</f>
        <v>0</v>
      </c>
      <c r="L510" s="125">
        <f>Lista!K509</f>
        <v>0</v>
      </c>
      <c r="M510" s="125">
        <f>Lista!L509</f>
        <v>0</v>
      </c>
      <c r="N510" s="125">
        <f>Lista!M509</f>
        <v>0</v>
      </c>
      <c r="O510" s="125">
        <f>Lista!N509</f>
        <v>0</v>
      </c>
      <c r="P510" s="125">
        <f>Lista!O509</f>
        <v>0</v>
      </c>
      <c r="Q510" s="125">
        <f>Lista!P509</f>
        <v>0</v>
      </c>
      <c r="R510" s="125">
        <f>Lista!Q509</f>
        <v>0</v>
      </c>
      <c r="S510" s="125">
        <f>Lista!R509</f>
        <v>0</v>
      </c>
      <c r="T510" s="81"/>
      <c r="U510" s="81"/>
      <c r="V510" s="81"/>
      <c r="W510" s="81"/>
      <c r="X510" s="81"/>
      <c r="Y510" s="81"/>
      <c r="Z510" s="81"/>
      <c r="AA510" s="81"/>
      <c r="AB510" s="81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  <c r="BS510" s="81"/>
      <c r="BT510" s="81"/>
      <c r="BU510" s="81"/>
      <c r="BV510" s="81"/>
      <c r="BW510" s="81"/>
      <c r="BX510" s="81"/>
      <c r="BY510" s="81"/>
      <c r="BZ510" s="81"/>
      <c r="CA510" s="81"/>
      <c r="CB510" s="81"/>
      <c r="CC510" s="81"/>
      <c r="CD510" s="81"/>
      <c r="CE510" s="81"/>
      <c r="CF510" s="81"/>
      <c r="CG510" s="81"/>
      <c r="CH510" s="81"/>
      <c r="CI510" s="81"/>
      <c r="CJ510" s="81"/>
      <c r="CK510" s="81"/>
      <c r="CL510" s="81"/>
      <c r="CM510" s="81"/>
      <c r="CN510" s="81"/>
      <c r="CO510" s="81"/>
      <c r="CP510" s="81"/>
      <c r="CQ510" s="81"/>
      <c r="CR510" s="81"/>
      <c r="CS510" s="81"/>
      <c r="CT510" s="81"/>
      <c r="CU510" s="81"/>
      <c r="CV510" s="81"/>
      <c r="CW510" s="81"/>
      <c r="CX510" s="81"/>
      <c r="CY510" s="81"/>
      <c r="CZ510" s="81"/>
      <c r="DA510" s="81"/>
      <c r="DB510" s="81"/>
      <c r="DC510" s="81"/>
      <c r="DD510" s="81"/>
      <c r="DE510" s="81"/>
      <c r="DF510" s="81"/>
      <c r="DG510" s="81"/>
      <c r="DH510" s="81"/>
      <c r="DI510" s="81"/>
      <c r="DJ510" s="81"/>
      <c r="DK510" s="81"/>
      <c r="DL510" s="81"/>
      <c r="DM510" s="81"/>
      <c r="DN510" s="81"/>
      <c r="DO510" s="81"/>
      <c r="DP510" s="81"/>
      <c r="DQ510" s="81"/>
      <c r="DR510" s="81"/>
      <c r="DS510" s="81"/>
      <c r="DT510" s="81"/>
      <c r="DU510" s="81"/>
      <c r="DV510" s="81"/>
      <c r="DW510" s="121"/>
    </row>
    <row r="511" spans="1:127" x14ac:dyDescent="0.25">
      <c r="A511" s="2">
        <f>COUNTIF($D$2:D511,'Reporte de Nomina'!$E$2)</f>
        <v>0</v>
      </c>
      <c r="B511" s="125">
        <f>Lista!A510</f>
        <v>0</v>
      </c>
      <c r="C511" s="125">
        <f>Lista!B510</f>
        <v>0</v>
      </c>
      <c r="D511" s="125">
        <f>Lista!C510</f>
        <v>0</v>
      </c>
      <c r="E511" s="125">
        <f>Lista!D510</f>
        <v>0</v>
      </c>
      <c r="F511" s="125">
        <f>Lista!E510</f>
        <v>0</v>
      </c>
      <c r="G511" s="125">
        <f>Lista!F510</f>
        <v>0</v>
      </c>
      <c r="H511" s="125">
        <f>Lista!G510</f>
        <v>0</v>
      </c>
      <c r="I511" s="125">
        <f>Lista!H510</f>
        <v>0</v>
      </c>
      <c r="J511" s="125">
        <f>Lista!I510</f>
        <v>0</v>
      </c>
      <c r="K511" s="125">
        <f>Lista!J510</f>
        <v>0</v>
      </c>
      <c r="L511" s="125">
        <f>Lista!K510</f>
        <v>0</v>
      </c>
      <c r="M511" s="125">
        <f>Lista!L510</f>
        <v>0</v>
      </c>
      <c r="N511" s="125">
        <f>Lista!M510</f>
        <v>0</v>
      </c>
      <c r="O511" s="125">
        <f>Lista!N510</f>
        <v>0</v>
      </c>
      <c r="P511" s="125">
        <f>Lista!O510</f>
        <v>0</v>
      </c>
      <c r="Q511" s="125">
        <f>Lista!P510</f>
        <v>0</v>
      </c>
      <c r="R511" s="125">
        <f>Lista!Q510</f>
        <v>0</v>
      </c>
      <c r="S511" s="125">
        <f>Lista!R510</f>
        <v>0</v>
      </c>
      <c r="T511" s="81"/>
      <c r="U511" s="81"/>
      <c r="V511" s="81"/>
      <c r="W511" s="81"/>
      <c r="X511" s="81"/>
      <c r="Y511" s="81"/>
      <c r="Z511" s="81"/>
      <c r="AA511" s="81"/>
      <c r="AB511" s="81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  <c r="BS511" s="81"/>
      <c r="BT511" s="81"/>
      <c r="BU511" s="81"/>
      <c r="BV511" s="81"/>
      <c r="BW511" s="81"/>
      <c r="BX511" s="81"/>
      <c r="BY511" s="81"/>
      <c r="BZ511" s="81"/>
      <c r="CA511" s="81"/>
      <c r="CB511" s="81"/>
      <c r="CC511" s="81"/>
      <c r="CD511" s="81"/>
      <c r="CE511" s="81"/>
      <c r="CF511" s="81"/>
      <c r="CG511" s="81"/>
      <c r="CH511" s="81"/>
      <c r="CI511" s="81"/>
      <c r="CJ511" s="81"/>
      <c r="CK511" s="81"/>
      <c r="CL511" s="81"/>
      <c r="CM511" s="81"/>
      <c r="CN511" s="81"/>
      <c r="CO511" s="81"/>
      <c r="CP511" s="81"/>
      <c r="CQ511" s="81"/>
      <c r="CR511" s="81"/>
      <c r="CS511" s="81"/>
      <c r="CT511" s="81"/>
      <c r="CU511" s="81"/>
      <c r="CV511" s="81"/>
      <c r="CW511" s="81"/>
      <c r="CX511" s="81"/>
      <c r="CY511" s="81"/>
      <c r="CZ511" s="81"/>
      <c r="DA511" s="81"/>
      <c r="DB511" s="81"/>
      <c r="DC511" s="81"/>
      <c r="DD511" s="81"/>
      <c r="DE511" s="81"/>
      <c r="DF511" s="81"/>
      <c r="DG511" s="81"/>
      <c r="DH511" s="81"/>
      <c r="DI511" s="81"/>
      <c r="DJ511" s="81"/>
      <c r="DK511" s="81"/>
      <c r="DL511" s="81"/>
      <c r="DM511" s="81"/>
      <c r="DN511" s="81"/>
      <c r="DO511" s="81"/>
      <c r="DP511" s="81"/>
      <c r="DQ511" s="81"/>
      <c r="DR511" s="81"/>
      <c r="DS511" s="81"/>
      <c r="DT511" s="81"/>
      <c r="DU511" s="81"/>
      <c r="DV511" s="81"/>
      <c r="DW511" s="121"/>
    </row>
    <row r="512" spans="1:127" x14ac:dyDescent="0.25">
      <c r="A512" s="2">
        <f>COUNTIF($D$2:D512,'Reporte de Nomina'!$E$2)</f>
        <v>0</v>
      </c>
      <c r="B512" s="125">
        <f>Lista!A511</f>
        <v>0</v>
      </c>
      <c r="C512" s="125">
        <f>Lista!B511</f>
        <v>0</v>
      </c>
      <c r="D512" s="125">
        <f>Lista!C511</f>
        <v>0</v>
      </c>
      <c r="E512" s="125">
        <f>Lista!D511</f>
        <v>0</v>
      </c>
      <c r="F512" s="125">
        <f>Lista!E511</f>
        <v>0</v>
      </c>
      <c r="G512" s="125">
        <f>Lista!F511</f>
        <v>0</v>
      </c>
      <c r="H512" s="125">
        <f>Lista!G511</f>
        <v>0</v>
      </c>
      <c r="I512" s="125">
        <f>Lista!H511</f>
        <v>0</v>
      </c>
      <c r="J512" s="125">
        <f>Lista!I511</f>
        <v>0</v>
      </c>
      <c r="K512" s="125">
        <f>Lista!J511</f>
        <v>0</v>
      </c>
      <c r="L512" s="125">
        <f>Lista!K511</f>
        <v>0</v>
      </c>
      <c r="M512" s="125">
        <f>Lista!L511</f>
        <v>0</v>
      </c>
      <c r="N512" s="125">
        <f>Lista!M511</f>
        <v>0</v>
      </c>
      <c r="O512" s="125">
        <f>Lista!N511</f>
        <v>0</v>
      </c>
      <c r="P512" s="125">
        <f>Lista!O511</f>
        <v>0</v>
      </c>
      <c r="Q512" s="125">
        <f>Lista!P511</f>
        <v>0</v>
      </c>
      <c r="R512" s="125">
        <f>Lista!Q511</f>
        <v>0</v>
      </c>
      <c r="S512" s="125">
        <f>Lista!R511</f>
        <v>0</v>
      </c>
      <c r="T512" s="81"/>
      <c r="U512" s="81"/>
      <c r="V512" s="81"/>
      <c r="W512" s="81"/>
      <c r="X512" s="81"/>
      <c r="Y512" s="81"/>
      <c r="Z512" s="81"/>
      <c r="AA512" s="81"/>
      <c r="AB512" s="81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  <c r="BS512" s="81"/>
      <c r="BT512" s="81"/>
      <c r="BU512" s="81"/>
      <c r="BV512" s="81"/>
      <c r="BW512" s="81"/>
      <c r="BX512" s="81"/>
      <c r="BY512" s="81"/>
      <c r="BZ512" s="81"/>
      <c r="CA512" s="81"/>
      <c r="CB512" s="81"/>
      <c r="CC512" s="81"/>
      <c r="CD512" s="81"/>
      <c r="CE512" s="81"/>
      <c r="CF512" s="81"/>
      <c r="CG512" s="81"/>
      <c r="CH512" s="81"/>
      <c r="CI512" s="81"/>
      <c r="CJ512" s="81"/>
      <c r="CK512" s="81"/>
      <c r="CL512" s="81"/>
      <c r="CM512" s="81"/>
      <c r="CN512" s="81"/>
      <c r="CO512" s="81"/>
      <c r="CP512" s="81"/>
      <c r="CQ512" s="81"/>
      <c r="CR512" s="81"/>
      <c r="CS512" s="81"/>
      <c r="CT512" s="81"/>
      <c r="CU512" s="81"/>
      <c r="CV512" s="81"/>
      <c r="CW512" s="81"/>
      <c r="CX512" s="81"/>
      <c r="CY512" s="81"/>
      <c r="CZ512" s="81"/>
      <c r="DA512" s="81"/>
      <c r="DB512" s="81"/>
      <c r="DC512" s="81"/>
      <c r="DD512" s="81"/>
      <c r="DE512" s="81"/>
      <c r="DF512" s="81"/>
      <c r="DG512" s="81"/>
      <c r="DH512" s="81"/>
      <c r="DI512" s="81"/>
      <c r="DJ512" s="81"/>
      <c r="DK512" s="81"/>
      <c r="DL512" s="81"/>
      <c r="DM512" s="81"/>
      <c r="DN512" s="81"/>
      <c r="DO512" s="81"/>
      <c r="DP512" s="81"/>
      <c r="DQ512" s="81"/>
      <c r="DR512" s="81"/>
      <c r="DS512" s="81"/>
      <c r="DT512" s="81"/>
      <c r="DU512" s="81"/>
      <c r="DV512" s="81"/>
      <c r="DW512" s="121"/>
    </row>
    <row r="513" spans="1:127" x14ac:dyDescent="0.25">
      <c r="A513" s="2">
        <f>COUNTIF($D$2:D513,'Reporte de Nomina'!$E$2)</f>
        <v>0</v>
      </c>
      <c r="B513" s="125">
        <f>Lista!A512</f>
        <v>0</v>
      </c>
      <c r="C513" s="125">
        <f>Lista!B512</f>
        <v>0</v>
      </c>
      <c r="D513" s="125">
        <f>Lista!C512</f>
        <v>0</v>
      </c>
      <c r="E513" s="125">
        <f>Lista!D512</f>
        <v>0</v>
      </c>
      <c r="F513" s="125">
        <f>Lista!E512</f>
        <v>0</v>
      </c>
      <c r="G513" s="125">
        <f>Lista!F512</f>
        <v>0</v>
      </c>
      <c r="H513" s="125">
        <f>Lista!G512</f>
        <v>0</v>
      </c>
      <c r="I513" s="125">
        <f>Lista!H512</f>
        <v>0</v>
      </c>
      <c r="J513" s="125">
        <f>Lista!I512</f>
        <v>0</v>
      </c>
      <c r="K513" s="125">
        <f>Lista!J512</f>
        <v>0</v>
      </c>
      <c r="L513" s="125">
        <f>Lista!K512</f>
        <v>0</v>
      </c>
      <c r="M513" s="125">
        <f>Lista!L512</f>
        <v>0</v>
      </c>
      <c r="N513" s="125">
        <f>Lista!M512</f>
        <v>0</v>
      </c>
      <c r="O513" s="125">
        <f>Lista!N512</f>
        <v>0</v>
      </c>
      <c r="P513" s="125">
        <f>Lista!O512</f>
        <v>0</v>
      </c>
      <c r="Q513" s="125">
        <f>Lista!P512</f>
        <v>0</v>
      </c>
      <c r="R513" s="125">
        <f>Lista!Q512</f>
        <v>0</v>
      </c>
      <c r="S513" s="125">
        <f>Lista!R512</f>
        <v>0</v>
      </c>
      <c r="T513" s="81"/>
      <c r="U513" s="81"/>
      <c r="V513" s="81"/>
      <c r="W513" s="81"/>
      <c r="X513" s="81"/>
      <c r="Y513" s="81"/>
      <c r="Z513" s="81"/>
      <c r="AA513" s="81"/>
      <c r="AB513" s="81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  <c r="BS513" s="81"/>
      <c r="BT513" s="81"/>
      <c r="BU513" s="81"/>
      <c r="BV513" s="81"/>
      <c r="BW513" s="81"/>
      <c r="BX513" s="81"/>
      <c r="BY513" s="81"/>
      <c r="BZ513" s="81"/>
      <c r="CA513" s="81"/>
      <c r="CB513" s="81"/>
      <c r="CC513" s="81"/>
      <c r="CD513" s="81"/>
      <c r="CE513" s="81"/>
      <c r="CF513" s="81"/>
      <c r="CG513" s="81"/>
      <c r="CH513" s="81"/>
      <c r="CI513" s="81"/>
      <c r="CJ513" s="81"/>
      <c r="CK513" s="81"/>
      <c r="CL513" s="81"/>
      <c r="CM513" s="81"/>
      <c r="CN513" s="81"/>
      <c r="CO513" s="81"/>
      <c r="CP513" s="81"/>
      <c r="CQ513" s="81"/>
      <c r="CR513" s="81"/>
      <c r="CS513" s="81"/>
      <c r="CT513" s="81"/>
      <c r="CU513" s="81"/>
      <c r="CV513" s="81"/>
      <c r="CW513" s="81"/>
      <c r="CX513" s="81"/>
      <c r="CY513" s="81"/>
      <c r="CZ513" s="81"/>
      <c r="DA513" s="81"/>
      <c r="DB513" s="81"/>
      <c r="DC513" s="81"/>
      <c r="DD513" s="81"/>
      <c r="DE513" s="81"/>
      <c r="DF513" s="81"/>
      <c r="DG513" s="81"/>
      <c r="DH513" s="81"/>
      <c r="DI513" s="81"/>
      <c r="DJ513" s="81"/>
      <c r="DK513" s="81"/>
      <c r="DL513" s="81"/>
      <c r="DM513" s="81"/>
      <c r="DN513" s="81"/>
      <c r="DO513" s="81"/>
      <c r="DP513" s="81"/>
      <c r="DQ513" s="81"/>
      <c r="DR513" s="81"/>
      <c r="DS513" s="81"/>
      <c r="DT513" s="81"/>
      <c r="DU513" s="81"/>
      <c r="DV513" s="81"/>
      <c r="DW513" s="121"/>
    </row>
    <row r="514" spans="1:127" x14ac:dyDescent="0.25">
      <c r="A514" s="2">
        <f>COUNTIF($D$2:D514,'Reporte de Nomina'!$E$2)</f>
        <v>0</v>
      </c>
      <c r="B514" s="125">
        <f>Lista!A513</f>
        <v>0</v>
      </c>
      <c r="C514" s="125">
        <f>Lista!B513</f>
        <v>0</v>
      </c>
      <c r="D514" s="125">
        <f>Lista!C513</f>
        <v>0</v>
      </c>
      <c r="E514" s="125">
        <f>Lista!D513</f>
        <v>0</v>
      </c>
      <c r="F514" s="125">
        <f>Lista!E513</f>
        <v>0</v>
      </c>
      <c r="G514" s="125">
        <f>Lista!F513</f>
        <v>0</v>
      </c>
      <c r="H514" s="125">
        <f>Lista!G513</f>
        <v>0</v>
      </c>
      <c r="I514" s="125">
        <f>Lista!H513</f>
        <v>0</v>
      </c>
      <c r="J514" s="125">
        <f>Lista!I513</f>
        <v>0</v>
      </c>
      <c r="K514" s="125">
        <f>Lista!J513</f>
        <v>0</v>
      </c>
      <c r="L514" s="125">
        <f>Lista!K513</f>
        <v>0</v>
      </c>
      <c r="M514" s="125">
        <f>Lista!L513</f>
        <v>0</v>
      </c>
      <c r="N514" s="125">
        <f>Lista!M513</f>
        <v>0</v>
      </c>
      <c r="O514" s="125">
        <f>Lista!N513</f>
        <v>0</v>
      </c>
      <c r="P514" s="125">
        <f>Lista!O513</f>
        <v>0</v>
      </c>
      <c r="Q514" s="125">
        <f>Lista!P513</f>
        <v>0</v>
      </c>
      <c r="R514" s="125">
        <f>Lista!Q513</f>
        <v>0</v>
      </c>
      <c r="S514" s="125">
        <f>Lista!R513</f>
        <v>0</v>
      </c>
      <c r="T514" s="81"/>
      <c r="U514" s="81"/>
      <c r="V514" s="81"/>
      <c r="W514" s="81"/>
      <c r="X514" s="81"/>
      <c r="Y514" s="81"/>
      <c r="Z514" s="81"/>
      <c r="AA514" s="81"/>
      <c r="AB514" s="81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  <c r="BS514" s="81"/>
      <c r="BT514" s="81"/>
      <c r="BU514" s="81"/>
      <c r="BV514" s="81"/>
      <c r="BW514" s="81"/>
      <c r="BX514" s="81"/>
      <c r="BY514" s="81"/>
      <c r="BZ514" s="81"/>
      <c r="CA514" s="81"/>
      <c r="CB514" s="81"/>
      <c r="CC514" s="81"/>
      <c r="CD514" s="81"/>
      <c r="CE514" s="81"/>
      <c r="CF514" s="81"/>
      <c r="CG514" s="81"/>
      <c r="CH514" s="81"/>
      <c r="CI514" s="81"/>
      <c r="CJ514" s="81"/>
      <c r="CK514" s="81"/>
      <c r="CL514" s="81"/>
      <c r="CM514" s="81"/>
      <c r="CN514" s="81"/>
      <c r="CO514" s="81"/>
      <c r="CP514" s="81"/>
      <c r="CQ514" s="81"/>
      <c r="CR514" s="81"/>
      <c r="CS514" s="81"/>
      <c r="CT514" s="81"/>
      <c r="CU514" s="81"/>
      <c r="CV514" s="81"/>
      <c r="CW514" s="81"/>
      <c r="CX514" s="81"/>
      <c r="CY514" s="81"/>
      <c r="CZ514" s="81"/>
      <c r="DA514" s="81"/>
      <c r="DB514" s="81"/>
      <c r="DC514" s="81"/>
      <c r="DD514" s="81"/>
      <c r="DE514" s="81"/>
      <c r="DF514" s="81"/>
      <c r="DG514" s="81"/>
      <c r="DH514" s="81"/>
      <c r="DI514" s="81"/>
      <c r="DJ514" s="81"/>
      <c r="DK514" s="81"/>
      <c r="DL514" s="81"/>
      <c r="DM514" s="81"/>
      <c r="DN514" s="81"/>
      <c r="DO514" s="81"/>
      <c r="DP514" s="81"/>
      <c r="DQ514" s="81"/>
      <c r="DR514" s="81"/>
      <c r="DS514" s="81"/>
      <c r="DT514" s="81"/>
      <c r="DU514" s="81"/>
      <c r="DV514" s="81"/>
      <c r="DW514" s="121"/>
    </row>
    <row r="515" spans="1:127" x14ac:dyDescent="0.25">
      <c r="A515" s="2">
        <f>COUNTIF($D$2:D515,'Reporte de Nomina'!$E$2)</f>
        <v>0</v>
      </c>
      <c r="B515" s="125">
        <f>Lista!A514</f>
        <v>0</v>
      </c>
      <c r="C515" s="125">
        <f>Lista!B514</f>
        <v>0</v>
      </c>
      <c r="D515" s="125">
        <f>Lista!C514</f>
        <v>0</v>
      </c>
      <c r="E515" s="125">
        <f>Lista!D514</f>
        <v>0</v>
      </c>
      <c r="F515" s="125">
        <f>Lista!E514</f>
        <v>0</v>
      </c>
      <c r="G515" s="125">
        <f>Lista!F514</f>
        <v>0</v>
      </c>
      <c r="H515" s="125">
        <f>Lista!G514</f>
        <v>0</v>
      </c>
      <c r="I515" s="125">
        <f>Lista!H514</f>
        <v>0</v>
      </c>
      <c r="J515" s="125">
        <f>Lista!I514</f>
        <v>0</v>
      </c>
      <c r="K515" s="125">
        <f>Lista!J514</f>
        <v>0</v>
      </c>
      <c r="L515" s="125">
        <f>Lista!K514</f>
        <v>0</v>
      </c>
      <c r="M515" s="125">
        <f>Lista!L514</f>
        <v>0</v>
      </c>
      <c r="N515" s="125">
        <f>Lista!M514</f>
        <v>0</v>
      </c>
      <c r="O515" s="125">
        <f>Lista!N514</f>
        <v>0</v>
      </c>
      <c r="P515" s="125">
        <f>Lista!O514</f>
        <v>0</v>
      </c>
      <c r="Q515" s="125">
        <f>Lista!P514</f>
        <v>0</v>
      </c>
      <c r="R515" s="125">
        <f>Lista!Q514</f>
        <v>0</v>
      </c>
      <c r="S515" s="125">
        <f>Lista!R514</f>
        <v>0</v>
      </c>
      <c r="T515" s="81"/>
      <c r="U515" s="81"/>
      <c r="V515" s="81"/>
      <c r="W515" s="81"/>
      <c r="X515" s="81"/>
      <c r="Y515" s="81"/>
      <c r="Z515" s="81"/>
      <c r="AA515" s="81"/>
      <c r="AB515" s="81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  <c r="BS515" s="81"/>
      <c r="BT515" s="81"/>
      <c r="BU515" s="81"/>
      <c r="BV515" s="81"/>
      <c r="BW515" s="81"/>
      <c r="BX515" s="81"/>
      <c r="BY515" s="81"/>
      <c r="BZ515" s="81"/>
      <c r="CA515" s="81"/>
      <c r="CB515" s="81"/>
      <c r="CC515" s="81"/>
      <c r="CD515" s="81"/>
      <c r="CE515" s="81"/>
      <c r="CF515" s="81"/>
      <c r="CG515" s="81"/>
      <c r="CH515" s="81"/>
      <c r="CI515" s="81"/>
      <c r="CJ515" s="81"/>
      <c r="CK515" s="81"/>
      <c r="CL515" s="81"/>
      <c r="CM515" s="81"/>
      <c r="CN515" s="81"/>
      <c r="CO515" s="81"/>
      <c r="CP515" s="81"/>
      <c r="CQ515" s="81"/>
      <c r="CR515" s="81"/>
      <c r="CS515" s="81"/>
      <c r="CT515" s="81"/>
      <c r="CU515" s="81"/>
      <c r="CV515" s="81"/>
      <c r="CW515" s="81"/>
      <c r="CX515" s="81"/>
      <c r="CY515" s="81"/>
      <c r="CZ515" s="81"/>
      <c r="DA515" s="81"/>
      <c r="DB515" s="81"/>
      <c r="DC515" s="81"/>
      <c r="DD515" s="81"/>
      <c r="DE515" s="81"/>
      <c r="DF515" s="81"/>
      <c r="DG515" s="81"/>
      <c r="DH515" s="81"/>
      <c r="DI515" s="81"/>
      <c r="DJ515" s="81"/>
      <c r="DK515" s="81"/>
      <c r="DL515" s="81"/>
      <c r="DM515" s="81"/>
      <c r="DN515" s="81"/>
      <c r="DO515" s="81"/>
      <c r="DP515" s="81"/>
      <c r="DQ515" s="81"/>
      <c r="DR515" s="81"/>
      <c r="DS515" s="81"/>
      <c r="DT515" s="81"/>
      <c r="DU515" s="81"/>
      <c r="DV515" s="81"/>
      <c r="DW515" s="121"/>
    </row>
    <row r="516" spans="1:127" x14ac:dyDescent="0.25">
      <c r="A516" s="2">
        <f>COUNTIF($D$2:D516,'Reporte de Nomina'!$E$2)</f>
        <v>0</v>
      </c>
      <c r="B516" s="125">
        <f>Lista!A515</f>
        <v>0</v>
      </c>
      <c r="C516" s="125">
        <f>Lista!B515</f>
        <v>0</v>
      </c>
      <c r="D516" s="125">
        <f>Lista!C515</f>
        <v>0</v>
      </c>
      <c r="E516" s="125">
        <f>Lista!D515</f>
        <v>0</v>
      </c>
      <c r="F516" s="125">
        <f>Lista!E515</f>
        <v>0</v>
      </c>
      <c r="G516" s="125">
        <f>Lista!F515</f>
        <v>0</v>
      </c>
      <c r="H516" s="125">
        <f>Lista!G515</f>
        <v>0</v>
      </c>
      <c r="I516" s="125">
        <f>Lista!H515</f>
        <v>0</v>
      </c>
      <c r="J516" s="125">
        <f>Lista!I515</f>
        <v>0</v>
      </c>
      <c r="K516" s="125">
        <f>Lista!J515</f>
        <v>0</v>
      </c>
      <c r="L516" s="125">
        <f>Lista!K515</f>
        <v>0</v>
      </c>
      <c r="M516" s="125">
        <f>Lista!L515</f>
        <v>0</v>
      </c>
      <c r="N516" s="125">
        <f>Lista!M515</f>
        <v>0</v>
      </c>
      <c r="O516" s="125">
        <f>Lista!N515</f>
        <v>0</v>
      </c>
      <c r="P516" s="125">
        <f>Lista!O515</f>
        <v>0</v>
      </c>
      <c r="Q516" s="125">
        <f>Lista!P515</f>
        <v>0</v>
      </c>
      <c r="R516" s="125">
        <f>Lista!Q515</f>
        <v>0</v>
      </c>
      <c r="S516" s="125">
        <f>Lista!R515</f>
        <v>0</v>
      </c>
      <c r="T516" s="81"/>
      <c r="U516" s="81"/>
      <c r="V516" s="81"/>
      <c r="W516" s="81"/>
      <c r="X516" s="81"/>
      <c r="Y516" s="81"/>
      <c r="Z516" s="81"/>
      <c r="AA516" s="81"/>
      <c r="AB516" s="81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  <c r="BS516" s="81"/>
      <c r="BT516" s="81"/>
      <c r="BU516" s="81"/>
      <c r="BV516" s="81"/>
      <c r="BW516" s="81"/>
      <c r="BX516" s="81"/>
      <c r="BY516" s="81"/>
      <c r="BZ516" s="81"/>
      <c r="CA516" s="81"/>
      <c r="CB516" s="81"/>
      <c r="CC516" s="81"/>
      <c r="CD516" s="81"/>
      <c r="CE516" s="81"/>
      <c r="CF516" s="81"/>
      <c r="CG516" s="81"/>
      <c r="CH516" s="81"/>
      <c r="CI516" s="81"/>
      <c r="CJ516" s="81"/>
      <c r="CK516" s="81"/>
      <c r="CL516" s="81"/>
      <c r="CM516" s="81"/>
      <c r="CN516" s="81"/>
      <c r="CO516" s="81"/>
      <c r="CP516" s="81"/>
      <c r="CQ516" s="81"/>
      <c r="CR516" s="81"/>
      <c r="CS516" s="81"/>
      <c r="CT516" s="81"/>
      <c r="CU516" s="81"/>
      <c r="CV516" s="81"/>
      <c r="CW516" s="81"/>
      <c r="CX516" s="81"/>
      <c r="CY516" s="81"/>
      <c r="CZ516" s="81"/>
      <c r="DA516" s="81"/>
      <c r="DB516" s="81"/>
      <c r="DC516" s="81"/>
      <c r="DD516" s="81"/>
      <c r="DE516" s="81"/>
      <c r="DF516" s="81"/>
      <c r="DG516" s="81"/>
      <c r="DH516" s="81"/>
      <c r="DI516" s="81"/>
      <c r="DJ516" s="81"/>
      <c r="DK516" s="81"/>
      <c r="DL516" s="81"/>
      <c r="DM516" s="81"/>
      <c r="DN516" s="81"/>
      <c r="DO516" s="81"/>
      <c r="DP516" s="81"/>
      <c r="DQ516" s="81"/>
      <c r="DR516" s="81"/>
      <c r="DS516" s="81"/>
      <c r="DT516" s="81"/>
      <c r="DU516" s="81"/>
      <c r="DV516" s="81"/>
      <c r="DW516" s="121"/>
    </row>
    <row r="517" spans="1:127" x14ac:dyDescent="0.25">
      <c r="A517" s="2">
        <f>COUNTIF($D$2:D517,'Reporte de Nomina'!$E$2)</f>
        <v>0</v>
      </c>
      <c r="B517" s="125">
        <f>Lista!A516</f>
        <v>0</v>
      </c>
      <c r="C517" s="125">
        <f>Lista!B516</f>
        <v>0</v>
      </c>
      <c r="D517" s="125">
        <f>Lista!C516</f>
        <v>0</v>
      </c>
      <c r="E517" s="125">
        <f>Lista!D516</f>
        <v>0</v>
      </c>
      <c r="F517" s="125">
        <f>Lista!E516</f>
        <v>0</v>
      </c>
      <c r="G517" s="125">
        <f>Lista!F516</f>
        <v>0</v>
      </c>
      <c r="H517" s="125">
        <f>Lista!G516</f>
        <v>0</v>
      </c>
      <c r="I517" s="125">
        <f>Lista!H516</f>
        <v>0</v>
      </c>
      <c r="J517" s="125">
        <f>Lista!I516</f>
        <v>0</v>
      </c>
      <c r="K517" s="125">
        <f>Lista!J516</f>
        <v>0</v>
      </c>
      <c r="L517" s="125">
        <f>Lista!K516</f>
        <v>0</v>
      </c>
      <c r="M517" s="125">
        <f>Lista!L516</f>
        <v>0</v>
      </c>
      <c r="N517" s="125">
        <f>Lista!M516</f>
        <v>0</v>
      </c>
      <c r="O517" s="125">
        <f>Lista!N516</f>
        <v>0</v>
      </c>
      <c r="P517" s="125">
        <f>Lista!O516</f>
        <v>0</v>
      </c>
      <c r="Q517" s="125">
        <f>Lista!P516</f>
        <v>0</v>
      </c>
      <c r="R517" s="125">
        <f>Lista!Q516</f>
        <v>0</v>
      </c>
      <c r="S517" s="125">
        <f>Lista!R516</f>
        <v>0</v>
      </c>
      <c r="T517" s="81"/>
      <c r="U517" s="81"/>
      <c r="V517" s="81"/>
      <c r="W517" s="81"/>
      <c r="X517" s="81"/>
      <c r="Y517" s="81"/>
      <c r="Z517" s="81"/>
      <c r="AA517" s="81"/>
      <c r="AB517" s="81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  <c r="BS517" s="81"/>
      <c r="BT517" s="81"/>
      <c r="BU517" s="81"/>
      <c r="BV517" s="81"/>
      <c r="BW517" s="81"/>
      <c r="BX517" s="81"/>
      <c r="BY517" s="81"/>
      <c r="BZ517" s="81"/>
      <c r="CA517" s="81"/>
      <c r="CB517" s="81"/>
      <c r="CC517" s="81"/>
      <c r="CD517" s="81"/>
      <c r="CE517" s="81"/>
      <c r="CF517" s="81"/>
      <c r="CG517" s="81"/>
      <c r="CH517" s="81"/>
      <c r="CI517" s="81"/>
      <c r="CJ517" s="81"/>
      <c r="CK517" s="81"/>
      <c r="CL517" s="81"/>
      <c r="CM517" s="81"/>
      <c r="CN517" s="81"/>
      <c r="CO517" s="81"/>
      <c r="CP517" s="81"/>
      <c r="CQ517" s="81"/>
      <c r="CR517" s="81"/>
      <c r="CS517" s="81"/>
      <c r="CT517" s="81"/>
      <c r="CU517" s="81"/>
      <c r="CV517" s="81"/>
      <c r="CW517" s="81"/>
      <c r="CX517" s="81"/>
      <c r="CY517" s="81"/>
      <c r="CZ517" s="81"/>
      <c r="DA517" s="81"/>
      <c r="DB517" s="81"/>
      <c r="DC517" s="81"/>
      <c r="DD517" s="81"/>
      <c r="DE517" s="81"/>
      <c r="DF517" s="81"/>
      <c r="DG517" s="81"/>
      <c r="DH517" s="81"/>
      <c r="DI517" s="81"/>
      <c r="DJ517" s="81"/>
      <c r="DK517" s="81"/>
      <c r="DL517" s="81"/>
      <c r="DM517" s="81"/>
      <c r="DN517" s="81"/>
      <c r="DO517" s="81"/>
      <c r="DP517" s="81"/>
      <c r="DQ517" s="81"/>
      <c r="DR517" s="81"/>
      <c r="DS517" s="81"/>
      <c r="DT517" s="81"/>
      <c r="DU517" s="81"/>
      <c r="DV517" s="81"/>
      <c r="DW517" s="121"/>
    </row>
    <row r="518" spans="1:127" x14ac:dyDescent="0.25">
      <c r="A518" s="2">
        <f>COUNTIF($D$2:D518,'Reporte de Nomina'!$E$2)</f>
        <v>0</v>
      </c>
      <c r="B518" s="125">
        <f>Lista!A517</f>
        <v>0</v>
      </c>
      <c r="C518" s="125">
        <f>Lista!B517</f>
        <v>0</v>
      </c>
      <c r="D518" s="125">
        <f>Lista!C517</f>
        <v>0</v>
      </c>
      <c r="E518" s="125">
        <f>Lista!D517</f>
        <v>0</v>
      </c>
      <c r="F518" s="125">
        <f>Lista!E517</f>
        <v>0</v>
      </c>
      <c r="G518" s="125">
        <f>Lista!F517</f>
        <v>0</v>
      </c>
      <c r="H518" s="125">
        <f>Lista!G517</f>
        <v>0</v>
      </c>
      <c r="I518" s="125">
        <f>Lista!H517</f>
        <v>0</v>
      </c>
      <c r="J518" s="125">
        <f>Lista!I517</f>
        <v>0</v>
      </c>
      <c r="K518" s="125">
        <f>Lista!J517</f>
        <v>0</v>
      </c>
      <c r="L518" s="125">
        <f>Lista!K517</f>
        <v>0</v>
      </c>
      <c r="M518" s="125">
        <f>Lista!L517</f>
        <v>0</v>
      </c>
      <c r="N518" s="125">
        <f>Lista!M517</f>
        <v>0</v>
      </c>
      <c r="O518" s="125">
        <f>Lista!N517</f>
        <v>0</v>
      </c>
      <c r="P518" s="125">
        <f>Lista!O517</f>
        <v>0</v>
      </c>
      <c r="Q518" s="125">
        <f>Lista!P517</f>
        <v>0</v>
      </c>
      <c r="R518" s="125">
        <f>Lista!Q517</f>
        <v>0</v>
      </c>
      <c r="S518" s="125">
        <f>Lista!R517</f>
        <v>0</v>
      </c>
      <c r="T518" s="81"/>
      <c r="U518" s="81"/>
      <c r="V518" s="81"/>
      <c r="W518" s="81"/>
      <c r="X518" s="81"/>
      <c r="Y518" s="81"/>
      <c r="Z518" s="81"/>
      <c r="AA518" s="81"/>
      <c r="AB518" s="81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  <c r="BS518" s="81"/>
      <c r="BT518" s="81"/>
      <c r="BU518" s="81"/>
      <c r="BV518" s="81"/>
      <c r="BW518" s="81"/>
      <c r="BX518" s="81"/>
      <c r="BY518" s="81"/>
      <c r="BZ518" s="81"/>
      <c r="CA518" s="81"/>
      <c r="CB518" s="81"/>
      <c r="CC518" s="81"/>
      <c r="CD518" s="81"/>
      <c r="CE518" s="81"/>
      <c r="CF518" s="81"/>
      <c r="CG518" s="81"/>
      <c r="CH518" s="81"/>
      <c r="CI518" s="81"/>
      <c r="CJ518" s="81"/>
      <c r="CK518" s="81"/>
      <c r="CL518" s="81"/>
      <c r="CM518" s="81"/>
      <c r="CN518" s="81"/>
      <c r="CO518" s="81"/>
      <c r="CP518" s="81"/>
      <c r="CQ518" s="81"/>
      <c r="CR518" s="81"/>
      <c r="CS518" s="81"/>
      <c r="CT518" s="81"/>
      <c r="CU518" s="81"/>
      <c r="CV518" s="81"/>
      <c r="CW518" s="81"/>
      <c r="CX518" s="81"/>
      <c r="CY518" s="81"/>
      <c r="CZ518" s="81"/>
      <c r="DA518" s="81"/>
      <c r="DB518" s="81"/>
      <c r="DC518" s="81"/>
      <c r="DD518" s="81"/>
      <c r="DE518" s="81"/>
      <c r="DF518" s="81"/>
      <c r="DG518" s="81"/>
      <c r="DH518" s="81"/>
      <c r="DI518" s="81"/>
      <c r="DJ518" s="81"/>
      <c r="DK518" s="81"/>
      <c r="DL518" s="81"/>
      <c r="DM518" s="81"/>
      <c r="DN518" s="81"/>
      <c r="DO518" s="81"/>
      <c r="DP518" s="81"/>
      <c r="DQ518" s="81"/>
      <c r="DR518" s="81"/>
      <c r="DS518" s="81"/>
      <c r="DT518" s="81"/>
      <c r="DU518" s="81"/>
      <c r="DV518" s="81"/>
      <c r="DW518" s="121"/>
    </row>
    <row r="519" spans="1:127" x14ac:dyDescent="0.25">
      <c r="A519" s="2">
        <f>COUNTIF($D$2:D519,'Reporte de Nomina'!$E$2)</f>
        <v>0</v>
      </c>
      <c r="B519" s="125">
        <f>Lista!A518</f>
        <v>0</v>
      </c>
      <c r="C519" s="125">
        <f>Lista!B518</f>
        <v>0</v>
      </c>
      <c r="D519" s="125">
        <f>Lista!C518</f>
        <v>0</v>
      </c>
      <c r="E519" s="125">
        <f>Lista!D518</f>
        <v>0</v>
      </c>
      <c r="F519" s="125">
        <f>Lista!E518</f>
        <v>0</v>
      </c>
      <c r="G519" s="125">
        <f>Lista!F518</f>
        <v>0</v>
      </c>
      <c r="H519" s="125">
        <f>Lista!G518</f>
        <v>0</v>
      </c>
      <c r="I519" s="125">
        <f>Lista!H518</f>
        <v>0</v>
      </c>
      <c r="J519" s="125">
        <f>Lista!I518</f>
        <v>0</v>
      </c>
      <c r="K519" s="125">
        <f>Lista!J518</f>
        <v>0</v>
      </c>
      <c r="L519" s="125">
        <f>Lista!K518</f>
        <v>0</v>
      </c>
      <c r="M519" s="125">
        <f>Lista!L518</f>
        <v>0</v>
      </c>
      <c r="N519" s="125">
        <f>Lista!M518</f>
        <v>0</v>
      </c>
      <c r="O519" s="125">
        <f>Lista!N518</f>
        <v>0</v>
      </c>
      <c r="P519" s="125">
        <f>Lista!O518</f>
        <v>0</v>
      </c>
      <c r="Q519" s="125">
        <f>Lista!P518</f>
        <v>0</v>
      </c>
      <c r="R519" s="125">
        <f>Lista!Q518</f>
        <v>0</v>
      </c>
      <c r="S519" s="125">
        <f>Lista!R518</f>
        <v>0</v>
      </c>
      <c r="T519" s="81"/>
      <c r="U519" s="81"/>
      <c r="V519" s="81"/>
      <c r="W519" s="81"/>
      <c r="X519" s="81"/>
      <c r="Y519" s="81"/>
      <c r="Z519" s="81"/>
      <c r="AA519" s="81"/>
      <c r="AB519" s="81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  <c r="BS519" s="81"/>
      <c r="BT519" s="81"/>
      <c r="BU519" s="81"/>
      <c r="BV519" s="81"/>
      <c r="BW519" s="81"/>
      <c r="BX519" s="81"/>
      <c r="BY519" s="81"/>
      <c r="BZ519" s="81"/>
      <c r="CA519" s="81"/>
      <c r="CB519" s="81"/>
      <c r="CC519" s="81"/>
      <c r="CD519" s="81"/>
      <c r="CE519" s="81"/>
      <c r="CF519" s="81"/>
      <c r="CG519" s="81"/>
      <c r="CH519" s="81"/>
      <c r="CI519" s="81"/>
      <c r="CJ519" s="81"/>
      <c r="CK519" s="81"/>
      <c r="CL519" s="81"/>
      <c r="CM519" s="81"/>
      <c r="CN519" s="81"/>
      <c r="CO519" s="81"/>
      <c r="CP519" s="81"/>
      <c r="CQ519" s="81"/>
      <c r="CR519" s="81"/>
      <c r="CS519" s="81"/>
      <c r="CT519" s="81"/>
      <c r="CU519" s="81"/>
      <c r="CV519" s="81"/>
      <c r="CW519" s="81"/>
      <c r="CX519" s="81"/>
      <c r="CY519" s="81"/>
      <c r="CZ519" s="81"/>
      <c r="DA519" s="81"/>
      <c r="DB519" s="81"/>
      <c r="DC519" s="81"/>
      <c r="DD519" s="81"/>
      <c r="DE519" s="81"/>
      <c r="DF519" s="81"/>
      <c r="DG519" s="81"/>
      <c r="DH519" s="81"/>
      <c r="DI519" s="81"/>
      <c r="DJ519" s="81"/>
      <c r="DK519" s="81"/>
      <c r="DL519" s="81"/>
      <c r="DM519" s="81"/>
      <c r="DN519" s="81"/>
      <c r="DO519" s="81"/>
      <c r="DP519" s="81"/>
      <c r="DQ519" s="81"/>
      <c r="DR519" s="81"/>
      <c r="DS519" s="81"/>
      <c r="DT519" s="81"/>
      <c r="DU519" s="81"/>
      <c r="DV519" s="81"/>
      <c r="DW519" s="121"/>
    </row>
    <row r="520" spans="1:127" x14ac:dyDescent="0.25">
      <c r="A520" s="2">
        <f>COUNTIF($D$2:D520,'Reporte de Nomina'!$E$2)</f>
        <v>0</v>
      </c>
      <c r="B520" s="125">
        <f>Lista!A519</f>
        <v>0</v>
      </c>
      <c r="C520" s="125">
        <f>Lista!B519</f>
        <v>0</v>
      </c>
      <c r="D520" s="125">
        <f>Lista!C519</f>
        <v>0</v>
      </c>
      <c r="E520" s="125">
        <f>Lista!D519</f>
        <v>0</v>
      </c>
      <c r="F520" s="125">
        <f>Lista!E519</f>
        <v>0</v>
      </c>
      <c r="G520" s="125">
        <f>Lista!F519</f>
        <v>0</v>
      </c>
      <c r="H520" s="125">
        <f>Lista!G519</f>
        <v>0</v>
      </c>
      <c r="I520" s="125">
        <f>Lista!H519</f>
        <v>0</v>
      </c>
      <c r="J520" s="125">
        <f>Lista!I519</f>
        <v>0</v>
      </c>
      <c r="K520" s="125">
        <f>Lista!J519</f>
        <v>0</v>
      </c>
      <c r="L520" s="125">
        <f>Lista!K519</f>
        <v>0</v>
      </c>
      <c r="M520" s="125">
        <f>Lista!L519</f>
        <v>0</v>
      </c>
      <c r="N520" s="125">
        <f>Lista!M519</f>
        <v>0</v>
      </c>
      <c r="O520" s="125">
        <f>Lista!N519</f>
        <v>0</v>
      </c>
      <c r="P520" s="125">
        <f>Lista!O519</f>
        <v>0</v>
      </c>
      <c r="Q520" s="125">
        <f>Lista!P519</f>
        <v>0</v>
      </c>
      <c r="R520" s="125">
        <f>Lista!Q519</f>
        <v>0</v>
      </c>
      <c r="S520" s="125">
        <f>Lista!R519</f>
        <v>0</v>
      </c>
      <c r="T520" s="81"/>
      <c r="U520" s="81"/>
      <c r="V520" s="81"/>
      <c r="W520" s="81"/>
      <c r="X520" s="81"/>
      <c r="Y520" s="81"/>
      <c r="Z520" s="81"/>
      <c r="AA520" s="81"/>
      <c r="AB520" s="81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  <c r="BS520" s="81"/>
      <c r="BT520" s="81"/>
      <c r="BU520" s="81"/>
      <c r="BV520" s="81"/>
      <c r="BW520" s="81"/>
      <c r="BX520" s="81"/>
      <c r="BY520" s="81"/>
      <c r="BZ520" s="81"/>
      <c r="CA520" s="81"/>
      <c r="CB520" s="81"/>
      <c r="CC520" s="81"/>
      <c r="CD520" s="81"/>
      <c r="CE520" s="81"/>
      <c r="CF520" s="81"/>
      <c r="CG520" s="81"/>
      <c r="CH520" s="81"/>
      <c r="CI520" s="81"/>
      <c r="CJ520" s="81"/>
      <c r="CK520" s="81"/>
      <c r="CL520" s="81"/>
      <c r="CM520" s="81"/>
      <c r="CN520" s="81"/>
      <c r="CO520" s="81"/>
      <c r="CP520" s="81"/>
      <c r="CQ520" s="81"/>
      <c r="CR520" s="81"/>
      <c r="CS520" s="81"/>
      <c r="CT520" s="81"/>
      <c r="CU520" s="81"/>
      <c r="CV520" s="81"/>
      <c r="CW520" s="81"/>
      <c r="CX520" s="81"/>
      <c r="CY520" s="81"/>
      <c r="CZ520" s="81"/>
      <c r="DA520" s="81"/>
      <c r="DB520" s="81"/>
      <c r="DC520" s="81"/>
      <c r="DD520" s="81"/>
      <c r="DE520" s="81"/>
      <c r="DF520" s="81"/>
      <c r="DG520" s="81"/>
      <c r="DH520" s="81"/>
      <c r="DI520" s="81"/>
      <c r="DJ520" s="81"/>
      <c r="DK520" s="81"/>
      <c r="DL520" s="81"/>
      <c r="DM520" s="81"/>
      <c r="DN520" s="81"/>
      <c r="DO520" s="81"/>
      <c r="DP520" s="81"/>
      <c r="DQ520" s="81"/>
      <c r="DR520" s="81"/>
      <c r="DS520" s="81"/>
      <c r="DT520" s="81"/>
      <c r="DU520" s="81"/>
      <c r="DV520" s="81"/>
      <c r="DW520" s="121"/>
    </row>
    <row r="521" spans="1:127" x14ac:dyDescent="0.25">
      <c r="A521" s="2">
        <f>COUNTIF($D$2:D521,'Reporte de Nomina'!$E$2)</f>
        <v>0</v>
      </c>
      <c r="B521" s="125">
        <f>Lista!A520</f>
        <v>0</v>
      </c>
      <c r="C521" s="125">
        <f>Lista!B520</f>
        <v>0</v>
      </c>
      <c r="D521" s="125">
        <f>Lista!C520</f>
        <v>0</v>
      </c>
      <c r="E521" s="125">
        <f>Lista!D520</f>
        <v>0</v>
      </c>
      <c r="F521" s="125">
        <f>Lista!E520</f>
        <v>0</v>
      </c>
      <c r="G521" s="125">
        <f>Lista!F520</f>
        <v>0</v>
      </c>
      <c r="H521" s="125">
        <f>Lista!G520</f>
        <v>0</v>
      </c>
      <c r="I521" s="125">
        <f>Lista!H520</f>
        <v>0</v>
      </c>
      <c r="J521" s="125">
        <f>Lista!I520</f>
        <v>0</v>
      </c>
      <c r="K521" s="125">
        <f>Lista!J520</f>
        <v>0</v>
      </c>
      <c r="L521" s="125">
        <f>Lista!K520</f>
        <v>0</v>
      </c>
      <c r="M521" s="125">
        <f>Lista!L520</f>
        <v>0</v>
      </c>
      <c r="N521" s="125">
        <f>Lista!M520</f>
        <v>0</v>
      </c>
      <c r="O521" s="125">
        <f>Lista!N520</f>
        <v>0</v>
      </c>
      <c r="P521" s="125">
        <f>Lista!O520</f>
        <v>0</v>
      </c>
      <c r="Q521" s="125">
        <f>Lista!P520</f>
        <v>0</v>
      </c>
      <c r="R521" s="125">
        <f>Lista!Q520</f>
        <v>0</v>
      </c>
      <c r="S521" s="125">
        <f>Lista!R520</f>
        <v>0</v>
      </c>
      <c r="T521" s="81"/>
      <c r="U521" s="81"/>
      <c r="V521" s="81"/>
      <c r="W521" s="81"/>
      <c r="X521" s="81"/>
      <c r="Y521" s="81"/>
      <c r="Z521" s="81"/>
      <c r="AA521" s="81"/>
      <c r="AB521" s="81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  <c r="BS521" s="81"/>
      <c r="BT521" s="81"/>
      <c r="BU521" s="81"/>
      <c r="BV521" s="81"/>
      <c r="BW521" s="81"/>
      <c r="BX521" s="81"/>
      <c r="BY521" s="81"/>
      <c r="BZ521" s="81"/>
      <c r="CA521" s="81"/>
      <c r="CB521" s="81"/>
      <c r="CC521" s="81"/>
      <c r="CD521" s="81"/>
      <c r="CE521" s="81"/>
      <c r="CF521" s="81"/>
      <c r="CG521" s="81"/>
      <c r="CH521" s="81"/>
      <c r="CI521" s="81"/>
      <c r="CJ521" s="81"/>
      <c r="CK521" s="81"/>
      <c r="CL521" s="81"/>
      <c r="CM521" s="81"/>
      <c r="CN521" s="81"/>
      <c r="CO521" s="81"/>
      <c r="CP521" s="81"/>
      <c r="CQ521" s="81"/>
      <c r="CR521" s="81"/>
      <c r="CS521" s="81"/>
      <c r="CT521" s="81"/>
      <c r="CU521" s="81"/>
      <c r="CV521" s="81"/>
      <c r="CW521" s="81"/>
      <c r="CX521" s="81"/>
      <c r="CY521" s="81"/>
      <c r="CZ521" s="81"/>
      <c r="DA521" s="81"/>
      <c r="DB521" s="81"/>
      <c r="DC521" s="81"/>
      <c r="DD521" s="81"/>
      <c r="DE521" s="81"/>
      <c r="DF521" s="81"/>
      <c r="DG521" s="81"/>
      <c r="DH521" s="81"/>
      <c r="DI521" s="81"/>
      <c r="DJ521" s="81"/>
      <c r="DK521" s="81"/>
      <c r="DL521" s="81"/>
      <c r="DM521" s="81"/>
      <c r="DN521" s="81"/>
      <c r="DO521" s="81"/>
      <c r="DP521" s="81"/>
      <c r="DQ521" s="81"/>
      <c r="DR521" s="81"/>
      <c r="DS521" s="81"/>
      <c r="DT521" s="81"/>
      <c r="DU521" s="81"/>
      <c r="DV521" s="81"/>
      <c r="DW521" s="121"/>
    </row>
    <row r="522" spans="1:127" x14ac:dyDescent="0.25">
      <c r="A522" s="2">
        <f>COUNTIF($D$2:D522,'Reporte de Nomina'!$E$2)</f>
        <v>0</v>
      </c>
      <c r="B522" s="125">
        <f>Lista!A521</f>
        <v>0</v>
      </c>
      <c r="C522" s="125">
        <f>Lista!B521</f>
        <v>0</v>
      </c>
      <c r="D522" s="125">
        <f>Lista!C521</f>
        <v>0</v>
      </c>
      <c r="E522" s="125">
        <f>Lista!D521</f>
        <v>0</v>
      </c>
      <c r="F522" s="125">
        <f>Lista!E521</f>
        <v>0</v>
      </c>
      <c r="G522" s="125">
        <f>Lista!F521</f>
        <v>0</v>
      </c>
      <c r="H522" s="125">
        <f>Lista!G521</f>
        <v>0</v>
      </c>
      <c r="I522" s="125">
        <f>Lista!H521</f>
        <v>0</v>
      </c>
      <c r="J522" s="125">
        <f>Lista!I521</f>
        <v>0</v>
      </c>
      <c r="K522" s="125">
        <f>Lista!J521</f>
        <v>0</v>
      </c>
      <c r="L522" s="125">
        <f>Lista!K521</f>
        <v>0</v>
      </c>
      <c r="M522" s="125">
        <f>Lista!L521</f>
        <v>0</v>
      </c>
      <c r="N522" s="125">
        <f>Lista!M521</f>
        <v>0</v>
      </c>
      <c r="O522" s="125">
        <f>Lista!N521</f>
        <v>0</v>
      </c>
      <c r="P522" s="125">
        <f>Lista!O521</f>
        <v>0</v>
      </c>
      <c r="Q522" s="125">
        <f>Lista!P521</f>
        <v>0</v>
      </c>
      <c r="R522" s="125">
        <f>Lista!Q521</f>
        <v>0</v>
      </c>
      <c r="S522" s="125">
        <f>Lista!R521</f>
        <v>0</v>
      </c>
      <c r="T522" s="81"/>
      <c r="U522" s="81"/>
      <c r="V522" s="81"/>
      <c r="W522" s="81"/>
      <c r="X522" s="81"/>
      <c r="Y522" s="81"/>
      <c r="Z522" s="81"/>
      <c r="AA522" s="81"/>
      <c r="AB522" s="81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  <c r="BS522" s="81"/>
      <c r="BT522" s="81"/>
      <c r="BU522" s="81"/>
      <c r="BV522" s="81"/>
      <c r="BW522" s="81"/>
      <c r="BX522" s="81"/>
      <c r="BY522" s="81"/>
      <c r="BZ522" s="81"/>
      <c r="CA522" s="81"/>
      <c r="CB522" s="81"/>
      <c r="CC522" s="81"/>
      <c r="CD522" s="81"/>
      <c r="CE522" s="81"/>
      <c r="CF522" s="81"/>
      <c r="CG522" s="81"/>
      <c r="CH522" s="81"/>
      <c r="CI522" s="81"/>
      <c r="CJ522" s="81"/>
      <c r="CK522" s="81"/>
      <c r="CL522" s="81"/>
      <c r="CM522" s="81"/>
      <c r="CN522" s="81"/>
      <c r="CO522" s="81"/>
      <c r="CP522" s="81"/>
      <c r="CQ522" s="81"/>
      <c r="CR522" s="81"/>
      <c r="CS522" s="81"/>
      <c r="CT522" s="81"/>
      <c r="CU522" s="81"/>
      <c r="CV522" s="81"/>
      <c r="CW522" s="81"/>
      <c r="CX522" s="81"/>
      <c r="CY522" s="81"/>
      <c r="CZ522" s="81"/>
      <c r="DA522" s="81"/>
      <c r="DB522" s="81"/>
      <c r="DC522" s="81"/>
      <c r="DD522" s="81"/>
      <c r="DE522" s="81"/>
      <c r="DF522" s="81"/>
      <c r="DG522" s="81"/>
      <c r="DH522" s="81"/>
      <c r="DI522" s="81"/>
      <c r="DJ522" s="81"/>
      <c r="DK522" s="81"/>
      <c r="DL522" s="81"/>
      <c r="DM522" s="81"/>
      <c r="DN522" s="81"/>
      <c r="DO522" s="81"/>
      <c r="DP522" s="81"/>
      <c r="DQ522" s="81"/>
      <c r="DR522" s="81"/>
      <c r="DS522" s="81"/>
      <c r="DT522" s="81"/>
      <c r="DU522" s="81"/>
      <c r="DV522" s="81"/>
      <c r="DW522" s="121"/>
    </row>
    <row r="523" spans="1:127" x14ac:dyDescent="0.25">
      <c r="A523" s="2">
        <f>COUNTIF($D$2:D523,'Reporte de Nomina'!$E$2)</f>
        <v>0</v>
      </c>
      <c r="B523" s="125">
        <f>Lista!A522</f>
        <v>0</v>
      </c>
      <c r="C523" s="125">
        <f>Lista!B522</f>
        <v>0</v>
      </c>
      <c r="D523" s="125">
        <f>Lista!C522</f>
        <v>0</v>
      </c>
      <c r="E523" s="125">
        <f>Lista!D522</f>
        <v>0</v>
      </c>
      <c r="F523" s="125">
        <f>Lista!E522</f>
        <v>0</v>
      </c>
      <c r="G523" s="125">
        <f>Lista!F522</f>
        <v>0</v>
      </c>
      <c r="H523" s="125">
        <f>Lista!G522</f>
        <v>0</v>
      </c>
      <c r="I523" s="125">
        <f>Lista!H522</f>
        <v>0</v>
      </c>
      <c r="J523" s="125">
        <f>Lista!I522</f>
        <v>0</v>
      </c>
      <c r="K523" s="125">
        <f>Lista!J522</f>
        <v>0</v>
      </c>
      <c r="L523" s="125">
        <f>Lista!K522</f>
        <v>0</v>
      </c>
      <c r="M523" s="125">
        <f>Lista!L522</f>
        <v>0</v>
      </c>
      <c r="N523" s="125">
        <f>Lista!M522</f>
        <v>0</v>
      </c>
      <c r="O523" s="125">
        <f>Lista!N522</f>
        <v>0</v>
      </c>
      <c r="P523" s="125">
        <f>Lista!O522</f>
        <v>0</v>
      </c>
      <c r="Q523" s="125">
        <f>Lista!P522</f>
        <v>0</v>
      </c>
      <c r="R523" s="125">
        <f>Lista!Q522</f>
        <v>0</v>
      </c>
      <c r="S523" s="125">
        <f>Lista!R522</f>
        <v>0</v>
      </c>
      <c r="T523" s="81"/>
      <c r="U523" s="81"/>
      <c r="V523" s="81"/>
      <c r="W523" s="81"/>
      <c r="X523" s="81"/>
      <c r="Y523" s="81"/>
      <c r="Z523" s="81"/>
      <c r="AA523" s="81"/>
      <c r="AB523" s="81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  <c r="BS523" s="81"/>
      <c r="BT523" s="81"/>
      <c r="BU523" s="81"/>
      <c r="BV523" s="81"/>
      <c r="BW523" s="81"/>
      <c r="BX523" s="81"/>
      <c r="BY523" s="81"/>
      <c r="BZ523" s="81"/>
      <c r="CA523" s="81"/>
      <c r="CB523" s="81"/>
      <c r="CC523" s="81"/>
      <c r="CD523" s="81"/>
      <c r="CE523" s="81"/>
      <c r="CF523" s="81"/>
      <c r="CG523" s="81"/>
      <c r="CH523" s="81"/>
      <c r="CI523" s="81"/>
      <c r="CJ523" s="81"/>
      <c r="CK523" s="81"/>
      <c r="CL523" s="81"/>
      <c r="CM523" s="81"/>
      <c r="CN523" s="81"/>
      <c r="CO523" s="81"/>
      <c r="CP523" s="81"/>
      <c r="CQ523" s="81"/>
      <c r="CR523" s="81"/>
      <c r="CS523" s="81"/>
      <c r="CT523" s="81"/>
      <c r="CU523" s="81"/>
      <c r="CV523" s="81"/>
      <c r="CW523" s="81"/>
      <c r="CX523" s="81"/>
      <c r="CY523" s="81"/>
      <c r="CZ523" s="81"/>
      <c r="DA523" s="81"/>
      <c r="DB523" s="81"/>
      <c r="DC523" s="81"/>
      <c r="DD523" s="81"/>
      <c r="DE523" s="81"/>
      <c r="DF523" s="81"/>
      <c r="DG523" s="81"/>
      <c r="DH523" s="81"/>
      <c r="DI523" s="81"/>
      <c r="DJ523" s="81"/>
      <c r="DK523" s="81"/>
      <c r="DL523" s="81"/>
      <c r="DM523" s="81"/>
      <c r="DN523" s="81"/>
      <c r="DO523" s="81"/>
      <c r="DP523" s="81"/>
      <c r="DQ523" s="81"/>
      <c r="DR523" s="81"/>
      <c r="DS523" s="81"/>
      <c r="DT523" s="81"/>
      <c r="DU523" s="81"/>
      <c r="DV523" s="81"/>
      <c r="DW523" s="121"/>
    </row>
    <row r="524" spans="1:127" x14ac:dyDescent="0.25">
      <c r="A524" s="2">
        <f>COUNTIF($D$2:D524,'Reporte de Nomina'!$E$2)</f>
        <v>0</v>
      </c>
      <c r="B524" s="125">
        <f>Lista!A523</f>
        <v>0</v>
      </c>
      <c r="C524" s="125">
        <f>Lista!B523</f>
        <v>0</v>
      </c>
      <c r="D524" s="125">
        <f>Lista!C523</f>
        <v>0</v>
      </c>
      <c r="E524" s="125">
        <f>Lista!D523</f>
        <v>0</v>
      </c>
      <c r="F524" s="125">
        <f>Lista!E523</f>
        <v>0</v>
      </c>
      <c r="G524" s="125">
        <f>Lista!F523</f>
        <v>0</v>
      </c>
      <c r="H524" s="125">
        <f>Lista!G523</f>
        <v>0</v>
      </c>
      <c r="I524" s="125">
        <f>Lista!H523</f>
        <v>0</v>
      </c>
      <c r="J524" s="125">
        <f>Lista!I523</f>
        <v>0</v>
      </c>
      <c r="K524" s="125">
        <f>Lista!J523</f>
        <v>0</v>
      </c>
      <c r="L524" s="125">
        <f>Lista!K523</f>
        <v>0</v>
      </c>
      <c r="M524" s="125">
        <f>Lista!L523</f>
        <v>0</v>
      </c>
      <c r="N524" s="125">
        <f>Lista!M523</f>
        <v>0</v>
      </c>
      <c r="O524" s="125">
        <f>Lista!N523</f>
        <v>0</v>
      </c>
      <c r="P524" s="125">
        <f>Lista!O523</f>
        <v>0</v>
      </c>
      <c r="Q524" s="125">
        <f>Lista!P523</f>
        <v>0</v>
      </c>
      <c r="R524" s="125">
        <f>Lista!Q523</f>
        <v>0</v>
      </c>
      <c r="S524" s="125">
        <f>Lista!R523</f>
        <v>0</v>
      </c>
      <c r="T524" s="81"/>
      <c r="U524" s="81"/>
      <c r="V524" s="81"/>
      <c r="W524" s="81"/>
      <c r="X524" s="81"/>
      <c r="Y524" s="81"/>
      <c r="Z524" s="81"/>
      <c r="AA524" s="81"/>
      <c r="AB524" s="81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  <c r="BS524" s="81"/>
      <c r="BT524" s="81"/>
      <c r="BU524" s="81"/>
      <c r="BV524" s="81"/>
      <c r="BW524" s="81"/>
      <c r="BX524" s="81"/>
      <c r="BY524" s="81"/>
      <c r="BZ524" s="81"/>
      <c r="CA524" s="81"/>
      <c r="CB524" s="81"/>
      <c r="CC524" s="81"/>
      <c r="CD524" s="81"/>
      <c r="CE524" s="81"/>
      <c r="CF524" s="81"/>
      <c r="CG524" s="81"/>
      <c r="CH524" s="81"/>
      <c r="CI524" s="81"/>
      <c r="CJ524" s="81"/>
      <c r="CK524" s="81"/>
      <c r="CL524" s="81"/>
      <c r="CM524" s="81"/>
      <c r="CN524" s="81"/>
      <c r="CO524" s="81"/>
      <c r="CP524" s="81"/>
      <c r="CQ524" s="81"/>
      <c r="CR524" s="81"/>
      <c r="CS524" s="81"/>
      <c r="CT524" s="81"/>
      <c r="CU524" s="81"/>
      <c r="CV524" s="81"/>
      <c r="CW524" s="81"/>
      <c r="CX524" s="81"/>
      <c r="CY524" s="81"/>
      <c r="CZ524" s="81"/>
      <c r="DA524" s="81"/>
      <c r="DB524" s="81"/>
      <c r="DC524" s="81"/>
      <c r="DD524" s="81"/>
      <c r="DE524" s="81"/>
      <c r="DF524" s="81"/>
      <c r="DG524" s="81"/>
      <c r="DH524" s="81"/>
      <c r="DI524" s="81"/>
      <c r="DJ524" s="81"/>
      <c r="DK524" s="81"/>
      <c r="DL524" s="81"/>
      <c r="DM524" s="81"/>
      <c r="DN524" s="81"/>
      <c r="DO524" s="81"/>
      <c r="DP524" s="81"/>
      <c r="DQ524" s="81"/>
      <c r="DR524" s="81"/>
      <c r="DS524" s="81"/>
      <c r="DT524" s="81"/>
      <c r="DU524" s="81"/>
      <c r="DV524" s="81"/>
      <c r="DW524" s="121"/>
    </row>
    <row r="525" spans="1:127" x14ac:dyDescent="0.25">
      <c r="A525" s="2">
        <f>COUNTIF($D$2:D525,'Reporte de Nomina'!$E$2)</f>
        <v>0</v>
      </c>
      <c r="B525" s="125">
        <f>Lista!A524</f>
        <v>0</v>
      </c>
      <c r="C525" s="125">
        <f>Lista!B524</f>
        <v>0</v>
      </c>
      <c r="D525" s="125">
        <f>Lista!C524</f>
        <v>0</v>
      </c>
      <c r="E525" s="125">
        <f>Lista!D524</f>
        <v>0</v>
      </c>
      <c r="F525" s="125">
        <f>Lista!E524</f>
        <v>0</v>
      </c>
      <c r="G525" s="125">
        <f>Lista!F524</f>
        <v>0</v>
      </c>
      <c r="H525" s="125">
        <f>Lista!G524</f>
        <v>0</v>
      </c>
      <c r="I525" s="125">
        <f>Lista!H524</f>
        <v>0</v>
      </c>
      <c r="J525" s="125">
        <f>Lista!I524</f>
        <v>0</v>
      </c>
      <c r="K525" s="125">
        <f>Lista!J524</f>
        <v>0</v>
      </c>
      <c r="L525" s="125">
        <f>Lista!K524</f>
        <v>0</v>
      </c>
      <c r="M525" s="125">
        <f>Lista!L524</f>
        <v>0</v>
      </c>
      <c r="N525" s="125">
        <f>Lista!M524</f>
        <v>0</v>
      </c>
      <c r="O525" s="125">
        <f>Lista!N524</f>
        <v>0</v>
      </c>
      <c r="P525" s="125">
        <f>Lista!O524</f>
        <v>0</v>
      </c>
      <c r="Q525" s="125">
        <f>Lista!P524</f>
        <v>0</v>
      </c>
      <c r="R525" s="125">
        <f>Lista!Q524</f>
        <v>0</v>
      </c>
      <c r="S525" s="125">
        <f>Lista!R524</f>
        <v>0</v>
      </c>
      <c r="T525" s="81"/>
      <c r="U525" s="81"/>
      <c r="V525" s="81"/>
      <c r="W525" s="81"/>
      <c r="X525" s="81"/>
      <c r="Y525" s="81"/>
      <c r="Z525" s="81"/>
      <c r="AA525" s="81"/>
      <c r="AB525" s="81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  <c r="BS525" s="81"/>
      <c r="BT525" s="81"/>
      <c r="BU525" s="81"/>
      <c r="BV525" s="81"/>
      <c r="BW525" s="81"/>
      <c r="BX525" s="81"/>
      <c r="BY525" s="81"/>
      <c r="BZ525" s="81"/>
      <c r="CA525" s="81"/>
      <c r="CB525" s="81"/>
      <c r="CC525" s="81"/>
      <c r="CD525" s="81"/>
      <c r="CE525" s="81"/>
      <c r="CF525" s="81"/>
      <c r="CG525" s="81"/>
      <c r="CH525" s="81"/>
      <c r="CI525" s="81"/>
      <c r="CJ525" s="81"/>
      <c r="CK525" s="81"/>
      <c r="CL525" s="81"/>
      <c r="CM525" s="81"/>
      <c r="CN525" s="81"/>
      <c r="CO525" s="81"/>
      <c r="CP525" s="81"/>
      <c r="CQ525" s="81"/>
      <c r="CR525" s="81"/>
      <c r="CS525" s="81"/>
      <c r="CT525" s="81"/>
      <c r="CU525" s="81"/>
      <c r="CV525" s="81"/>
      <c r="CW525" s="81"/>
      <c r="CX525" s="81"/>
      <c r="CY525" s="81"/>
      <c r="CZ525" s="81"/>
      <c r="DA525" s="81"/>
      <c r="DB525" s="81"/>
      <c r="DC525" s="81"/>
      <c r="DD525" s="81"/>
      <c r="DE525" s="81"/>
      <c r="DF525" s="81"/>
      <c r="DG525" s="81"/>
      <c r="DH525" s="81"/>
      <c r="DI525" s="81"/>
      <c r="DJ525" s="81"/>
      <c r="DK525" s="81"/>
      <c r="DL525" s="81"/>
      <c r="DM525" s="81"/>
      <c r="DN525" s="81"/>
      <c r="DO525" s="81"/>
      <c r="DP525" s="81"/>
      <c r="DQ525" s="81"/>
      <c r="DR525" s="81"/>
      <c r="DS525" s="81"/>
      <c r="DT525" s="81"/>
      <c r="DU525" s="81"/>
      <c r="DV525" s="81"/>
      <c r="DW525" s="121"/>
    </row>
    <row r="526" spans="1:127" x14ac:dyDescent="0.25">
      <c r="A526" s="2">
        <f>COUNTIF($D$2:D526,'Reporte de Nomina'!$E$2)</f>
        <v>0</v>
      </c>
      <c r="B526" s="125">
        <f>Lista!A525</f>
        <v>0</v>
      </c>
      <c r="C526" s="125">
        <f>Lista!B525</f>
        <v>0</v>
      </c>
      <c r="D526" s="125">
        <f>Lista!C525</f>
        <v>0</v>
      </c>
      <c r="E526" s="125">
        <f>Lista!D525</f>
        <v>0</v>
      </c>
      <c r="F526" s="125">
        <f>Lista!E525</f>
        <v>0</v>
      </c>
      <c r="G526" s="125">
        <f>Lista!F525</f>
        <v>0</v>
      </c>
      <c r="H526" s="125">
        <f>Lista!G525</f>
        <v>0</v>
      </c>
      <c r="I526" s="125">
        <f>Lista!H525</f>
        <v>0</v>
      </c>
      <c r="J526" s="125">
        <f>Lista!I525</f>
        <v>0</v>
      </c>
      <c r="K526" s="125">
        <f>Lista!J525</f>
        <v>0</v>
      </c>
      <c r="L526" s="125">
        <f>Lista!K525</f>
        <v>0</v>
      </c>
      <c r="M526" s="125">
        <f>Lista!L525</f>
        <v>0</v>
      </c>
      <c r="N526" s="125">
        <f>Lista!M525</f>
        <v>0</v>
      </c>
      <c r="O526" s="125">
        <f>Lista!N525</f>
        <v>0</v>
      </c>
      <c r="P526" s="125">
        <f>Lista!O525</f>
        <v>0</v>
      </c>
      <c r="Q526" s="125">
        <f>Lista!P525</f>
        <v>0</v>
      </c>
      <c r="R526" s="125">
        <f>Lista!Q525</f>
        <v>0</v>
      </c>
      <c r="S526" s="125">
        <f>Lista!R525</f>
        <v>0</v>
      </c>
      <c r="T526" s="81"/>
      <c r="U526" s="81"/>
      <c r="V526" s="81"/>
      <c r="W526" s="81"/>
      <c r="X526" s="81"/>
      <c r="Y526" s="81"/>
      <c r="Z526" s="81"/>
      <c r="AA526" s="81"/>
      <c r="AB526" s="81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  <c r="BS526" s="81"/>
      <c r="BT526" s="81"/>
      <c r="BU526" s="81"/>
      <c r="BV526" s="81"/>
      <c r="BW526" s="81"/>
      <c r="BX526" s="81"/>
      <c r="BY526" s="81"/>
      <c r="BZ526" s="81"/>
      <c r="CA526" s="81"/>
      <c r="CB526" s="81"/>
      <c r="CC526" s="81"/>
      <c r="CD526" s="81"/>
      <c r="CE526" s="81"/>
      <c r="CF526" s="81"/>
      <c r="CG526" s="81"/>
      <c r="CH526" s="81"/>
      <c r="CI526" s="81"/>
      <c r="CJ526" s="81"/>
      <c r="CK526" s="81"/>
      <c r="CL526" s="81"/>
      <c r="CM526" s="81"/>
      <c r="CN526" s="81"/>
      <c r="CO526" s="81"/>
      <c r="CP526" s="81"/>
      <c r="CQ526" s="81"/>
      <c r="CR526" s="81"/>
      <c r="CS526" s="81"/>
      <c r="CT526" s="81"/>
      <c r="CU526" s="81"/>
      <c r="CV526" s="81"/>
      <c r="CW526" s="81"/>
      <c r="CX526" s="81"/>
      <c r="CY526" s="81"/>
      <c r="CZ526" s="81"/>
      <c r="DA526" s="81"/>
      <c r="DB526" s="81"/>
      <c r="DC526" s="81"/>
      <c r="DD526" s="81"/>
      <c r="DE526" s="81"/>
      <c r="DF526" s="81"/>
      <c r="DG526" s="81"/>
      <c r="DH526" s="81"/>
      <c r="DI526" s="81"/>
      <c r="DJ526" s="81"/>
      <c r="DK526" s="81"/>
      <c r="DL526" s="81"/>
      <c r="DM526" s="81"/>
      <c r="DN526" s="81"/>
      <c r="DO526" s="81"/>
      <c r="DP526" s="81"/>
      <c r="DQ526" s="81"/>
      <c r="DR526" s="81"/>
      <c r="DS526" s="81"/>
      <c r="DT526" s="81"/>
      <c r="DU526" s="81"/>
      <c r="DV526" s="81"/>
      <c r="DW526" s="121"/>
    </row>
    <row r="527" spans="1:127" x14ac:dyDescent="0.25">
      <c r="A527" s="2">
        <f>COUNTIF($D$2:D527,'Reporte de Nomina'!$E$2)</f>
        <v>0</v>
      </c>
      <c r="B527" s="125">
        <f>Lista!A526</f>
        <v>0</v>
      </c>
      <c r="C527" s="125">
        <f>Lista!B526</f>
        <v>0</v>
      </c>
      <c r="D527" s="125">
        <f>Lista!C526</f>
        <v>0</v>
      </c>
      <c r="E527" s="125">
        <f>Lista!D526</f>
        <v>0</v>
      </c>
      <c r="F527" s="125">
        <f>Lista!E526</f>
        <v>0</v>
      </c>
      <c r="G527" s="125">
        <f>Lista!F526</f>
        <v>0</v>
      </c>
      <c r="H527" s="125">
        <f>Lista!G526</f>
        <v>0</v>
      </c>
      <c r="I527" s="125">
        <f>Lista!H526</f>
        <v>0</v>
      </c>
      <c r="J527" s="125">
        <f>Lista!I526</f>
        <v>0</v>
      </c>
      <c r="K527" s="125">
        <f>Lista!J526</f>
        <v>0</v>
      </c>
      <c r="L527" s="125">
        <f>Lista!K526</f>
        <v>0</v>
      </c>
      <c r="M527" s="125">
        <f>Lista!L526</f>
        <v>0</v>
      </c>
      <c r="N527" s="125">
        <f>Lista!M526</f>
        <v>0</v>
      </c>
      <c r="O527" s="125">
        <f>Lista!N526</f>
        <v>0</v>
      </c>
      <c r="P527" s="125">
        <f>Lista!O526</f>
        <v>0</v>
      </c>
      <c r="Q527" s="125">
        <f>Lista!P526</f>
        <v>0</v>
      </c>
      <c r="R527" s="125">
        <f>Lista!Q526</f>
        <v>0</v>
      </c>
      <c r="S527" s="125">
        <f>Lista!R526</f>
        <v>0</v>
      </c>
      <c r="T527" s="81"/>
      <c r="U527" s="81"/>
      <c r="V527" s="81"/>
      <c r="W527" s="81"/>
      <c r="X527" s="81"/>
      <c r="Y527" s="81"/>
      <c r="Z527" s="81"/>
      <c r="AA527" s="81"/>
      <c r="AB527" s="81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  <c r="BS527" s="81"/>
      <c r="BT527" s="81"/>
      <c r="BU527" s="81"/>
      <c r="BV527" s="81"/>
      <c r="BW527" s="81"/>
      <c r="BX527" s="81"/>
      <c r="BY527" s="81"/>
      <c r="BZ527" s="81"/>
      <c r="CA527" s="81"/>
      <c r="CB527" s="81"/>
      <c r="CC527" s="81"/>
      <c r="CD527" s="81"/>
      <c r="CE527" s="81"/>
      <c r="CF527" s="81"/>
      <c r="CG527" s="81"/>
      <c r="CH527" s="81"/>
      <c r="CI527" s="81"/>
      <c r="CJ527" s="81"/>
      <c r="CK527" s="81"/>
      <c r="CL527" s="81"/>
      <c r="CM527" s="81"/>
      <c r="CN527" s="81"/>
      <c r="CO527" s="81"/>
      <c r="CP527" s="81"/>
      <c r="CQ527" s="81"/>
      <c r="CR527" s="81"/>
      <c r="CS527" s="81"/>
      <c r="CT527" s="81"/>
      <c r="CU527" s="81"/>
      <c r="CV527" s="81"/>
      <c r="CW527" s="81"/>
      <c r="CX527" s="81"/>
      <c r="CY527" s="81"/>
      <c r="CZ527" s="81"/>
      <c r="DA527" s="81"/>
      <c r="DB527" s="81"/>
      <c r="DC527" s="81"/>
      <c r="DD527" s="81"/>
      <c r="DE527" s="81"/>
      <c r="DF527" s="81"/>
      <c r="DG527" s="81"/>
      <c r="DH527" s="81"/>
      <c r="DI527" s="81"/>
      <c r="DJ527" s="81"/>
      <c r="DK527" s="81"/>
      <c r="DL527" s="81"/>
      <c r="DM527" s="81"/>
      <c r="DN527" s="81"/>
      <c r="DO527" s="81"/>
      <c r="DP527" s="81"/>
      <c r="DQ527" s="81"/>
      <c r="DR527" s="81"/>
      <c r="DS527" s="81"/>
      <c r="DT527" s="81"/>
      <c r="DU527" s="81"/>
      <c r="DV527" s="81"/>
      <c r="DW527" s="121"/>
    </row>
    <row r="528" spans="1:127" x14ac:dyDescent="0.25">
      <c r="A528" s="2">
        <f>COUNTIF($D$2:D528,'Reporte de Nomina'!$E$2)</f>
        <v>0</v>
      </c>
      <c r="B528" s="125">
        <f>Lista!A527</f>
        <v>0</v>
      </c>
      <c r="C528" s="125">
        <f>Lista!B527</f>
        <v>0</v>
      </c>
      <c r="D528" s="125">
        <f>Lista!C527</f>
        <v>0</v>
      </c>
      <c r="E528" s="125">
        <f>Lista!D527</f>
        <v>0</v>
      </c>
      <c r="F528" s="125">
        <f>Lista!E527</f>
        <v>0</v>
      </c>
      <c r="G528" s="125">
        <f>Lista!F527</f>
        <v>0</v>
      </c>
      <c r="H528" s="125">
        <f>Lista!G527</f>
        <v>0</v>
      </c>
      <c r="I528" s="125">
        <f>Lista!H527</f>
        <v>0</v>
      </c>
      <c r="J528" s="125">
        <f>Lista!I527</f>
        <v>0</v>
      </c>
      <c r="K528" s="125">
        <f>Lista!J527</f>
        <v>0</v>
      </c>
      <c r="L528" s="125">
        <f>Lista!K527</f>
        <v>0</v>
      </c>
      <c r="M528" s="125">
        <f>Lista!L527</f>
        <v>0</v>
      </c>
      <c r="N528" s="125">
        <f>Lista!M527</f>
        <v>0</v>
      </c>
      <c r="O528" s="125">
        <f>Lista!N527</f>
        <v>0</v>
      </c>
      <c r="P528" s="125">
        <f>Lista!O527</f>
        <v>0</v>
      </c>
      <c r="Q528" s="125">
        <f>Lista!P527</f>
        <v>0</v>
      </c>
      <c r="R528" s="125">
        <f>Lista!Q527</f>
        <v>0</v>
      </c>
      <c r="S528" s="125">
        <f>Lista!R527</f>
        <v>0</v>
      </c>
      <c r="T528" s="81"/>
      <c r="U528" s="81"/>
      <c r="V528" s="81"/>
      <c r="W528" s="81"/>
      <c r="X528" s="81"/>
      <c r="Y528" s="81"/>
      <c r="Z528" s="81"/>
      <c r="AA528" s="81"/>
      <c r="AB528" s="81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  <c r="BS528" s="81"/>
      <c r="BT528" s="81"/>
      <c r="BU528" s="81"/>
      <c r="BV528" s="81"/>
      <c r="BW528" s="81"/>
      <c r="BX528" s="81"/>
      <c r="BY528" s="81"/>
      <c r="BZ528" s="81"/>
      <c r="CA528" s="81"/>
      <c r="CB528" s="81"/>
      <c r="CC528" s="81"/>
      <c r="CD528" s="81"/>
      <c r="CE528" s="81"/>
      <c r="CF528" s="81"/>
      <c r="CG528" s="81"/>
      <c r="CH528" s="81"/>
      <c r="CI528" s="81"/>
      <c r="CJ528" s="81"/>
      <c r="CK528" s="81"/>
      <c r="CL528" s="81"/>
      <c r="CM528" s="81"/>
      <c r="CN528" s="81"/>
      <c r="CO528" s="81"/>
      <c r="CP528" s="81"/>
      <c r="CQ528" s="81"/>
      <c r="CR528" s="81"/>
      <c r="CS528" s="81"/>
      <c r="CT528" s="81"/>
      <c r="CU528" s="81"/>
      <c r="CV528" s="81"/>
      <c r="CW528" s="81"/>
      <c r="CX528" s="81"/>
      <c r="CY528" s="81"/>
      <c r="CZ528" s="81"/>
      <c r="DA528" s="81"/>
      <c r="DB528" s="81"/>
      <c r="DC528" s="81"/>
      <c r="DD528" s="81"/>
      <c r="DE528" s="81"/>
      <c r="DF528" s="81"/>
      <c r="DG528" s="81"/>
      <c r="DH528" s="81"/>
      <c r="DI528" s="81"/>
      <c r="DJ528" s="81"/>
      <c r="DK528" s="81"/>
      <c r="DL528" s="81"/>
      <c r="DM528" s="81"/>
      <c r="DN528" s="81"/>
      <c r="DO528" s="81"/>
      <c r="DP528" s="81"/>
      <c r="DQ528" s="81"/>
      <c r="DR528" s="81"/>
      <c r="DS528" s="81"/>
      <c r="DT528" s="81"/>
      <c r="DU528" s="81"/>
      <c r="DV528" s="81"/>
      <c r="DW528" s="121"/>
    </row>
    <row r="529" spans="1:127" x14ac:dyDescent="0.25">
      <c r="A529" s="2">
        <f>COUNTIF($D$2:D529,'Reporte de Nomina'!$E$2)</f>
        <v>0</v>
      </c>
      <c r="B529" s="125">
        <f>Lista!A528</f>
        <v>0</v>
      </c>
      <c r="C529" s="125">
        <f>Lista!B528</f>
        <v>0</v>
      </c>
      <c r="D529" s="125">
        <f>Lista!C528</f>
        <v>0</v>
      </c>
      <c r="E529" s="125">
        <f>Lista!D528</f>
        <v>0</v>
      </c>
      <c r="F529" s="125">
        <f>Lista!E528</f>
        <v>0</v>
      </c>
      <c r="G529" s="125">
        <f>Lista!F528</f>
        <v>0</v>
      </c>
      <c r="H529" s="125">
        <f>Lista!G528</f>
        <v>0</v>
      </c>
      <c r="I529" s="125">
        <f>Lista!H528</f>
        <v>0</v>
      </c>
      <c r="J529" s="125">
        <f>Lista!I528</f>
        <v>0</v>
      </c>
      <c r="K529" s="125">
        <f>Lista!J528</f>
        <v>0</v>
      </c>
      <c r="L529" s="125">
        <f>Lista!K528</f>
        <v>0</v>
      </c>
      <c r="M529" s="125">
        <f>Lista!L528</f>
        <v>0</v>
      </c>
      <c r="N529" s="125">
        <f>Lista!M528</f>
        <v>0</v>
      </c>
      <c r="O529" s="125">
        <f>Lista!N528</f>
        <v>0</v>
      </c>
      <c r="P529" s="125">
        <f>Lista!O528</f>
        <v>0</v>
      </c>
      <c r="Q529" s="125">
        <f>Lista!P528</f>
        <v>0</v>
      </c>
      <c r="R529" s="125">
        <f>Lista!Q528</f>
        <v>0</v>
      </c>
      <c r="S529" s="125">
        <f>Lista!R528</f>
        <v>0</v>
      </c>
      <c r="T529" s="81"/>
      <c r="U529" s="81"/>
      <c r="V529" s="81"/>
      <c r="W529" s="81"/>
      <c r="X529" s="81"/>
      <c r="Y529" s="81"/>
      <c r="Z529" s="81"/>
      <c r="AA529" s="81"/>
      <c r="AB529" s="81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  <c r="BS529" s="81"/>
      <c r="BT529" s="81"/>
      <c r="BU529" s="81"/>
      <c r="BV529" s="81"/>
      <c r="BW529" s="81"/>
      <c r="BX529" s="81"/>
      <c r="BY529" s="81"/>
      <c r="BZ529" s="81"/>
      <c r="CA529" s="81"/>
      <c r="CB529" s="81"/>
      <c r="CC529" s="81"/>
      <c r="CD529" s="81"/>
      <c r="CE529" s="81"/>
      <c r="CF529" s="81"/>
      <c r="CG529" s="81"/>
      <c r="CH529" s="81"/>
      <c r="CI529" s="81"/>
      <c r="CJ529" s="81"/>
      <c r="CK529" s="81"/>
      <c r="CL529" s="81"/>
      <c r="CM529" s="81"/>
      <c r="CN529" s="81"/>
      <c r="CO529" s="81"/>
      <c r="CP529" s="81"/>
      <c r="CQ529" s="81"/>
      <c r="CR529" s="81"/>
      <c r="CS529" s="81"/>
      <c r="CT529" s="81"/>
      <c r="CU529" s="81"/>
      <c r="CV529" s="81"/>
      <c r="CW529" s="81"/>
      <c r="CX529" s="81"/>
      <c r="CY529" s="81"/>
      <c r="CZ529" s="81"/>
      <c r="DA529" s="81"/>
      <c r="DB529" s="81"/>
      <c r="DC529" s="81"/>
      <c r="DD529" s="81"/>
      <c r="DE529" s="81"/>
      <c r="DF529" s="81"/>
      <c r="DG529" s="81"/>
      <c r="DH529" s="81"/>
      <c r="DI529" s="81"/>
      <c r="DJ529" s="81"/>
      <c r="DK529" s="81"/>
      <c r="DL529" s="81"/>
      <c r="DM529" s="81"/>
      <c r="DN529" s="81"/>
      <c r="DO529" s="81"/>
      <c r="DP529" s="81"/>
      <c r="DQ529" s="81"/>
      <c r="DR529" s="81"/>
      <c r="DS529" s="81"/>
      <c r="DT529" s="81"/>
      <c r="DU529" s="81"/>
      <c r="DV529" s="81"/>
      <c r="DW529" s="121"/>
    </row>
    <row r="530" spans="1:127" x14ac:dyDescent="0.25">
      <c r="A530" s="2">
        <f>COUNTIF($D$2:D530,'Reporte de Nomina'!$E$2)</f>
        <v>0</v>
      </c>
      <c r="B530" s="125">
        <f>Lista!A529</f>
        <v>0</v>
      </c>
      <c r="C530" s="125">
        <f>Lista!B529</f>
        <v>0</v>
      </c>
      <c r="D530" s="125">
        <f>Lista!C529</f>
        <v>0</v>
      </c>
      <c r="E530" s="125">
        <f>Lista!D529</f>
        <v>0</v>
      </c>
      <c r="F530" s="125">
        <f>Lista!E529</f>
        <v>0</v>
      </c>
      <c r="G530" s="125">
        <f>Lista!F529</f>
        <v>0</v>
      </c>
      <c r="H530" s="125">
        <f>Lista!G529</f>
        <v>0</v>
      </c>
      <c r="I530" s="125">
        <f>Lista!H529</f>
        <v>0</v>
      </c>
      <c r="J530" s="125">
        <f>Lista!I529</f>
        <v>0</v>
      </c>
      <c r="K530" s="125">
        <f>Lista!J529</f>
        <v>0</v>
      </c>
      <c r="L530" s="125">
        <f>Lista!K529</f>
        <v>0</v>
      </c>
      <c r="M530" s="125">
        <f>Lista!L529</f>
        <v>0</v>
      </c>
      <c r="N530" s="125">
        <f>Lista!M529</f>
        <v>0</v>
      </c>
      <c r="O530" s="125">
        <f>Lista!N529</f>
        <v>0</v>
      </c>
      <c r="P530" s="125">
        <f>Lista!O529</f>
        <v>0</v>
      </c>
      <c r="Q530" s="125">
        <f>Lista!P529</f>
        <v>0</v>
      </c>
      <c r="R530" s="125">
        <f>Lista!Q529</f>
        <v>0</v>
      </c>
      <c r="S530" s="125">
        <f>Lista!R529</f>
        <v>0</v>
      </c>
      <c r="T530" s="81"/>
      <c r="U530" s="81"/>
      <c r="V530" s="81"/>
      <c r="W530" s="81"/>
      <c r="X530" s="81"/>
      <c r="Y530" s="81"/>
      <c r="Z530" s="81"/>
      <c r="AA530" s="81"/>
      <c r="AB530" s="81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  <c r="BS530" s="81"/>
      <c r="BT530" s="81"/>
      <c r="BU530" s="81"/>
      <c r="BV530" s="81"/>
      <c r="BW530" s="81"/>
      <c r="BX530" s="81"/>
      <c r="BY530" s="81"/>
      <c r="BZ530" s="81"/>
      <c r="CA530" s="81"/>
      <c r="CB530" s="81"/>
      <c r="CC530" s="81"/>
      <c r="CD530" s="81"/>
      <c r="CE530" s="81"/>
      <c r="CF530" s="81"/>
      <c r="CG530" s="81"/>
      <c r="CH530" s="81"/>
      <c r="CI530" s="81"/>
      <c r="CJ530" s="81"/>
      <c r="CK530" s="81"/>
      <c r="CL530" s="81"/>
      <c r="CM530" s="81"/>
      <c r="CN530" s="81"/>
      <c r="CO530" s="81"/>
      <c r="CP530" s="81"/>
      <c r="CQ530" s="81"/>
      <c r="CR530" s="81"/>
      <c r="CS530" s="81"/>
      <c r="CT530" s="81"/>
      <c r="CU530" s="81"/>
      <c r="CV530" s="81"/>
      <c r="CW530" s="81"/>
      <c r="CX530" s="81"/>
      <c r="CY530" s="81"/>
      <c r="CZ530" s="81"/>
      <c r="DA530" s="81"/>
      <c r="DB530" s="81"/>
      <c r="DC530" s="81"/>
      <c r="DD530" s="81"/>
      <c r="DE530" s="81"/>
      <c r="DF530" s="81"/>
      <c r="DG530" s="81"/>
      <c r="DH530" s="81"/>
      <c r="DI530" s="81"/>
      <c r="DJ530" s="81"/>
      <c r="DK530" s="81"/>
      <c r="DL530" s="81"/>
      <c r="DM530" s="81"/>
      <c r="DN530" s="81"/>
      <c r="DO530" s="81"/>
      <c r="DP530" s="81"/>
      <c r="DQ530" s="81"/>
      <c r="DR530" s="81"/>
      <c r="DS530" s="81"/>
      <c r="DT530" s="81"/>
      <c r="DU530" s="81"/>
      <c r="DV530" s="81"/>
      <c r="DW530" s="121"/>
    </row>
    <row r="531" spans="1:127" x14ac:dyDescent="0.25">
      <c r="A531" s="2">
        <f>COUNTIF($D$2:D531,'Reporte de Nomina'!$E$2)</f>
        <v>0</v>
      </c>
      <c r="B531" s="125">
        <f>Lista!A530</f>
        <v>0</v>
      </c>
      <c r="C531" s="125">
        <f>Lista!B530</f>
        <v>0</v>
      </c>
      <c r="D531" s="125">
        <f>Lista!C530</f>
        <v>0</v>
      </c>
      <c r="E531" s="125">
        <f>Lista!D530</f>
        <v>0</v>
      </c>
      <c r="F531" s="125">
        <f>Lista!E530</f>
        <v>0</v>
      </c>
      <c r="G531" s="125">
        <f>Lista!F530</f>
        <v>0</v>
      </c>
      <c r="H531" s="125">
        <f>Lista!G530</f>
        <v>0</v>
      </c>
      <c r="I531" s="125">
        <f>Lista!H530</f>
        <v>0</v>
      </c>
      <c r="J531" s="125">
        <f>Lista!I530</f>
        <v>0</v>
      </c>
      <c r="K531" s="125">
        <f>Lista!J530</f>
        <v>0</v>
      </c>
      <c r="L531" s="125">
        <f>Lista!K530</f>
        <v>0</v>
      </c>
      <c r="M531" s="125">
        <f>Lista!L530</f>
        <v>0</v>
      </c>
      <c r="N531" s="125">
        <f>Lista!M530</f>
        <v>0</v>
      </c>
      <c r="O531" s="125">
        <f>Lista!N530</f>
        <v>0</v>
      </c>
      <c r="P531" s="125">
        <f>Lista!O530</f>
        <v>0</v>
      </c>
      <c r="Q531" s="125">
        <f>Lista!P530</f>
        <v>0</v>
      </c>
      <c r="R531" s="125">
        <f>Lista!Q530</f>
        <v>0</v>
      </c>
      <c r="S531" s="125">
        <f>Lista!R530</f>
        <v>0</v>
      </c>
      <c r="T531" s="81"/>
      <c r="U531" s="81"/>
      <c r="V531" s="81"/>
      <c r="W531" s="81"/>
      <c r="X531" s="81"/>
      <c r="Y531" s="81"/>
      <c r="Z531" s="81"/>
      <c r="AA531" s="81"/>
      <c r="AB531" s="81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  <c r="BS531" s="81"/>
      <c r="BT531" s="81"/>
      <c r="BU531" s="81"/>
      <c r="BV531" s="81"/>
      <c r="BW531" s="81"/>
      <c r="BX531" s="81"/>
      <c r="BY531" s="81"/>
      <c r="BZ531" s="81"/>
      <c r="CA531" s="81"/>
      <c r="CB531" s="81"/>
      <c r="CC531" s="81"/>
      <c r="CD531" s="81"/>
      <c r="CE531" s="81"/>
      <c r="CF531" s="81"/>
      <c r="CG531" s="81"/>
      <c r="CH531" s="81"/>
      <c r="CI531" s="81"/>
      <c r="CJ531" s="81"/>
      <c r="CK531" s="81"/>
      <c r="CL531" s="81"/>
      <c r="CM531" s="81"/>
      <c r="CN531" s="81"/>
      <c r="CO531" s="81"/>
      <c r="CP531" s="81"/>
      <c r="CQ531" s="81"/>
      <c r="CR531" s="81"/>
      <c r="CS531" s="81"/>
      <c r="CT531" s="81"/>
      <c r="CU531" s="81"/>
      <c r="CV531" s="81"/>
      <c r="CW531" s="81"/>
      <c r="CX531" s="81"/>
      <c r="CY531" s="81"/>
      <c r="CZ531" s="81"/>
      <c r="DA531" s="81"/>
      <c r="DB531" s="81"/>
      <c r="DC531" s="81"/>
      <c r="DD531" s="81"/>
      <c r="DE531" s="81"/>
      <c r="DF531" s="81"/>
      <c r="DG531" s="81"/>
      <c r="DH531" s="81"/>
      <c r="DI531" s="81"/>
      <c r="DJ531" s="81"/>
      <c r="DK531" s="81"/>
      <c r="DL531" s="81"/>
      <c r="DM531" s="81"/>
      <c r="DN531" s="81"/>
      <c r="DO531" s="81"/>
      <c r="DP531" s="81"/>
      <c r="DQ531" s="81"/>
      <c r="DR531" s="81"/>
      <c r="DS531" s="81"/>
      <c r="DT531" s="81"/>
      <c r="DU531" s="81"/>
      <c r="DV531" s="81"/>
      <c r="DW531" s="121"/>
    </row>
    <row r="532" spans="1:127" x14ac:dyDescent="0.25">
      <c r="A532" s="2">
        <f>COUNTIF($D$2:D532,'Reporte de Nomina'!$E$2)</f>
        <v>0</v>
      </c>
      <c r="B532" s="125">
        <f>Lista!A531</f>
        <v>0</v>
      </c>
      <c r="C532" s="125">
        <f>Lista!B531</f>
        <v>0</v>
      </c>
      <c r="D532" s="125">
        <f>Lista!C531</f>
        <v>0</v>
      </c>
      <c r="E532" s="125">
        <f>Lista!D531</f>
        <v>0</v>
      </c>
      <c r="F532" s="125">
        <f>Lista!E531</f>
        <v>0</v>
      </c>
      <c r="G532" s="125">
        <f>Lista!F531</f>
        <v>0</v>
      </c>
      <c r="H532" s="125">
        <f>Lista!G531</f>
        <v>0</v>
      </c>
      <c r="I532" s="125">
        <f>Lista!H531</f>
        <v>0</v>
      </c>
      <c r="J532" s="125">
        <f>Lista!I531</f>
        <v>0</v>
      </c>
      <c r="K532" s="125">
        <f>Lista!J531</f>
        <v>0</v>
      </c>
      <c r="L532" s="125">
        <f>Lista!K531</f>
        <v>0</v>
      </c>
      <c r="M532" s="125">
        <f>Lista!L531</f>
        <v>0</v>
      </c>
      <c r="N532" s="125">
        <f>Lista!M531</f>
        <v>0</v>
      </c>
      <c r="O532" s="125">
        <f>Lista!N531</f>
        <v>0</v>
      </c>
      <c r="P532" s="125">
        <f>Lista!O531</f>
        <v>0</v>
      </c>
      <c r="Q532" s="125">
        <f>Lista!P531</f>
        <v>0</v>
      </c>
      <c r="R532" s="125">
        <f>Lista!Q531</f>
        <v>0</v>
      </c>
      <c r="S532" s="125">
        <f>Lista!R531</f>
        <v>0</v>
      </c>
      <c r="T532" s="81"/>
      <c r="U532" s="81"/>
      <c r="V532" s="81"/>
      <c r="W532" s="81"/>
      <c r="X532" s="81"/>
      <c r="Y532" s="81"/>
      <c r="Z532" s="81"/>
      <c r="AA532" s="81"/>
      <c r="AB532" s="81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  <c r="BS532" s="81"/>
      <c r="BT532" s="81"/>
      <c r="BU532" s="81"/>
      <c r="BV532" s="81"/>
      <c r="BW532" s="81"/>
      <c r="BX532" s="81"/>
      <c r="BY532" s="81"/>
      <c r="BZ532" s="81"/>
      <c r="CA532" s="81"/>
      <c r="CB532" s="81"/>
      <c r="CC532" s="81"/>
      <c r="CD532" s="81"/>
      <c r="CE532" s="81"/>
      <c r="CF532" s="81"/>
      <c r="CG532" s="81"/>
      <c r="CH532" s="81"/>
      <c r="CI532" s="81"/>
      <c r="CJ532" s="81"/>
      <c r="CK532" s="81"/>
      <c r="CL532" s="81"/>
      <c r="CM532" s="81"/>
      <c r="CN532" s="81"/>
      <c r="CO532" s="81"/>
      <c r="CP532" s="81"/>
      <c r="CQ532" s="81"/>
      <c r="CR532" s="81"/>
      <c r="CS532" s="81"/>
      <c r="CT532" s="81"/>
      <c r="CU532" s="81"/>
      <c r="CV532" s="81"/>
      <c r="CW532" s="81"/>
      <c r="CX532" s="81"/>
      <c r="CY532" s="81"/>
      <c r="CZ532" s="81"/>
      <c r="DA532" s="81"/>
      <c r="DB532" s="81"/>
      <c r="DC532" s="81"/>
      <c r="DD532" s="81"/>
      <c r="DE532" s="81"/>
      <c r="DF532" s="81"/>
      <c r="DG532" s="81"/>
      <c r="DH532" s="81"/>
      <c r="DI532" s="81"/>
      <c r="DJ532" s="81"/>
      <c r="DK532" s="81"/>
      <c r="DL532" s="81"/>
      <c r="DM532" s="81"/>
      <c r="DN532" s="81"/>
      <c r="DO532" s="81"/>
      <c r="DP532" s="81"/>
      <c r="DQ532" s="81"/>
      <c r="DR532" s="81"/>
      <c r="DS532" s="81"/>
      <c r="DT532" s="81"/>
      <c r="DU532" s="81"/>
      <c r="DV532" s="81"/>
      <c r="DW532" s="121"/>
    </row>
    <row r="533" spans="1:127" x14ac:dyDescent="0.25">
      <c r="A533" s="2">
        <f>COUNTIF($D$2:D533,'Reporte de Nomina'!$E$2)</f>
        <v>0</v>
      </c>
      <c r="B533" s="125">
        <f>Lista!A532</f>
        <v>0</v>
      </c>
      <c r="C533" s="125">
        <f>Lista!B532</f>
        <v>0</v>
      </c>
      <c r="D533" s="125">
        <f>Lista!C532</f>
        <v>0</v>
      </c>
      <c r="E533" s="125">
        <f>Lista!D532</f>
        <v>0</v>
      </c>
      <c r="F533" s="125">
        <f>Lista!E532</f>
        <v>0</v>
      </c>
      <c r="G533" s="125">
        <f>Lista!F532</f>
        <v>0</v>
      </c>
      <c r="H533" s="125">
        <f>Lista!G532</f>
        <v>0</v>
      </c>
      <c r="I533" s="125">
        <f>Lista!H532</f>
        <v>0</v>
      </c>
      <c r="J533" s="125">
        <f>Lista!I532</f>
        <v>0</v>
      </c>
      <c r="K533" s="125">
        <f>Lista!J532</f>
        <v>0</v>
      </c>
      <c r="L533" s="125">
        <f>Lista!K532</f>
        <v>0</v>
      </c>
      <c r="M533" s="125">
        <f>Lista!L532</f>
        <v>0</v>
      </c>
      <c r="N533" s="125">
        <f>Lista!M532</f>
        <v>0</v>
      </c>
      <c r="O533" s="125">
        <f>Lista!N532</f>
        <v>0</v>
      </c>
      <c r="P533" s="125">
        <f>Lista!O532</f>
        <v>0</v>
      </c>
      <c r="Q533" s="125">
        <f>Lista!P532</f>
        <v>0</v>
      </c>
      <c r="R533" s="125">
        <f>Lista!Q532</f>
        <v>0</v>
      </c>
      <c r="S533" s="125">
        <f>Lista!R532</f>
        <v>0</v>
      </c>
      <c r="T533" s="81"/>
      <c r="U533" s="81"/>
      <c r="V533" s="81"/>
      <c r="W533" s="81"/>
      <c r="X533" s="81"/>
      <c r="Y533" s="81"/>
      <c r="Z533" s="81"/>
      <c r="AA533" s="81"/>
      <c r="AB533" s="81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  <c r="BS533" s="81"/>
      <c r="BT533" s="81"/>
      <c r="BU533" s="81"/>
      <c r="BV533" s="81"/>
      <c r="BW533" s="81"/>
      <c r="BX533" s="81"/>
      <c r="BY533" s="81"/>
      <c r="BZ533" s="81"/>
      <c r="CA533" s="81"/>
      <c r="CB533" s="81"/>
      <c r="CC533" s="81"/>
      <c r="CD533" s="81"/>
      <c r="CE533" s="81"/>
      <c r="CF533" s="81"/>
      <c r="CG533" s="81"/>
      <c r="CH533" s="81"/>
      <c r="CI533" s="81"/>
      <c r="CJ533" s="81"/>
      <c r="CK533" s="81"/>
      <c r="CL533" s="81"/>
      <c r="CM533" s="81"/>
      <c r="CN533" s="81"/>
      <c r="CO533" s="81"/>
      <c r="CP533" s="81"/>
      <c r="CQ533" s="81"/>
      <c r="CR533" s="81"/>
      <c r="CS533" s="81"/>
      <c r="CT533" s="81"/>
      <c r="CU533" s="81"/>
      <c r="CV533" s="81"/>
      <c r="CW533" s="81"/>
      <c r="CX533" s="81"/>
      <c r="CY533" s="81"/>
      <c r="CZ533" s="81"/>
      <c r="DA533" s="81"/>
      <c r="DB533" s="81"/>
      <c r="DC533" s="81"/>
      <c r="DD533" s="81"/>
      <c r="DE533" s="81"/>
      <c r="DF533" s="81"/>
      <c r="DG533" s="81"/>
      <c r="DH533" s="81"/>
      <c r="DI533" s="81"/>
      <c r="DJ533" s="81"/>
      <c r="DK533" s="81"/>
      <c r="DL533" s="81"/>
      <c r="DM533" s="81"/>
      <c r="DN533" s="81"/>
      <c r="DO533" s="81"/>
      <c r="DP533" s="81"/>
      <c r="DQ533" s="81"/>
      <c r="DR533" s="81"/>
      <c r="DS533" s="81"/>
      <c r="DT533" s="81"/>
      <c r="DU533" s="81"/>
      <c r="DV533" s="81"/>
      <c r="DW533" s="121"/>
    </row>
    <row r="534" spans="1:127" x14ac:dyDescent="0.25">
      <c r="A534" s="2">
        <f>COUNTIF($D$2:D534,'Reporte de Nomina'!$E$2)</f>
        <v>0</v>
      </c>
      <c r="B534" s="125">
        <f>Lista!A533</f>
        <v>0</v>
      </c>
      <c r="C534" s="125">
        <f>Lista!B533</f>
        <v>0</v>
      </c>
      <c r="D534" s="125">
        <f>Lista!C533</f>
        <v>0</v>
      </c>
      <c r="E534" s="125">
        <f>Lista!D533</f>
        <v>0</v>
      </c>
      <c r="F534" s="125">
        <f>Lista!E533</f>
        <v>0</v>
      </c>
      <c r="G534" s="125">
        <f>Lista!F533</f>
        <v>0</v>
      </c>
      <c r="H534" s="125">
        <f>Lista!G533</f>
        <v>0</v>
      </c>
      <c r="I534" s="125">
        <f>Lista!H533</f>
        <v>0</v>
      </c>
      <c r="J534" s="125">
        <f>Lista!I533</f>
        <v>0</v>
      </c>
      <c r="K534" s="125">
        <f>Lista!J533</f>
        <v>0</v>
      </c>
      <c r="L534" s="125">
        <f>Lista!K533</f>
        <v>0</v>
      </c>
      <c r="M534" s="125">
        <f>Lista!L533</f>
        <v>0</v>
      </c>
      <c r="N534" s="125">
        <f>Lista!M533</f>
        <v>0</v>
      </c>
      <c r="O534" s="125">
        <f>Lista!N533</f>
        <v>0</v>
      </c>
      <c r="P534" s="125">
        <f>Lista!O533</f>
        <v>0</v>
      </c>
      <c r="Q534" s="125">
        <f>Lista!P533</f>
        <v>0</v>
      </c>
      <c r="R534" s="125">
        <f>Lista!Q533</f>
        <v>0</v>
      </c>
      <c r="S534" s="125">
        <f>Lista!R533</f>
        <v>0</v>
      </c>
      <c r="T534" s="81"/>
      <c r="U534" s="81"/>
      <c r="V534" s="81"/>
      <c r="W534" s="81"/>
      <c r="X534" s="81"/>
      <c r="Y534" s="81"/>
      <c r="Z534" s="81"/>
      <c r="AA534" s="81"/>
      <c r="AB534" s="81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  <c r="BS534" s="81"/>
      <c r="BT534" s="81"/>
      <c r="BU534" s="81"/>
      <c r="BV534" s="81"/>
      <c r="BW534" s="81"/>
      <c r="BX534" s="81"/>
      <c r="BY534" s="81"/>
      <c r="BZ534" s="81"/>
      <c r="CA534" s="81"/>
      <c r="CB534" s="81"/>
      <c r="CC534" s="81"/>
      <c r="CD534" s="81"/>
      <c r="CE534" s="81"/>
      <c r="CF534" s="81"/>
      <c r="CG534" s="81"/>
      <c r="CH534" s="81"/>
      <c r="CI534" s="81"/>
      <c r="CJ534" s="81"/>
      <c r="CK534" s="81"/>
      <c r="CL534" s="81"/>
      <c r="CM534" s="81"/>
      <c r="CN534" s="81"/>
      <c r="CO534" s="81"/>
      <c r="CP534" s="81"/>
      <c r="CQ534" s="81"/>
      <c r="CR534" s="81"/>
      <c r="CS534" s="81"/>
      <c r="CT534" s="81"/>
      <c r="CU534" s="81"/>
      <c r="CV534" s="81"/>
      <c r="CW534" s="81"/>
      <c r="CX534" s="81"/>
      <c r="CY534" s="81"/>
      <c r="CZ534" s="81"/>
      <c r="DA534" s="81"/>
      <c r="DB534" s="81"/>
      <c r="DC534" s="81"/>
      <c r="DD534" s="81"/>
      <c r="DE534" s="81"/>
      <c r="DF534" s="81"/>
      <c r="DG534" s="81"/>
      <c r="DH534" s="81"/>
      <c r="DI534" s="81"/>
      <c r="DJ534" s="81"/>
      <c r="DK534" s="81"/>
      <c r="DL534" s="81"/>
      <c r="DM534" s="81"/>
      <c r="DN534" s="81"/>
      <c r="DO534" s="81"/>
      <c r="DP534" s="81"/>
      <c r="DQ534" s="81"/>
      <c r="DR534" s="81"/>
      <c r="DS534" s="81"/>
      <c r="DT534" s="81"/>
      <c r="DU534" s="81"/>
      <c r="DV534" s="81"/>
      <c r="DW534" s="121"/>
    </row>
    <row r="535" spans="1:127" x14ac:dyDescent="0.25">
      <c r="A535" s="2">
        <f>COUNTIF($D$2:D535,'Reporte de Nomina'!$E$2)</f>
        <v>0</v>
      </c>
      <c r="B535" s="125">
        <f>Lista!A534</f>
        <v>0</v>
      </c>
      <c r="C535" s="125">
        <f>Lista!B534</f>
        <v>0</v>
      </c>
      <c r="D535" s="125">
        <f>Lista!C534</f>
        <v>0</v>
      </c>
      <c r="E535" s="125">
        <f>Lista!D534</f>
        <v>0</v>
      </c>
      <c r="F535" s="125">
        <f>Lista!E534</f>
        <v>0</v>
      </c>
      <c r="G535" s="125">
        <f>Lista!F534</f>
        <v>0</v>
      </c>
      <c r="H535" s="125">
        <f>Lista!G534</f>
        <v>0</v>
      </c>
      <c r="I535" s="125">
        <f>Lista!H534</f>
        <v>0</v>
      </c>
      <c r="J535" s="125">
        <f>Lista!I534</f>
        <v>0</v>
      </c>
      <c r="K535" s="125">
        <f>Lista!J534</f>
        <v>0</v>
      </c>
      <c r="L535" s="125">
        <f>Lista!K534</f>
        <v>0</v>
      </c>
      <c r="M535" s="125">
        <f>Lista!L534</f>
        <v>0</v>
      </c>
      <c r="N535" s="125">
        <f>Lista!M534</f>
        <v>0</v>
      </c>
      <c r="O535" s="125">
        <f>Lista!N534</f>
        <v>0</v>
      </c>
      <c r="P535" s="125">
        <f>Lista!O534</f>
        <v>0</v>
      </c>
      <c r="Q535" s="125">
        <f>Lista!P534</f>
        <v>0</v>
      </c>
      <c r="R535" s="125">
        <f>Lista!Q534</f>
        <v>0</v>
      </c>
      <c r="S535" s="125">
        <f>Lista!R534</f>
        <v>0</v>
      </c>
      <c r="T535" s="81"/>
      <c r="U535" s="81"/>
      <c r="V535" s="81"/>
      <c r="W535" s="81"/>
      <c r="X535" s="81"/>
      <c r="Y535" s="81"/>
      <c r="Z535" s="81"/>
      <c r="AA535" s="81"/>
      <c r="AB535" s="81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  <c r="BS535" s="81"/>
      <c r="BT535" s="81"/>
      <c r="BU535" s="81"/>
      <c r="BV535" s="81"/>
      <c r="BW535" s="81"/>
      <c r="BX535" s="81"/>
      <c r="BY535" s="81"/>
      <c r="BZ535" s="81"/>
      <c r="CA535" s="81"/>
      <c r="CB535" s="81"/>
      <c r="CC535" s="81"/>
      <c r="CD535" s="81"/>
      <c r="CE535" s="81"/>
      <c r="CF535" s="81"/>
      <c r="CG535" s="81"/>
      <c r="CH535" s="81"/>
      <c r="CI535" s="81"/>
      <c r="CJ535" s="81"/>
      <c r="CK535" s="81"/>
      <c r="CL535" s="81"/>
      <c r="CM535" s="81"/>
      <c r="CN535" s="81"/>
      <c r="CO535" s="81"/>
      <c r="CP535" s="81"/>
      <c r="CQ535" s="81"/>
      <c r="CR535" s="81"/>
      <c r="CS535" s="81"/>
      <c r="CT535" s="81"/>
      <c r="CU535" s="81"/>
      <c r="CV535" s="81"/>
      <c r="CW535" s="81"/>
      <c r="CX535" s="81"/>
      <c r="CY535" s="81"/>
      <c r="CZ535" s="81"/>
      <c r="DA535" s="81"/>
      <c r="DB535" s="81"/>
      <c r="DC535" s="81"/>
      <c r="DD535" s="81"/>
      <c r="DE535" s="81"/>
      <c r="DF535" s="81"/>
      <c r="DG535" s="81"/>
      <c r="DH535" s="81"/>
      <c r="DI535" s="81"/>
      <c r="DJ535" s="81"/>
      <c r="DK535" s="81"/>
      <c r="DL535" s="81"/>
      <c r="DM535" s="81"/>
      <c r="DN535" s="81"/>
      <c r="DO535" s="81"/>
      <c r="DP535" s="81"/>
      <c r="DQ535" s="81"/>
      <c r="DR535" s="81"/>
      <c r="DS535" s="81"/>
      <c r="DT535" s="81"/>
      <c r="DU535" s="81"/>
      <c r="DV535" s="81"/>
      <c r="DW535" s="121"/>
    </row>
    <row r="536" spans="1:127" x14ac:dyDescent="0.25">
      <c r="A536" s="2">
        <f>COUNTIF($D$2:D536,'Reporte de Nomina'!$E$2)</f>
        <v>0</v>
      </c>
      <c r="B536" s="125">
        <f>Lista!A535</f>
        <v>0</v>
      </c>
      <c r="C536" s="125">
        <f>Lista!B535</f>
        <v>0</v>
      </c>
      <c r="D536" s="125">
        <f>Lista!C535</f>
        <v>0</v>
      </c>
      <c r="E536" s="125">
        <f>Lista!D535</f>
        <v>0</v>
      </c>
      <c r="F536" s="125">
        <f>Lista!E535</f>
        <v>0</v>
      </c>
      <c r="G536" s="125">
        <f>Lista!F535</f>
        <v>0</v>
      </c>
      <c r="H536" s="125">
        <f>Lista!G535</f>
        <v>0</v>
      </c>
      <c r="I536" s="125">
        <f>Lista!H535</f>
        <v>0</v>
      </c>
      <c r="J536" s="125">
        <f>Lista!I535</f>
        <v>0</v>
      </c>
      <c r="K536" s="125">
        <f>Lista!J535</f>
        <v>0</v>
      </c>
      <c r="L536" s="125">
        <f>Lista!K535</f>
        <v>0</v>
      </c>
      <c r="M536" s="125">
        <f>Lista!L535</f>
        <v>0</v>
      </c>
      <c r="N536" s="125">
        <f>Lista!M535</f>
        <v>0</v>
      </c>
      <c r="O536" s="125">
        <f>Lista!N535</f>
        <v>0</v>
      </c>
      <c r="P536" s="125">
        <f>Lista!O535</f>
        <v>0</v>
      </c>
      <c r="Q536" s="125">
        <f>Lista!P535</f>
        <v>0</v>
      </c>
      <c r="R536" s="125">
        <f>Lista!Q535</f>
        <v>0</v>
      </c>
      <c r="S536" s="125">
        <f>Lista!R535</f>
        <v>0</v>
      </c>
      <c r="T536" s="81"/>
      <c r="U536" s="81"/>
      <c r="V536" s="81"/>
      <c r="W536" s="81"/>
      <c r="X536" s="81"/>
      <c r="Y536" s="81"/>
      <c r="Z536" s="81"/>
      <c r="AA536" s="81"/>
      <c r="AB536" s="81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  <c r="BS536" s="81"/>
      <c r="BT536" s="81"/>
      <c r="BU536" s="81"/>
      <c r="BV536" s="81"/>
      <c r="BW536" s="81"/>
      <c r="BX536" s="81"/>
      <c r="BY536" s="81"/>
      <c r="BZ536" s="81"/>
      <c r="CA536" s="81"/>
      <c r="CB536" s="81"/>
      <c r="CC536" s="81"/>
      <c r="CD536" s="81"/>
      <c r="CE536" s="81"/>
      <c r="CF536" s="81"/>
      <c r="CG536" s="81"/>
      <c r="CH536" s="81"/>
      <c r="CI536" s="81"/>
      <c r="CJ536" s="81"/>
      <c r="CK536" s="81"/>
      <c r="CL536" s="81"/>
      <c r="CM536" s="81"/>
      <c r="CN536" s="81"/>
      <c r="CO536" s="81"/>
      <c r="CP536" s="81"/>
      <c r="CQ536" s="81"/>
      <c r="CR536" s="81"/>
      <c r="CS536" s="81"/>
      <c r="CT536" s="81"/>
      <c r="CU536" s="81"/>
      <c r="CV536" s="81"/>
      <c r="CW536" s="81"/>
      <c r="CX536" s="81"/>
      <c r="CY536" s="81"/>
      <c r="CZ536" s="81"/>
      <c r="DA536" s="81"/>
      <c r="DB536" s="81"/>
      <c r="DC536" s="81"/>
      <c r="DD536" s="81"/>
      <c r="DE536" s="81"/>
      <c r="DF536" s="81"/>
      <c r="DG536" s="81"/>
      <c r="DH536" s="81"/>
      <c r="DI536" s="81"/>
      <c r="DJ536" s="81"/>
      <c r="DK536" s="81"/>
      <c r="DL536" s="81"/>
      <c r="DM536" s="81"/>
      <c r="DN536" s="81"/>
      <c r="DO536" s="81"/>
      <c r="DP536" s="81"/>
      <c r="DQ536" s="81"/>
      <c r="DR536" s="81"/>
      <c r="DS536" s="81"/>
      <c r="DT536" s="81"/>
      <c r="DU536" s="81"/>
      <c r="DV536" s="81"/>
      <c r="DW536" s="121"/>
    </row>
    <row r="537" spans="1:127" x14ac:dyDescent="0.25">
      <c r="A537" s="2">
        <f>COUNTIF($D$2:D537,'Reporte de Nomina'!$E$2)</f>
        <v>0</v>
      </c>
      <c r="B537" s="125">
        <f>Lista!A536</f>
        <v>0</v>
      </c>
      <c r="C537" s="125">
        <f>Lista!B536</f>
        <v>0</v>
      </c>
      <c r="D537" s="125">
        <f>Lista!C536</f>
        <v>0</v>
      </c>
      <c r="E537" s="125">
        <f>Lista!D536</f>
        <v>0</v>
      </c>
      <c r="F537" s="125">
        <f>Lista!E536</f>
        <v>0</v>
      </c>
      <c r="G537" s="125">
        <f>Lista!F536</f>
        <v>0</v>
      </c>
      <c r="H537" s="125">
        <f>Lista!G536</f>
        <v>0</v>
      </c>
      <c r="I537" s="125">
        <f>Lista!H536</f>
        <v>0</v>
      </c>
      <c r="J537" s="125">
        <f>Lista!I536</f>
        <v>0</v>
      </c>
      <c r="K537" s="125">
        <f>Lista!J536</f>
        <v>0</v>
      </c>
      <c r="L537" s="125">
        <f>Lista!K536</f>
        <v>0</v>
      </c>
      <c r="M537" s="125">
        <f>Lista!L536</f>
        <v>0</v>
      </c>
      <c r="N537" s="125">
        <f>Lista!M536</f>
        <v>0</v>
      </c>
      <c r="O537" s="125">
        <f>Lista!N536</f>
        <v>0</v>
      </c>
      <c r="P537" s="125">
        <f>Lista!O536</f>
        <v>0</v>
      </c>
      <c r="Q537" s="125">
        <f>Lista!P536</f>
        <v>0</v>
      </c>
      <c r="R537" s="125">
        <f>Lista!Q536</f>
        <v>0</v>
      </c>
      <c r="S537" s="125">
        <f>Lista!R536</f>
        <v>0</v>
      </c>
      <c r="T537" s="81"/>
      <c r="U537" s="81"/>
      <c r="V537" s="81"/>
      <c r="W537" s="81"/>
      <c r="X537" s="81"/>
      <c r="Y537" s="81"/>
      <c r="Z537" s="81"/>
      <c r="AA537" s="81"/>
      <c r="AB537" s="81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  <c r="BS537" s="81"/>
      <c r="BT537" s="81"/>
      <c r="BU537" s="81"/>
      <c r="BV537" s="81"/>
      <c r="BW537" s="81"/>
      <c r="BX537" s="81"/>
      <c r="BY537" s="81"/>
      <c r="BZ537" s="81"/>
      <c r="CA537" s="81"/>
      <c r="CB537" s="81"/>
      <c r="CC537" s="81"/>
      <c r="CD537" s="81"/>
      <c r="CE537" s="81"/>
      <c r="CF537" s="81"/>
      <c r="CG537" s="81"/>
      <c r="CH537" s="81"/>
      <c r="CI537" s="81"/>
      <c r="CJ537" s="81"/>
      <c r="CK537" s="81"/>
      <c r="CL537" s="81"/>
      <c r="CM537" s="81"/>
      <c r="CN537" s="81"/>
      <c r="CO537" s="81"/>
      <c r="CP537" s="81"/>
      <c r="CQ537" s="81"/>
      <c r="CR537" s="81"/>
      <c r="CS537" s="81"/>
      <c r="CT537" s="81"/>
      <c r="CU537" s="81"/>
      <c r="CV537" s="81"/>
      <c r="CW537" s="81"/>
      <c r="CX537" s="81"/>
      <c r="CY537" s="81"/>
      <c r="CZ537" s="81"/>
      <c r="DA537" s="81"/>
      <c r="DB537" s="81"/>
      <c r="DC537" s="81"/>
      <c r="DD537" s="81"/>
      <c r="DE537" s="81"/>
      <c r="DF537" s="81"/>
      <c r="DG537" s="81"/>
      <c r="DH537" s="81"/>
      <c r="DI537" s="81"/>
      <c r="DJ537" s="81"/>
      <c r="DK537" s="81"/>
      <c r="DL537" s="81"/>
      <c r="DM537" s="81"/>
      <c r="DN537" s="81"/>
      <c r="DO537" s="81"/>
      <c r="DP537" s="81"/>
      <c r="DQ537" s="81"/>
      <c r="DR537" s="81"/>
      <c r="DS537" s="81"/>
      <c r="DT537" s="81"/>
      <c r="DU537" s="81"/>
      <c r="DV537" s="81"/>
      <c r="DW537" s="121"/>
    </row>
    <row r="538" spans="1:127" x14ac:dyDescent="0.25">
      <c r="A538" s="2">
        <f>COUNTIF($D$2:D538,'Reporte de Nomina'!$E$2)</f>
        <v>0</v>
      </c>
      <c r="B538" s="125">
        <f>Lista!A537</f>
        <v>0</v>
      </c>
      <c r="C538" s="125">
        <f>Lista!B537</f>
        <v>0</v>
      </c>
      <c r="D538" s="125">
        <f>Lista!C537</f>
        <v>0</v>
      </c>
      <c r="E538" s="125">
        <f>Lista!D537</f>
        <v>0</v>
      </c>
      <c r="F538" s="125">
        <f>Lista!E537</f>
        <v>0</v>
      </c>
      <c r="G538" s="125">
        <f>Lista!F537</f>
        <v>0</v>
      </c>
      <c r="H538" s="125">
        <f>Lista!G537</f>
        <v>0</v>
      </c>
      <c r="I538" s="125">
        <f>Lista!H537</f>
        <v>0</v>
      </c>
      <c r="J538" s="125">
        <f>Lista!I537</f>
        <v>0</v>
      </c>
      <c r="K538" s="125">
        <f>Lista!J537</f>
        <v>0</v>
      </c>
      <c r="L538" s="125">
        <f>Lista!K537</f>
        <v>0</v>
      </c>
      <c r="M538" s="125">
        <f>Lista!L537</f>
        <v>0</v>
      </c>
      <c r="N538" s="125">
        <f>Lista!M537</f>
        <v>0</v>
      </c>
      <c r="O538" s="125">
        <f>Lista!N537</f>
        <v>0</v>
      </c>
      <c r="P538" s="125">
        <f>Lista!O537</f>
        <v>0</v>
      </c>
      <c r="Q538" s="125">
        <f>Lista!P537</f>
        <v>0</v>
      </c>
      <c r="R538" s="125">
        <f>Lista!Q537</f>
        <v>0</v>
      </c>
      <c r="S538" s="125">
        <f>Lista!R537</f>
        <v>0</v>
      </c>
      <c r="T538" s="81"/>
      <c r="U538" s="81"/>
      <c r="V538" s="81"/>
      <c r="W538" s="81"/>
      <c r="X538" s="81"/>
      <c r="Y538" s="81"/>
      <c r="Z538" s="81"/>
      <c r="AA538" s="81"/>
      <c r="AB538" s="81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  <c r="BS538" s="81"/>
      <c r="BT538" s="81"/>
      <c r="BU538" s="81"/>
      <c r="BV538" s="81"/>
      <c r="BW538" s="81"/>
      <c r="BX538" s="81"/>
      <c r="BY538" s="81"/>
      <c r="BZ538" s="81"/>
      <c r="CA538" s="81"/>
      <c r="CB538" s="81"/>
      <c r="CC538" s="81"/>
      <c r="CD538" s="81"/>
      <c r="CE538" s="81"/>
      <c r="CF538" s="81"/>
      <c r="CG538" s="81"/>
      <c r="CH538" s="81"/>
      <c r="CI538" s="81"/>
      <c r="CJ538" s="81"/>
      <c r="CK538" s="81"/>
      <c r="CL538" s="81"/>
      <c r="CM538" s="81"/>
      <c r="CN538" s="81"/>
      <c r="CO538" s="81"/>
      <c r="CP538" s="81"/>
      <c r="CQ538" s="81"/>
      <c r="CR538" s="81"/>
      <c r="CS538" s="81"/>
      <c r="CT538" s="81"/>
      <c r="CU538" s="81"/>
      <c r="CV538" s="81"/>
      <c r="CW538" s="81"/>
      <c r="CX538" s="81"/>
      <c r="CY538" s="81"/>
      <c r="CZ538" s="81"/>
      <c r="DA538" s="81"/>
      <c r="DB538" s="81"/>
      <c r="DC538" s="81"/>
      <c r="DD538" s="81"/>
      <c r="DE538" s="81"/>
      <c r="DF538" s="81"/>
      <c r="DG538" s="81"/>
      <c r="DH538" s="81"/>
      <c r="DI538" s="81"/>
      <c r="DJ538" s="81"/>
      <c r="DK538" s="81"/>
      <c r="DL538" s="81"/>
      <c r="DM538" s="81"/>
      <c r="DN538" s="81"/>
      <c r="DO538" s="81"/>
      <c r="DP538" s="81"/>
      <c r="DQ538" s="81"/>
      <c r="DR538" s="81"/>
      <c r="DS538" s="81"/>
      <c r="DT538" s="81"/>
      <c r="DU538" s="81"/>
      <c r="DV538" s="81"/>
      <c r="DW538" s="121"/>
    </row>
    <row r="539" spans="1:127" x14ac:dyDescent="0.25">
      <c r="A539" s="2">
        <f>COUNTIF($D$2:D539,'Reporte de Nomina'!$E$2)</f>
        <v>0</v>
      </c>
      <c r="B539" s="125">
        <f>Lista!A538</f>
        <v>0</v>
      </c>
      <c r="C539" s="125">
        <f>Lista!B538</f>
        <v>0</v>
      </c>
      <c r="D539" s="125">
        <f>Lista!C538</f>
        <v>0</v>
      </c>
      <c r="E539" s="125">
        <f>Lista!D538</f>
        <v>0</v>
      </c>
      <c r="F539" s="125">
        <f>Lista!E538</f>
        <v>0</v>
      </c>
      <c r="G539" s="125">
        <f>Lista!F538</f>
        <v>0</v>
      </c>
      <c r="H539" s="125">
        <f>Lista!G538</f>
        <v>0</v>
      </c>
      <c r="I539" s="125">
        <f>Lista!H538</f>
        <v>0</v>
      </c>
      <c r="J539" s="125">
        <f>Lista!I538</f>
        <v>0</v>
      </c>
      <c r="K539" s="125">
        <f>Lista!J538</f>
        <v>0</v>
      </c>
      <c r="L539" s="125">
        <f>Lista!K538</f>
        <v>0</v>
      </c>
      <c r="M539" s="125">
        <f>Lista!L538</f>
        <v>0</v>
      </c>
      <c r="N539" s="125">
        <f>Lista!M538</f>
        <v>0</v>
      </c>
      <c r="O539" s="125">
        <f>Lista!N538</f>
        <v>0</v>
      </c>
      <c r="P539" s="125">
        <f>Lista!O538</f>
        <v>0</v>
      </c>
      <c r="Q539" s="125">
        <f>Lista!P538</f>
        <v>0</v>
      </c>
      <c r="R539" s="125">
        <f>Lista!Q538</f>
        <v>0</v>
      </c>
      <c r="S539" s="125">
        <f>Lista!R538</f>
        <v>0</v>
      </c>
      <c r="T539" s="81"/>
      <c r="U539" s="81"/>
      <c r="V539" s="81"/>
      <c r="W539" s="81"/>
      <c r="X539" s="81"/>
      <c r="Y539" s="81"/>
      <c r="Z539" s="81"/>
      <c r="AA539" s="81"/>
      <c r="AB539" s="81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  <c r="BS539" s="81"/>
      <c r="BT539" s="81"/>
      <c r="BU539" s="81"/>
      <c r="BV539" s="81"/>
      <c r="BW539" s="81"/>
      <c r="BX539" s="81"/>
      <c r="BY539" s="81"/>
      <c r="BZ539" s="81"/>
      <c r="CA539" s="81"/>
      <c r="CB539" s="81"/>
      <c r="CC539" s="81"/>
      <c r="CD539" s="81"/>
      <c r="CE539" s="81"/>
      <c r="CF539" s="81"/>
      <c r="CG539" s="81"/>
      <c r="CH539" s="81"/>
      <c r="CI539" s="81"/>
      <c r="CJ539" s="81"/>
      <c r="CK539" s="81"/>
      <c r="CL539" s="81"/>
      <c r="CM539" s="81"/>
      <c r="CN539" s="81"/>
      <c r="CO539" s="81"/>
      <c r="CP539" s="81"/>
      <c r="CQ539" s="81"/>
      <c r="CR539" s="81"/>
      <c r="CS539" s="81"/>
      <c r="CT539" s="81"/>
      <c r="CU539" s="81"/>
      <c r="CV539" s="81"/>
      <c r="CW539" s="81"/>
      <c r="CX539" s="81"/>
      <c r="CY539" s="81"/>
      <c r="CZ539" s="81"/>
      <c r="DA539" s="81"/>
      <c r="DB539" s="81"/>
      <c r="DC539" s="81"/>
      <c r="DD539" s="81"/>
      <c r="DE539" s="81"/>
      <c r="DF539" s="81"/>
      <c r="DG539" s="81"/>
      <c r="DH539" s="81"/>
      <c r="DI539" s="81"/>
      <c r="DJ539" s="81"/>
      <c r="DK539" s="81"/>
      <c r="DL539" s="81"/>
      <c r="DM539" s="81"/>
      <c r="DN539" s="81"/>
      <c r="DO539" s="81"/>
      <c r="DP539" s="81"/>
      <c r="DQ539" s="81"/>
      <c r="DR539" s="81"/>
      <c r="DS539" s="81"/>
      <c r="DT539" s="81"/>
      <c r="DU539" s="81"/>
      <c r="DV539" s="81"/>
      <c r="DW539" s="121"/>
    </row>
    <row r="540" spans="1:127" x14ac:dyDescent="0.25">
      <c r="A540" s="2">
        <f>COUNTIF($D$2:D540,'Reporte de Nomina'!$E$2)</f>
        <v>0</v>
      </c>
      <c r="B540" s="125">
        <f>Lista!A539</f>
        <v>0</v>
      </c>
      <c r="C540" s="125">
        <f>Lista!B539</f>
        <v>0</v>
      </c>
      <c r="D540" s="125">
        <f>Lista!C539</f>
        <v>0</v>
      </c>
      <c r="E540" s="125">
        <f>Lista!D539</f>
        <v>0</v>
      </c>
      <c r="F540" s="125">
        <f>Lista!E539</f>
        <v>0</v>
      </c>
      <c r="G540" s="125">
        <f>Lista!F539</f>
        <v>0</v>
      </c>
      <c r="H540" s="125">
        <f>Lista!G539</f>
        <v>0</v>
      </c>
      <c r="I540" s="125">
        <f>Lista!H539</f>
        <v>0</v>
      </c>
      <c r="J540" s="125">
        <f>Lista!I539</f>
        <v>0</v>
      </c>
      <c r="K540" s="125">
        <f>Lista!J539</f>
        <v>0</v>
      </c>
      <c r="L540" s="125">
        <f>Lista!K539</f>
        <v>0</v>
      </c>
      <c r="M540" s="125">
        <f>Lista!L539</f>
        <v>0</v>
      </c>
      <c r="N540" s="125">
        <f>Lista!M539</f>
        <v>0</v>
      </c>
      <c r="O540" s="125">
        <f>Lista!N539</f>
        <v>0</v>
      </c>
      <c r="P540" s="125">
        <f>Lista!O539</f>
        <v>0</v>
      </c>
      <c r="Q540" s="125">
        <f>Lista!P539</f>
        <v>0</v>
      </c>
      <c r="R540" s="125">
        <f>Lista!Q539</f>
        <v>0</v>
      </c>
      <c r="S540" s="125">
        <f>Lista!R539</f>
        <v>0</v>
      </c>
      <c r="T540" s="81"/>
      <c r="U540" s="81"/>
      <c r="V540" s="81"/>
      <c r="W540" s="81"/>
      <c r="X540" s="81"/>
      <c r="Y540" s="81"/>
      <c r="Z540" s="81"/>
      <c r="AA540" s="81"/>
      <c r="AB540" s="81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  <c r="BS540" s="81"/>
      <c r="BT540" s="81"/>
      <c r="BU540" s="81"/>
      <c r="BV540" s="81"/>
      <c r="BW540" s="81"/>
      <c r="BX540" s="81"/>
      <c r="BY540" s="81"/>
      <c r="BZ540" s="81"/>
      <c r="CA540" s="81"/>
      <c r="CB540" s="81"/>
      <c r="CC540" s="81"/>
      <c r="CD540" s="81"/>
      <c r="CE540" s="81"/>
      <c r="CF540" s="81"/>
      <c r="CG540" s="81"/>
      <c r="CH540" s="81"/>
      <c r="CI540" s="81"/>
      <c r="CJ540" s="81"/>
      <c r="CK540" s="81"/>
      <c r="CL540" s="81"/>
      <c r="CM540" s="81"/>
      <c r="CN540" s="81"/>
      <c r="CO540" s="81"/>
      <c r="CP540" s="81"/>
      <c r="CQ540" s="81"/>
      <c r="CR540" s="81"/>
      <c r="CS540" s="81"/>
      <c r="CT540" s="81"/>
      <c r="CU540" s="81"/>
      <c r="CV540" s="81"/>
      <c r="CW540" s="81"/>
      <c r="CX540" s="81"/>
      <c r="CY540" s="81"/>
      <c r="CZ540" s="81"/>
      <c r="DA540" s="81"/>
      <c r="DB540" s="81"/>
      <c r="DC540" s="81"/>
      <c r="DD540" s="81"/>
      <c r="DE540" s="81"/>
      <c r="DF540" s="81"/>
      <c r="DG540" s="81"/>
      <c r="DH540" s="81"/>
      <c r="DI540" s="81"/>
      <c r="DJ540" s="81"/>
      <c r="DK540" s="81"/>
      <c r="DL540" s="81"/>
      <c r="DM540" s="81"/>
      <c r="DN540" s="81"/>
      <c r="DO540" s="81"/>
      <c r="DP540" s="81"/>
      <c r="DQ540" s="81"/>
      <c r="DR540" s="81"/>
      <c r="DS540" s="81"/>
      <c r="DT540" s="81"/>
      <c r="DU540" s="81"/>
      <c r="DV540" s="81"/>
      <c r="DW540" s="121"/>
    </row>
    <row r="541" spans="1:127" x14ac:dyDescent="0.25">
      <c r="A541" s="2">
        <f>COUNTIF($D$2:D541,'Reporte de Nomina'!$E$2)</f>
        <v>0</v>
      </c>
      <c r="B541" s="125">
        <f>Lista!A540</f>
        <v>0</v>
      </c>
      <c r="C541" s="125">
        <f>Lista!B540</f>
        <v>0</v>
      </c>
      <c r="D541" s="125">
        <f>Lista!C540</f>
        <v>0</v>
      </c>
      <c r="E541" s="125">
        <f>Lista!D540</f>
        <v>0</v>
      </c>
      <c r="F541" s="125">
        <f>Lista!E540</f>
        <v>0</v>
      </c>
      <c r="G541" s="125">
        <f>Lista!F540</f>
        <v>0</v>
      </c>
      <c r="H541" s="125">
        <f>Lista!G540</f>
        <v>0</v>
      </c>
      <c r="I541" s="125">
        <f>Lista!H540</f>
        <v>0</v>
      </c>
      <c r="J541" s="125">
        <f>Lista!I540</f>
        <v>0</v>
      </c>
      <c r="K541" s="125">
        <f>Lista!J540</f>
        <v>0</v>
      </c>
      <c r="L541" s="125">
        <f>Lista!K540</f>
        <v>0</v>
      </c>
      <c r="M541" s="125">
        <f>Lista!L540</f>
        <v>0</v>
      </c>
      <c r="N541" s="125">
        <f>Lista!M540</f>
        <v>0</v>
      </c>
      <c r="O541" s="125">
        <f>Lista!N540</f>
        <v>0</v>
      </c>
      <c r="P541" s="125">
        <f>Lista!O540</f>
        <v>0</v>
      </c>
      <c r="Q541" s="125">
        <f>Lista!P540</f>
        <v>0</v>
      </c>
      <c r="R541" s="125">
        <f>Lista!Q540</f>
        <v>0</v>
      </c>
      <c r="S541" s="125">
        <f>Lista!R540</f>
        <v>0</v>
      </c>
      <c r="T541" s="81"/>
      <c r="U541" s="81"/>
      <c r="V541" s="81"/>
      <c r="W541" s="81"/>
      <c r="X541" s="81"/>
      <c r="Y541" s="81"/>
      <c r="Z541" s="81"/>
      <c r="AA541" s="81"/>
      <c r="AB541" s="81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  <c r="BS541" s="81"/>
      <c r="BT541" s="81"/>
      <c r="BU541" s="81"/>
      <c r="BV541" s="81"/>
      <c r="BW541" s="81"/>
      <c r="BX541" s="81"/>
      <c r="BY541" s="81"/>
      <c r="BZ541" s="81"/>
      <c r="CA541" s="81"/>
      <c r="CB541" s="81"/>
      <c r="CC541" s="81"/>
      <c r="CD541" s="81"/>
      <c r="CE541" s="81"/>
      <c r="CF541" s="81"/>
      <c r="CG541" s="81"/>
      <c r="CH541" s="81"/>
      <c r="CI541" s="81"/>
      <c r="CJ541" s="81"/>
      <c r="CK541" s="81"/>
      <c r="CL541" s="81"/>
      <c r="CM541" s="81"/>
      <c r="CN541" s="81"/>
      <c r="CO541" s="81"/>
      <c r="CP541" s="81"/>
      <c r="CQ541" s="81"/>
      <c r="CR541" s="81"/>
      <c r="CS541" s="81"/>
      <c r="CT541" s="81"/>
      <c r="CU541" s="81"/>
      <c r="CV541" s="81"/>
      <c r="CW541" s="81"/>
      <c r="CX541" s="81"/>
      <c r="CY541" s="81"/>
      <c r="CZ541" s="81"/>
      <c r="DA541" s="81"/>
      <c r="DB541" s="81"/>
      <c r="DC541" s="81"/>
      <c r="DD541" s="81"/>
      <c r="DE541" s="81"/>
      <c r="DF541" s="81"/>
      <c r="DG541" s="81"/>
      <c r="DH541" s="81"/>
      <c r="DI541" s="81"/>
      <c r="DJ541" s="81"/>
      <c r="DK541" s="81"/>
      <c r="DL541" s="81"/>
      <c r="DM541" s="81"/>
      <c r="DN541" s="81"/>
      <c r="DO541" s="81"/>
      <c r="DP541" s="81"/>
      <c r="DQ541" s="81"/>
      <c r="DR541" s="81"/>
      <c r="DS541" s="81"/>
      <c r="DT541" s="81"/>
      <c r="DU541" s="81"/>
      <c r="DV541" s="81"/>
      <c r="DW541" s="121"/>
    </row>
    <row r="542" spans="1:127" x14ac:dyDescent="0.25">
      <c r="A542" s="2">
        <f>COUNTIF($D$2:D542,'Reporte de Nomina'!$E$2)</f>
        <v>0</v>
      </c>
      <c r="B542" s="125">
        <f>Lista!A541</f>
        <v>0</v>
      </c>
      <c r="C542" s="125">
        <f>Lista!B541</f>
        <v>0</v>
      </c>
      <c r="D542" s="125">
        <f>Lista!C541</f>
        <v>0</v>
      </c>
      <c r="E542" s="125">
        <f>Lista!D541</f>
        <v>0</v>
      </c>
      <c r="F542" s="125">
        <f>Lista!E541</f>
        <v>0</v>
      </c>
      <c r="G542" s="125">
        <f>Lista!F541</f>
        <v>0</v>
      </c>
      <c r="H542" s="125">
        <f>Lista!G541</f>
        <v>0</v>
      </c>
      <c r="I542" s="125">
        <f>Lista!H541</f>
        <v>0</v>
      </c>
      <c r="J542" s="125">
        <f>Lista!I541</f>
        <v>0</v>
      </c>
      <c r="K542" s="125">
        <f>Lista!J541</f>
        <v>0</v>
      </c>
      <c r="L542" s="125">
        <f>Lista!K541</f>
        <v>0</v>
      </c>
      <c r="M542" s="125">
        <f>Lista!L541</f>
        <v>0</v>
      </c>
      <c r="N542" s="125">
        <f>Lista!M541</f>
        <v>0</v>
      </c>
      <c r="O542" s="125">
        <f>Lista!N541</f>
        <v>0</v>
      </c>
      <c r="P542" s="125">
        <f>Lista!O541</f>
        <v>0</v>
      </c>
      <c r="Q542" s="125">
        <f>Lista!P541</f>
        <v>0</v>
      </c>
      <c r="R542" s="125">
        <f>Lista!Q541</f>
        <v>0</v>
      </c>
      <c r="S542" s="125">
        <f>Lista!R541</f>
        <v>0</v>
      </c>
      <c r="T542" s="81"/>
      <c r="U542" s="81"/>
      <c r="V542" s="81"/>
      <c r="W542" s="81"/>
      <c r="X542" s="81"/>
      <c r="Y542" s="81"/>
      <c r="Z542" s="81"/>
      <c r="AA542" s="81"/>
      <c r="AB542" s="81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  <c r="BS542" s="81"/>
      <c r="BT542" s="81"/>
      <c r="BU542" s="81"/>
      <c r="BV542" s="81"/>
      <c r="BW542" s="81"/>
      <c r="BX542" s="81"/>
      <c r="BY542" s="81"/>
      <c r="BZ542" s="81"/>
      <c r="CA542" s="81"/>
      <c r="CB542" s="81"/>
      <c r="CC542" s="81"/>
      <c r="CD542" s="81"/>
      <c r="CE542" s="81"/>
      <c r="CF542" s="81"/>
      <c r="CG542" s="81"/>
      <c r="CH542" s="81"/>
      <c r="CI542" s="81"/>
      <c r="CJ542" s="81"/>
      <c r="CK542" s="81"/>
      <c r="CL542" s="81"/>
      <c r="CM542" s="81"/>
      <c r="CN542" s="81"/>
      <c r="CO542" s="81"/>
      <c r="CP542" s="81"/>
      <c r="CQ542" s="81"/>
      <c r="CR542" s="81"/>
      <c r="CS542" s="81"/>
      <c r="CT542" s="81"/>
      <c r="CU542" s="81"/>
      <c r="CV542" s="81"/>
      <c r="CW542" s="81"/>
      <c r="CX542" s="81"/>
      <c r="CY542" s="81"/>
      <c r="CZ542" s="81"/>
      <c r="DA542" s="81"/>
      <c r="DB542" s="81"/>
      <c r="DC542" s="81"/>
      <c r="DD542" s="81"/>
      <c r="DE542" s="81"/>
      <c r="DF542" s="81"/>
      <c r="DG542" s="81"/>
      <c r="DH542" s="81"/>
      <c r="DI542" s="81"/>
      <c r="DJ542" s="81"/>
      <c r="DK542" s="81"/>
      <c r="DL542" s="81"/>
      <c r="DM542" s="81"/>
      <c r="DN542" s="81"/>
      <c r="DO542" s="81"/>
      <c r="DP542" s="81"/>
      <c r="DQ542" s="81"/>
      <c r="DR542" s="81"/>
      <c r="DS542" s="81"/>
      <c r="DT542" s="81"/>
      <c r="DU542" s="81"/>
      <c r="DV542" s="81"/>
      <c r="DW542" s="121"/>
    </row>
    <row r="543" spans="1:127" x14ac:dyDescent="0.25">
      <c r="A543" s="2">
        <f>COUNTIF($D$2:D543,'Reporte de Nomina'!$E$2)</f>
        <v>0</v>
      </c>
      <c r="B543" s="125">
        <f>Lista!A542</f>
        <v>0</v>
      </c>
      <c r="C543" s="125">
        <f>Lista!B542</f>
        <v>0</v>
      </c>
      <c r="D543" s="125">
        <f>Lista!C542</f>
        <v>0</v>
      </c>
      <c r="E543" s="125">
        <f>Lista!D542</f>
        <v>0</v>
      </c>
      <c r="F543" s="125">
        <f>Lista!E542</f>
        <v>0</v>
      </c>
      <c r="G543" s="125">
        <f>Lista!F542</f>
        <v>0</v>
      </c>
      <c r="H543" s="125">
        <f>Lista!G542</f>
        <v>0</v>
      </c>
      <c r="I543" s="125">
        <f>Lista!H542</f>
        <v>0</v>
      </c>
      <c r="J543" s="125">
        <f>Lista!I542</f>
        <v>0</v>
      </c>
      <c r="K543" s="125">
        <f>Lista!J542</f>
        <v>0</v>
      </c>
      <c r="L543" s="125">
        <f>Lista!K542</f>
        <v>0</v>
      </c>
      <c r="M543" s="125">
        <f>Lista!L542</f>
        <v>0</v>
      </c>
      <c r="N543" s="125">
        <f>Lista!M542</f>
        <v>0</v>
      </c>
      <c r="O543" s="125">
        <f>Lista!N542</f>
        <v>0</v>
      </c>
      <c r="P543" s="125">
        <f>Lista!O542</f>
        <v>0</v>
      </c>
      <c r="Q543" s="125">
        <f>Lista!P542</f>
        <v>0</v>
      </c>
      <c r="R543" s="125">
        <f>Lista!Q542</f>
        <v>0</v>
      </c>
      <c r="S543" s="125">
        <f>Lista!R542</f>
        <v>0</v>
      </c>
      <c r="T543" s="81"/>
      <c r="U543" s="81"/>
      <c r="V543" s="81"/>
      <c r="W543" s="81"/>
      <c r="X543" s="81"/>
      <c r="Y543" s="81"/>
      <c r="Z543" s="81"/>
      <c r="AA543" s="81"/>
      <c r="AB543" s="81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  <c r="BS543" s="81"/>
      <c r="BT543" s="81"/>
      <c r="BU543" s="81"/>
      <c r="BV543" s="81"/>
      <c r="BW543" s="81"/>
      <c r="BX543" s="81"/>
      <c r="BY543" s="81"/>
      <c r="BZ543" s="81"/>
      <c r="CA543" s="81"/>
      <c r="CB543" s="81"/>
      <c r="CC543" s="81"/>
      <c r="CD543" s="81"/>
      <c r="CE543" s="81"/>
      <c r="CF543" s="81"/>
      <c r="CG543" s="81"/>
      <c r="CH543" s="81"/>
      <c r="CI543" s="81"/>
      <c r="CJ543" s="81"/>
      <c r="CK543" s="81"/>
      <c r="CL543" s="81"/>
      <c r="CM543" s="81"/>
      <c r="CN543" s="81"/>
      <c r="CO543" s="81"/>
      <c r="CP543" s="81"/>
      <c r="CQ543" s="81"/>
      <c r="CR543" s="81"/>
      <c r="CS543" s="81"/>
      <c r="CT543" s="81"/>
      <c r="CU543" s="81"/>
      <c r="CV543" s="81"/>
      <c r="CW543" s="81"/>
      <c r="CX543" s="81"/>
      <c r="CY543" s="81"/>
      <c r="CZ543" s="81"/>
      <c r="DA543" s="81"/>
      <c r="DB543" s="81"/>
      <c r="DC543" s="81"/>
      <c r="DD543" s="81"/>
      <c r="DE543" s="81"/>
      <c r="DF543" s="81"/>
      <c r="DG543" s="81"/>
      <c r="DH543" s="81"/>
      <c r="DI543" s="81"/>
      <c r="DJ543" s="81"/>
      <c r="DK543" s="81"/>
      <c r="DL543" s="81"/>
      <c r="DM543" s="81"/>
      <c r="DN543" s="81"/>
      <c r="DO543" s="81"/>
      <c r="DP543" s="81"/>
      <c r="DQ543" s="81"/>
      <c r="DR543" s="81"/>
      <c r="DS543" s="81"/>
      <c r="DT543" s="81"/>
      <c r="DU543" s="81"/>
      <c r="DV543" s="81"/>
      <c r="DW543" s="121"/>
    </row>
    <row r="544" spans="1:127" x14ac:dyDescent="0.25">
      <c r="A544" s="2">
        <f>COUNTIF($D$2:D544,'Reporte de Nomina'!$E$2)</f>
        <v>0</v>
      </c>
      <c r="B544" s="125">
        <f>Lista!A543</f>
        <v>0</v>
      </c>
      <c r="C544" s="125">
        <f>Lista!B543</f>
        <v>0</v>
      </c>
      <c r="D544" s="125">
        <f>Lista!C543</f>
        <v>0</v>
      </c>
      <c r="E544" s="125">
        <f>Lista!D543</f>
        <v>0</v>
      </c>
      <c r="F544" s="125">
        <f>Lista!E543</f>
        <v>0</v>
      </c>
      <c r="G544" s="125">
        <f>Lista!F543</f>
        <v>0</v>
      </c>
      <c r="H544" s="125">
        <f>Lista!G543</f>
        <v>0</v>
      </c>
      <c r="I544" s="125">
        <f>Lista!H543</f>
        <v>0</v>
      </c>
      <c r="J544" s="125">
        <f>Lista!I543</f>
        <v>0</v>
      </c>
      <c r="K544" s="125">
        <f>Lista!J543</f>
        <v>0</v>
      </c>
      <c r="L544" s="125">
        <f>Lista!K543</f>
        <v>0</v>
      </c>
      <c r="M544" s="125">
        <f>Lista!L543</f>
        <v>0</v>
      </c>
      <c r="N544" s="125">
        <f>Lista!M543</f>
        <v>0</v>
      </c>
      <c r="O544" s="125">
        <f>Lista!N543</f>
        <v>0</v>
      </c>
      <c r="P544" s="125">
        <f>Lista!O543</f>
        <v>0</v>
      </c>
      <c r="Q544" s="125">
        <f>Lista!P543</f>
        <v>0</v>
      </c>
      <c r="R544" s="125">
        <f>Lista!Q543</f>
        <v>0</v>
      </c>
      <c r="S544" s="125">
        <f>Lista!R543</f>
        <v>0</v>
      </c>
      <c r="T544" s="81"/>
      <c r="U544" s="81"/>
      <c r="V544" s="81"/>
      <c r="W544" s="81"/>
      <c r="X544" s="81"/>
      <c r="Y544" s="81"/>
      <c r="Z544" s="81"/>
      <c r="AA544" s="81"/>
      <c r="AB544" s="81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  <c r="BS544" s="81"/>
      <c r="BT544" s="81"/>
      <c r="BU544" s="81"/>
      <c r="BV544" s="81"/>
      <c r="BW544" s="81"/>
      <c r="BX544" s="81"/>
      <c r="BY544" s="81"/>
      <c r="BZ544" s="81"/>
      <c r="CA544" s="81"/>
      <c r="CB544" s="81"/>
      <c r="CC544" s="81"/>
      <c r="CD544" s="81"/>
      <c r="CE544" s="81"/>
      <c r="CF544" s="81"/>
      <c r="CG544" s="81"/>
      <c r="CH544" s="81"/>
      <c r="CI544" s="81"/>
      <c r="CJ544" s="81"/>
      <c r="CK544" s="81"/>
      <c r="CL544" s="81"/>
      <c r="CM544" s="81"/>
      <c r="CN544" s="81"/>
      <c r="CO544" s="81"/>
      <c r="CP544" s="81"/>
      <c r="CQ544" s="81"/>
      <c r="CR544" s="81"/>
      <c r="CS544" s="81"/>
      <c r="CT544" s="81"/>
      <c r="CU544" s="81"/>
      <c r="CV544" s="81"/>
      <c r="CW544" s="81"/>
      <c r="CX544" s="81"/>
      <c r="CY544" s="81"/>
      <c r="CZ544" s="81"/>
      <c r="DA544" s="81"/>
      <c r="DB544" s="81"/>
      <c r="DC544" s="81"/>
      <c r="DD544" s="81"/>
      <c r="DE544" s="81"/>
      <c r="DF544" s="81"/>
      <c r="DG544" s="81"/>
      <c r="DH544" s="81"/>
      <c r="DI544" s="81"/>
      <c r="DJ544" s="81"/>
      <c r="DK544" s="81"/>
      <c r="DL544" s="81"/>
      <c r="DM544" s="81"/>
      <c r="DN544" s="81"/>
      <c r="DO544" s="81"/>
      <c r="DP544" s="81"/>
      <c r="DQ544" s="81"/>
      <c r="DR544" s="81"/>
      <c r="DS544" s="81"/>
      <c r="DT544" s="81"/>
      <c r="DU544" s="81"/>
      <c r="DV544" s="81"/>
      <c r="DW544" s="121"/>
    </row>
    <row r="545" spans="1:127" x14ac:dyDescent="0.25">
      <c r="A545" s="2">
        <f>COUNTIF($D$2:D545,'Reporte de Nomina'!$E$2)</f>
        <v>0</v>
      </c>
      <c r="B545" s="125">
        <f>Lista!A544</f>
        <v>0</v>
      </c>
      <c r="C545" s="125">
        <f>Lista!B544</f>
        <v>0</v>
      </c>
      <c r="D545" s="125">
        <f>Lista!C544</f>
        <v>0</v>
      </c>
      <c r="E545" s="125">
        <f>Lista!D544</f>
        <v>0</v>
      </c>
      <c r="F545" s="125">
        <f>Lista!E544</f>
        <v>0</v>
      </c>
      <c r="G545" s="125">
        <f>Lista!F544</f>
        <v>0</v>
      </c>
      <c r="H545" s="125">
        <f>Lista!G544</f>
        <v>0</v>
      </c>
      <c r="I545" s="125">
        <f>Lista!H544</f>
        <v>0</v>
      </c>
      <c r="J545" s="125">
        <f>Lista!I544</f>
        <v>0</v>
      </c>
      <c r="K545" s="125">
        <f>Lista!J544</f>
        <v>0</v>
      </c>
      <c r="L545" s="125">
        <f>Lista!K544</f>
        <v>0</v>
      </c>
      <c r="M545" s="125">
        <f>Lista!L544</f>
        <v>0</v>
      </c>
      <c r="N545" s="125">
        <f>Lista!M544</f>
        <v>0</v>
      </c>
      <c r="O545" s="125">
        <f>Lista!N544</f>
        <v>0</v>
      </c>
      <c r="P545" s="125">
        <f>Lista!O544</f>
        <v>0</v>
      </c>
      <c r="Q545" s="125">
        <f>Lista!P544</f>
        <v>0</v>
      </c>
      <c r="R545" s="125">
        <f>Lista!Q544</f>
        <v>0</v>
      </c>
      <c r="S545" s="125">
        <f>Lista!R544</f>
        <v>0</v>
      </c>
      <c r="T545" s="81"/>
      <c r="U545" s="81"/>
      <c r="V545" s="81"/>
      <c r="W545" s="81"/>
      <c r="X545" s="81"/>
      <c r="Y545" s="81"/>
      <c r="Z545" s="81"/>
      <c r="AA545" s="81"/>
      <c r="AB545" s="81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  <c r="BS545" s="81"/>
      <c r="BT545" s="81"/>
      <c r="BU545" s="81"/>
      <c r="BV545" s="81"/>
      <c r="BW545" s="81"/>
      <c r="BX545" s="81"/>
      <c r="BY545" s="81"/>
      <c r="BZ545" s="81"/>
      <c r="CA545" s="81"/>
      <c r="CB545" s="81"/>
      <c r="CC545" s="81"/>
      <c r="CD545" s="81"/>
      <c r="CE545" s="81"/>
      <c r="CF545" s="81"/>
      <c r="CG545" s="81"/>
      <c r="CH545" s="81"/>
      <c r="CI545" s="81"/>
      <c r="CJ545" s="81"/>
      <c r="CK545" s="81"/>
      <c r="CL545" s="81"/>
      <c r="CM545" s="81"/>
      <c r="CN545" s="81"/>
      <c r="CO545" s="81"/>
      <c r="CP545" s="81"/>
      <c r="CQ545" s="81"/>
      <c r="CR545" s="81"/>
      <c r="CS545" s="81"/>
      <c r="CT545" s="81"/>
      <c r="CU545" s="81"/>
      <c r="CV545" s="81"/>
      <c r="CW545" s="81"/>
      <c r="CX545" s="81"/>
      <c r="CY545" s="81"/>
      <c r="CZ545" s="81"/>
      <c r="DA545" s="81"/>
      <c r="DB545" s="81"/>
      <c r="DC545" s="81"/>
      <c r="DD545" s="81"/>
      <c r="DE545" s="81"/>
      <c r="DF545" s="81"/>
      <c r="DG545" s="81"/>
      <c r="DH545" s="81"/>
      <c r="DI545" s="81"/>
      <c r="DJ545" s="81"/>
      <c r="DK545" s="81"/>
      <c r="DL545" s="81"/>
      <c r="DM545" s="81"/>
      <c r="DN545" s="81"/>
      <c r="DO545" s="81"/>
      <c r="DP545" s="81"/>
      <c r="DQ545" s="81"/>
      <c r="DR545" s="81"/>
      <c r="DS545" s="81"/>
      <c r="DT545" s="81"/>
      <c r="DU545" s="81"/>
      <c r="DV545" s="81"/>
      <c r="DW545" s="121"/>
    </row>
    <row r="546" spans="1:127" x14ac:dyDescent="0.25">
      <c r="A546" s="2">
        <f>COUNTIF($D$2:D546,'Reporte de Nomina'!$E$2)</f>
        <v>0</v>
      </c>
      <c r="B546" s="125">
        <f>Lista!A545</f>
        <v>0</v>
      </c>
      <c r="C546" s="125">
        <f>Lista!B545</f>
        <v>0</v>
      </c>
      <c r="D546" s="125">
        <f>Lista!C545</f>
        <v>0</v>
      </c>
      <c r="E546" s="125">
        <f>Lista!D545</f>
        <v>0</v>
      </c>
      <c r="F546" s="125">
        <f>Lista!E545</f>
        <v>0</v>
      </c>
      <c r="G546" s="125">
        <f>Lista!F545</f>
        <v>0</v>
      </c>
      <c r="H546" s="125">
        <f>Lista!G545</f>
        <v>0</v>
      </c>
      <c r="I546" s="125">
        <f>Lista!H545</f>
        <v>0</v>
      </c>
      <c r="J546" s="125">
        <f>Lista!I545</f>
        <v>0</v>
      </c>
      <c r="K546" s="125">
        <f>Lista!J545</f>
        <v>0</v>
      </c>
      <c r="L546" s="125">
        <f>Lista!K545</f>
        <v>0</v>
      </c>
      <c r="M546" s="125">
        <f>Lista!L545</f>
        <v>0</v>
      </c>
      <c r="N546" s="125">
        <f>Lista!M545</f>
        <v>0</v>
      </c>
      <c r="O546" s="125">
        <f>Lista!N545</f>
        <v>0</v>
      </c>
      <c r="P546" s="125">
        <f>Lista!O545</f>
        <v>0</v>
      </c>
      <c r="Q546" s="125">
        <f>Lista!P545</f>
        <v>0</v>
      </c>
      <c r="R546" s="125">
        <f>Lista!Q545</f>
        <v>0</v>
      </c>
      <c r="S546" s="125">
        <f>Lista!R545</f>
        <v>0</v>
      </c>
      <c r="T546" s="81"/>
      <c r="U546" s="81"/>
      <c r="V546" s="81"/>
      <c r="W546" s="81"/>
      <c r="X546" s="81"/>
      <c r="Y546" s="81"/>
      <c r="Z546" s="81"/>
      <c r="AA546" s="81"/>
      <c r="AB546" s="81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  <c r="BS546" s="81"/>
      <c r="BT546" s="81"/>
      <c r="BU546" s="81"/>
      <c r="BV546" s="81"/>
      <c r="BW546" s="81"/>
      <c r="BX546" s="81"/>
      <c r="BY546" s="81"/>
      <c r="BZ546" s="81"/>
      <c r="CA546" s="81"/>
      <c r="CB546" s="81"/>
      <c r="CC546" s="81"/>
      <c r="CD546" s="81"/>
      <c r="CE546" s="81"/>
      <c r="CF546" s="81"/>
      <c r="CG546" s="81"/>
      <c r="CH546" s="81"/>
      <c r="CI546" s="81"/>
      <c r="CJ546" s="81"/>
      <c r="CK546" s="81"/>
      <c r="CL546" s="81"/>
      <c r="CM546" s="81"/>
      <c r="CN546" s="81"/>
      <c r="CO546" s="81"/>
      <c r="CP546" s="81"/>
      <c r="CQ546" s="81"/>
      <c r="CR546" s="81"/>
      <c r="CS546" s="81"/>
      <c r="CT546" s="81"/>
      <c r="CU546" s="81"/>
      <c r="CV546" s="81"/>
      <c r="CW546" s="81"/>
      <c r="CX546" s="81"/>
      <c r="CY546" s="81"/>
      <c r="CZ546" s="81"/>
      <c r="DA546" s="81"/>
      <c r="DB546" s="81"/>
      <c r="DC546" s="81"/>
      <c r="DD546" s="81"/>
      <c r="DE546" s="81"/>
      <c r="DF546" s="81"/>
      <c r="DG546" s="81"/>
      <c r="DH546" s="81"/>
      <c r="DI546" s="81"/>
      <c r="DJ546" s="81"/>
      <c r="DK546" s="81"/>
      <c r="DL546" s="81"/>
      <c r="DM546" s="81"/>
      <c r="DN546" s="81"/>
      <c r="DO546" s="81"/>
      <c r="DP546" s="81"/>
      <c r="DQ546" s="81"/>
      <c r="DR546" s="81"/>
      <c r="DS546" s="81"/>
      <c r="DT546" s="81"/>
      <c r="DU546" s="81"/>
      <c r="DV546" s="81"/>
      <c r="DW546" s="121"/>
    </row>
    <row r="547" spans="1:127" x14ac:dyDescent="0.25">
      <c r="A547" s="2">
        <f>COUNTIF($D$2:D547,'Reporte de Nomina'!$E$2)</f>
        <v>0</v>
      </c>
      <c r="B547" s="125">
        <f>Lista!A546</f>
        <v>0</v>
      </c>
      <c r="C547" s="125">
        <f>Lista!B546</f>
        <v>0</v>
      </c>
      <c r="D547" s="125">
        <f>Lista!C546</f>
        <v>0</v>
      </c>
      <c r="E547" s="125">
        <f>Lista!D546</f>
        <v>0</v>
      </c>
      <c r="F547" s="125">
        <f>Lista!E546</f>
        <v>0</v>
      </c>
      <c r="G547" s="125">
        <f>Lista!F546</f>
        <v>0</v>
      </c>
      <c r="H547" s="125">
        <f>Lista!G546</f>
        <v>0</v>
      </c>
      <c r="I547" s="125">
        <f>Lista!H546</f>
        <v>0</v>
      </c>
      <c r="J547" s="125">
        <f>Lista!I546</f>
        <v>0</v>
      </c>
      <c r="K547" s="125">
        <f>Lista!J546</f>
        <v>0</v>
      </c>
      <c r="L547" s="125">
        <f>Lista!K546</f>
        <v>0</v>
      </c>
      <c r="M547" s="125">
        <f>Lista!L546</f>
        <v>0</v>
      </c>
      <c r="N547" s="125">
        <f>Lista!M546</f>
        <v>0</v>
      </c>
      <c r="O547" s="125">
        <f>Lista!N546</f>
        <v>0</v>
      </c>
      <c r="P547" s="125">
        <f>Lista!O546</f>
        <v>0</v>
      </c>
      <c r="Q547" s="125">
        <f>Lista!P546</f>
        <v>0</v>
      </c>
      <c r="R547" s="125">
        <f>Lista!Q546</f>
        <v>0</v>
      </c>
      <c r="S547" s="125">
        <f>Lista!R546</f>
        <v>0</v>
      </c>
      <c r="T547" s="81"/>
      <c r="U547" s="81"/>
      <c r="V547" s="81"/>
      <c r="W547" s="81"/>
      <c r="X547" s="81"/>
      <c r="Y547" s="81"/>
      <c r="Z547" s="81"/>
      <c r="AA547" s="81"/>
      <c r="AB547" s="81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  <c r="BS547" s="81"/>
      <c r="BT547" s="81"/>
      <c r="BU547" s="81"/>
      <c r="BV547" s="81"/>
      <c r="BW547" s="81"/>
      <c r="BX547" s="81"/>
      <c r="BY547" s="81"/>
      <c r="BZ547" s="81"/>
      <c r="CA547" s="81"/>
      <c r="CB547" s="81"/>
      <c r="CC547" s="81"/>
      <c r="CD547" s="81"/>
      <c r="CE547" s="81"/>
      <c r="CF547" s="81"/>
      <c r="CG547" s="81"/>
      <c r="CH547" s="81"/>
      <c r="CI547" s="81"/>
      <c r="CJ547" s="81"/>
      <c r="CK547" s="81"/>
      <c r="CL547" s="81"/>
      <c r="CM547" s="81"/>
      <c r="CN547" s="81"/>
      <c r="CO547" s="81"/>
      <c r="CP547" s="81"/>
      <c r="CQ547" s="81"/>
      <c r="CR547" s="81"/>
      <c r="CS547" s="81"/>
      <c r="CT547" s="81"/>
      <c r="CU547" s="81"/>
      <c r="CV547" s="81"/>
      <c r="CW547" s="81"/>
      <c r="CX547" s="81"/>
      <c r="CY547" s="81"/>
      <c r="CZ547" s="81"/>
      <c r="DA547" s="81"/>
      <c r="DB547" s="81"/>
      <c r="DC547" s="81"/>
      <c r="DD547" s="81"/>
      <c r="DE547" s="81"/>
      <c r="DF547" s="81"/>
      <c r="DG547" s="81"/>
      <c r="DH547" s="81"/>
      <c r="DI547" s="81"/>
      <c r="DJ547" s="81"/>
      <c r="DK547" s="81"/>
      <c r="DL547" s="81"/>
      <c r="DM547" s="81"/>
      <c r="DN547" s="81"/>
      <c r="DO547" s="81"/>
      <c r="DP547" s="81"/>
      <c r="DQ547" s="81"/>
      <c r="DR547" s="81"/>
      <c r="DS547" s="81"/>
      <c r="DT547" s="81"/>
      <c r="DU547" s="81"/>
      <c r="DV547" s="81"/>
      <c r="DW547" s="121"/>
    </row>
    <row r="548" spans="1:127" x14ac:dyDescent="0.25">
      <c r="A548" s="2">
        <f>COUNTIF($D$2:D548,'Reporte de Nomina'!$E$2)</f>
        <v>0</v>
      </c>
      <c r="B548" s="125">
        <f>Lista!A547</f>
        <v>0</v>
      </c>
      <c r="C548" s="125">
        <f>Lista!B547</f>
        <v>0</v>
      </c>
      <c r="D548" s="125">
        <f>Lista!C547</f>
        <v>0</v>
      </c>
      <c r="E548" s="125">
        <f>Lista!D547</f>
        <v>0</v>
      </c>
      <c r="F548" s="125">
        <f>Lista!E547</f>
        <v>0</v>
      </c>
      <c r="G548" s="125">
        <f>Lista!F547</f>
        <v>0</v>
      </c>
      <c r="H548" s="125">
        <f>Lista!G547</f>
        <v>0</v>
      </c>
      <c r="I548" s="125">
        <f>Lista!H547</f>
        <v>0</v>
      </c>
      <c r="J548" s="125">
        <f>Lista!I547</f>
        <v>0</v>
      </c>
      <c r="K548" s="125">
        <f>Lista!J547</f>
        <v>0</v>
      </c>
      <c r="L548" s="125">
        <f>Lista!K547</f>
        <v>0</v>
      </c>
      <c r="M548" s="125">
        <f>Lista!L547</f>
        <v>0</v>
      </c>
      <c r="N548" s="125">
        <f>Lista!M547</f>
        <v>0</v>
      </c>
      <c r="O548" s="125">
        <f>Lista!N547</f>
        <v>0</v>
      </c>
      <c r="P548" s="125">
        <f>Lista!O547</f>
        <v>0</v>
      </c>
      <c r="Q548" s="125">
        <f>Lista!P547</f>
        <v>0</v>
      </c>
      <c r="R548" s="125">
        <f>Lista!Q547</f>
        <v>0</v>
      </c>
      <c r="S548" s="125">
        <f>Lista!R547</f>
        <v>0</v>
      </c>
      <c r="T548" s="81"/>
      <c r="U548" s="81"/>
      <c r="V548" s="81"/>
      <c r="W548" s="81"/>
      <c r="X548" s="81"/>
      <c r="Y548" s="81"/>
      <c r="Z548" s="81"/>
      <c r="AA548" s="81"/>
      <c r="AB548" s="81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  <c r="BS548" s="81"/>
      <c r="BT548" s="81"/>
      <c r="BU548" s="81"/>
      <c r="BV548" s="81"/>
      <c r="BW548" s="81"/>
      <c r="BX548" s="81"/>
      <c r="BY548" s="81"/>
      <c r="BZ548" s="81"/>
      <c r="CA548" s="81"/>
      <c r="CB548" s="81"/>
      <c r="CC548" s="81"/>
      <c r="CD548" s="81"/>
      <c r="CE548" s="81"/>
      <c r="CF548" s="81"/>
      <c r="CG548" s="81"/>
      <c r="CH548" s="81"/>
      <c r="CI548" s="81"/>
      <c r="CJ548" s="81"/>
      <c r="CK548" s="81"/>
      <c r="CL548" s="81"/>
      <c r="CM548" s="81"/>
      <c r="CN548" s="81"/>
      <c r="CO548" s="81"/>
      <c r="CP548" s="81"/>
      <c r="CQ548" s="81"/>
      <c r="CR548" s="81"/>
      <c r="CS548" s="81"/>
      <c r="CT548" s="81"/>
      <c r="CU548" s="81"/>
      <c r="CV548" s="81"/>
      <c r="CW548" s="81"/>
      <c r="CX548" s="81"/>
      <c r="CY548" s="81"/>
      <c r="CZ548" s="81"/>
      <c r="DA548" s="81"/>
      <c r="DB548" s="81"/>
      <c r="DC548" s="81"/>
      <c r="DD548" s="81"/>
      <c r="DE548" s="81"/>
      <c r="DF548" s="81"/>
      <c r="DG548" s="81"/>
      <c r="DH548" s="81"/>
      <c r="DI548" s="81"/>
      <c r="DJ548" s="81"/>
      <c r="DK548" s="81"/>
      <c r="DL548" s="81"/>
      <c r="DM548" s="81"/>
      <c r="DN548" s="81"/>
      <c r="DO548" s="81"/>
      <c r="DP548" s="81"/>
      <c r="DQ548" s="81"/>
      <c r="DR548" s="81"/>
      <c r="DS548" s="81"/>
      <c r="DT548" s="81"/>
      <c r="DU548" s="81"/>
      <c r="DV548" s="81"/>
      <c r="DW548" s="121"/>
    </row>
    <row r="549" spans="1:127" x14ac:dyDescent="0.25">
      <c r="A549" s="2">
        <f>COUNTIF($D$2:D549,'Reporte de Nomina'!$E$2)</f>
        <v>0</v>
      </c>
      <c r="B549" s="125">
        <f>Lista!A548</f>
        <v>0</v>
      </c>
      <c r="C549" s="125">
        <f>Lista!B548</f>
        <v>0</v>
      </c>
      <c r="D549" s="125">
        <f>Lista!C548</f>
        <v>0</v>
      </c>
      <c r="E549" s="125">
        <f>Lista!D548</f>
        <v>0</v>
      </c>
      <c r="F549" s="125">
        <f>Lista!E548</f>
        <v>0</v>
      </c>
      <c r="G549" s="125">
        <f>Lista!F548</f>
        <v>0</v>
      </c>
      <c r="H549" s="125">
        <f>Lista!G548</f>
        <v>0</v>
      </c>
      <c r="I549" s="125">
        <f>Lista!H548</f>
        <v>0</v>
      </c>
      <c r="J549" s="125">
        <f>Lista!I548</f>
        <v>0</v>
      </c>
      <c r="K549" s="125">
        <f>Lista!J548</f>
        <v>0</v>
      </c>
      <c r="L549" s="125">
        <f>Lista!K548</f>
        <v>0</v>
      </c>
      <c r="M549" s="125">
        <f>Lista!L548</f>
        <v>0</v>
      </c>
      <c r="N549" s="125">
        <f>Lista!M548</f>
        <v>0</v>
      </c>
      <c r="O549" s="125">
        <f>Lista!N548</f>
        <v>0</v>
      </c>
      <c r="P549" s="125">
        <f>Lista!O548</f>
        <v>0</v>
      </c>
      <c r="Q549" s="125">
        <f>Lista!P548</f>
        <v>0</v>
      </c>
      <c r="R549" s="125">
        <f>Lista!Q548</f>
        <v>0</v>
      </c>
      <c r="S549" s="125">
        <f>Lista!R548</f>
        <v>0</v>
      </c>
      <c r="T549" s="81"/>
      <c r="U549" s="81"/>
      <c r="V549" s="81"/>
      <c r="W549" s="81"/>
      <c r="X549" s="81"/>
      <c r="Y549" s="81"/>
      <c r="Z549" s="81"/>
      <c r="AA549" s="81"/>
      <c r="AB549" s="81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  <c r="BS549" s="81"/>
      <c r="BT549" s="81"/>
      <c r="BU549" s="81"/>
      <c r="BV549" s="81"/>
      <c r="BW549" s="81"/>
      <c r="BX549" s="81"/>
      <c r="BY549" s="81"/>
      <c r="BZ549" s="81"/>
      <c r="CA549" s="81"/>
      <c r="CB549" s="81"/>
      <c r="CC549" s="81"/>
      <c r="CD549" s="81"/>
      <c r="CE549" s="81"/>
      <c r="CF549" s="81"/>
      <c r="CG549" s="81"/>
      <c r="CH549" s="81"/>
      <c r="CI549" s="81"/>
      <c r="CJ549" s="81"/>
      <c r="CK549" s="81"/>
      <c r="CL549" s="81"/>
      <c r="CM549" s="81"/>
      <c r="CN549" s="81"/>
      <c r="CO549" s="81"/>
      <c r="CP549" s="81"/>
      <c r="CQ549" s="81"/>
      <c r="CR549" s="81"/>
      <c r="CS549" s="81"/>
      <c r="CT549" s="81"/>
      <c r="CU549" s="81"/>
      <c r="CV549" s="81"/>
      <c r="CW549" s="81"/>
      <c r="CX549" s="81"/>
      <c r="CY549" s="81"/>
      <c r="CZ549" s="81"/>
      <c r="DA549" s="81"/>
      <c r="DB549" s="81"/>
      <c r="DC549" s="81"/>
      <c r="DD549" s="81"/>
      <c r="DE549" s="81"/>
      <c r="DF549" s="81"/>
      <c r="DG549" s="81"/>
      <c r="DH549" s="81"/>
      <c r="DI549" s="81"/>
      <c r="DJ549" s="81"/>
      <c r="DK549" s="81"/>
      <c r="DL549" s="81"/>
      <c r="DM549" s="81"/>
      <c r="DN549" s="81"/>
      <c r="DO549" s="81"/>
      <c r="DP549" s="81"/>
      <c r="DQ549" s="81"/>
      <c r="DR549" s="81"/>
      <c r="DS549" s="81"/>
      <c r="DT549" s="81"/>
      <c r="DU549" s="81"/>
      <c r="DV549" s="81"/>
      <c r="DW549" s="121"/>
    </row>
    <row r="550" spans="1:127" x14ac:dyDescent="0.25">
      <c r="A550" s="2">
        <f>COUNTIF($D$2:D550,'Reporte de Nomina'!$E$2)</f>
        <v>0</v>
      </c>
      <c r="B550" s="125">
        <f>Lista!A549</f>
        <v>0</v>
      </c>
      <c r="C550" s="125">
        <f>Lista!B549</f>
        <v>0</v>
      </c>
      <c r="D550" s="125">
        <f>Lista!C549</f>
        <v>0</v>
      </c>
      <c r="E550" s="125">
        <f>Lista!D549</f>
        <v>0</v>
      </c>
      <c r="F550" s="125">
        <f>Lista!E549</f>
        <v>0</v>
      </c>
      <c r="G550" s="125">
        <f>Lista!F549</f>
        <v>0</v>
      </c>
      <c r="H550" s="125">
        <f>Lista!G549</f>
        <v>0</v>
      </c>
      <c r="I550" s="125">
        <f>Lista!H549</f>
        <v>0</v>
      </c>
      <c r="J550" s="125">
        <f>Lista!I549</f>
        <v>0</v>
      </c>
      <c r="K550" s="125">
        <f>Lista!J549</f>
        <v>0</v>
      </c>
      <c r="L550" s="125">
        <f>Lista!K549</f>
        <v>0</v>
      </c>
      <c r="M550" s="125">
        <f>Lista!L549</f>
        <v>0</v>
      </c>
      <c r="N550" s="125">
        <f>Lista!M549</f>
        <v>0</v>
      </c>
      <c r="O550" s="125">
        <f>Lista!N549</f>
        <v>0</v>
      </c>
      <c r="P550" s="125">
        <f>Lista!O549</f>
        <v>0</v>
      </c>
      <c r="Q550" s="125">
        <f>Lista!P549</f>
        <v>0</v>
      </c>
      <c r="R550" s="125">
        <f>Lista!Q549</f>
        <v>0</v>
      </c>
      <c r="S550" s="125">
        <f>Lista!R549</f>
        <v>0</v>
      </c>
      <c r="T550" s="81"/>
      <c r="U550" s="81"/>
      <c r="V550" s="81"/>
      <c r="W550" s="81"/>
      <c r="X550" s="81"/>
      <c r="Y550" s="81"/>
      <c r="Z550" s="81"/>
      <c r="AA550" s="81"/>
      <c r="AB550" s="81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  <c r="BS550" s="81"/>
      <c r="BT550" s="81"/>
      <c r="BU550" s="81"/>
      <c r="BV550" s="81"/>
      <c r="BW550" s="81"/>
      <c r="BX550" s="81"/>
      <c r="BY550" s="81"/>
      <c r="BZ550" s="81"/>
      <c r="CA550" s="81"/>
      <c r="CB550" s="81"/>
      <c r="CC550" s="81"/>
      <c r="CD550" s="81"/>
      <c r="CE550" s="81"/>
      <c r="CF550" s="81"/>
      <c r="CG550" s="81"/>
      <c r="CH550" s="81"/>
      <c r="CI550" s="81"/>
      <c r="CJ550" s="81"/>
      <c r="CK550" s="81"/>
      <c r="CL550" s="81"/>
      <c r="CM550" s="81"/>
      <c r="CN550" s="81"/>
      <c r="CO550" s="81"/>
      <c r="CP550" s="81"/>
      <c r="CQ550" s="81"/>
      <c r="CR550" s="81"/>
      <c r="CS550" s="81"/>
      <c r="CT550" s="81"/>
      <c r="CU550" s="81"/>
      <c r="CV550" s="81"/>
      <c r="CW550" s="81"/>
      <c r="CX550" s="81"/>
      <c r="CY550" s="81"/>
      <c r="CZ550" s="81"/>
      <c r="DA550" s="81"/>
      <c r="DB550" s="81"/>
      <c r="DC550" s="81"/>
      <c r="DD550" s="81"/>
      <c r="DE550" s="81"/>
      <c r="DF550" s="81"/>
      <c r="DG550" s="81"/>
      <c r="DH550" s="81"/>
      <c r="DI550" s="81"/>
      <c r="DJ550" s="81"/>
      <c r="DK550" s="81"/>
      <c r="DL550" s="81"/>
      <c r="DM550" s="81"/>
      <c r="DN550" s="81"/>
      <c r="DO550" s="81"/>
      <c r="DP550" s="81"/>
      <c r="DQ550" s="81"/>
      <c r="DR550" s="81"/>
      <c r="DS550" s="81"/>
      <c r="DT550" s="81"/>
      <c r="DU550" s="81"/>
      <c r="DV550" s="81"/>
      <c r="DW550" s="121"/>
    </row>
    <row r="551" spans="1:127" x14ac:dyDescent="0.25">
      <c r="A551" s="2">
        <f>COUNTIF($D$2:D551,'Reporte de Nomina'!$E$2)</f>
        <v>0</v>
      </c>
      <c r="B551" s="125">
        <f>Lista!A550</f>
        <v>0</v>
      </c>
      <c r="C551" s="125">
        <f>Lista!B550</f>
        <v>0</v>
      </c>
      <c r="D551" s="125">
        <f>Lista!C550</f>
        <v>0</v>
      </c>
      <c r="E551" s="125">
        <f>Lista!D550</f>
        <v>0</v>
      </c>
      <c r="F551" s="125">
        <f>Lista!E550</f>
        <v>0</v>
      </c>
      <c r="G551" s="125">
        <f>Lista!F550</f>
        <v>0</v>
      </c>
      <c r="H551" s="125">
        <f>Lista!G550</f>
        <v>0</v>
      </c>
      <c r="I551" s="125">
        <f>Lista!H550</f>
        <v>0</v>
      </c>
      <c r="J551" s="125">
        <f>Lista!I550</f>
        <v>0</v>
      </c>
      <c r="K551" s="125">
        <f>Lista!J550</f>
        <v>0</v>
      </c>
      <c r="L551" s="125">
        <f>Lista!K550</f>
        <v>0</v>
      </c>
      <c r="M551" s="125">
        <f>Lista!L550</f>
        <v>0</v>
      </c>
      <c r="N551" s="125">
        <f>Lista!M550</f>
        <v>0</v>
      </c>
      <c r="O551" s="125">
        <f>Lista!N550</f>
        <v>0</v>
      </c>
      <c r="P551" s="125">
        <f>Lista!O550</f>
        <v>0</v>
      </c>
      <c r="Q551" s="125">
        <f>Lista!P550</f>
        <v>0</v>
      </c>
      <c r="R551" s="125">
        <f>Lista!Q550</f>
        <v>0</v>
      </c>
      <c r="S551" s="125">
        <f>Lista!R550</f>
        <v>0</v>
      </c>
      <c r="T551" s="81"/>
      <c r="U551" s="81"/>
      <c r="V551" s="81"/>
      <c r="W551" s="81"/>
      <c r="X551" s="81"/>
      <c r="Y551" s="81"/>
      <c r="Z551" s="81"/>
      <c r="AA551" s="81"/>
      <c r="AB551" s="81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  <c r="BS551" s="81"/>
      <c r="BT551" s="81"/>
      <c r="BU551" s="81"/>
      <c r="BV551" s="81"/>
      <c r="BW551" s="81"/>
      <c r="BX551" s="81"/>
      <c r="BY551" s="81"/>
      <c r="BZ551" s="81"/>
      <c r="CA551" s="81"/>
      <c r="CB551" s="81"/>
      <c r="CC551" s="81"/>
      <c r="CD551" s="81"/>
      <c r="CE551" s="81"/>
      <c r="CF551" s="81"/>
      <c r="CG551" s="81"/>
      <c r="CH551" s="81"/>
      <c r="CI551" s="81"/>
      <c r="CJ551" s="81"/>
      <c r="CK551" s="81"/>
      <c r="CL551" s="81"/>
      <c r="CM551" s="81"/>
      <c r="CN551" s="81"/>
      <c r="CO551" s="81"/>
      <c r="CP551" s="81"/>
      <c r="CQ551" s="81"/>
      <c r="CR551" s="81"/>
      <c r="CS551" s="81"/>
      <c r="CT551" s="81"/>
      <c r="CU551" s="81"/>
      <c r="CV551" s="81"/>
      <c r="CW551" s="81"/>
      <c r="CX551" s="81"/>
      <c r="CY551" s="81"/>
      <c r="CZ551" s="81"/>
      <c r="DA551" s="81"/>
      <c r="DB551" s="81"/>
      <c r="DC551" s="81"/>
      <c r="DD551" s="81"/>
      <c r="DE551" s="81"/>
      <c r="DF551" s="81"/>
      <c r="DG551" s="81"/>
      <c r="DH551" s="81"/>
      <c r="DI551" s="81"/>
      <c r="DJ551" s="81"/>
      <c r="DK551" s="81"/>
      <c r="DL551" s="81"/>
      <c r="DM551" s="81"/>
      <c r="DN551" s="81"/>
      <c r="DO551" s="81"/>
      <c r="DP551" s="81"/>
      <c r="DQ551" s="81"/>
      <c r="DR551" s="81"/>
      <c r="DS551" s="81"/>
      <c r="DT551" s="81"/>
      <c r="DU551" s="81"/>
      <c r="DV551" s="81"/>
      <c r="DW551" s="121"/>
    </row>
    <row r="552" spans="1:127" x14ac:dyDescent="0.25">
      <c r="A552" s="2">
        <f>COUNTIF($D$2:D552,'Reporte de Nomina'!$E$2)</f>
        <v>0</v>
      </c>
      <c r="B552" s="125">
        <f>Lista!A551</f>
        <v>0</v>
      </c>
      <c r="C552" s="125">
        <f>Lista!B551</f>
        <v>0</v>
      </c>
      <c r="D552" s="125">
        <f>Lista!C551</f>
        <v>0</v>
      </c>
      <c r="E552" s="125">
        <f>Lista!D551</f>
        <v>0</v>
      </c>
      <c r="F552" s="125">
        <f>Lista!E551</f>
        <v>0</v>
      </c>
      <c r="G552" s="125">
        <f>Lista!F551</f>
        <v>0</v>
      </c>
      <c r="H552" s="125">
        <f>Lista!G551</f>
        <v>0</v>
      </c>
      <c r="I552" s="125">
        <f>Lista!H551</f>
        <v>0</v>
      </c>
      <c r="J552" s="125">
        <f>Lista!I551</f>
        <v>0</v>
      </c>
      <c r="K552" s="125">
        <f>Lista!J551</f>
        <v>0</v>
      </c>
      <c r="L552" s="125">
        <f>Lista!K551</f>
        <v>0</v>
      </c>
      <c r="M552" s="125">
        <f>Lista!L551</f>
        <v>0</v>
      </c>
      <c r="N552" s="125">
        <f>Lista!M551</f>
        <v>0</v>
      </c>
      <c r="O552" s="125">
        <f>Lista!N551</f>
        <v>0</v>
      </c>
      <c r="P552" s="125">
        <f>Lista!O551</f>
        <v>0</v>
      </c>
      <c r="Q552" s="125">
        <f>Lista!P551</f>
        <v>0</v>
      </c>
      <c r="R552" s="125">
        <f>Lista!Q551</f>
        <v>0</v>
      </c>
      <c r="S552" s="125">
        <f>Lista!R551</f>
        <v>0</v>
      </c>
      <c r="T552" s="81"/>
      <c r="U552" s="81"/>
      <c r="V552" s="81"/>
      <c r="W552" s="81"/>
      <c r="X552" s="81"/>
      <c r="Y552" s="81"/>
      <c r="Z552" s="81"/>
      <c r="AA552" s="81"/>
      <c r="AB552" s="81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  <c r="BS552" s="81"/>
      <c r="BT552" s="81"/>
      <c r="BU552" s="81"/>
      <c r="BV552" s="81"/>
      <c r="BW552" s="81"/>
      <c r="BX552" s="81"/>
      <c r="BY552" s="81"/>
      <c r="BZ552" s="81"/>
      <c r="CA552" s="81"/>
      <c r="CB552" s="81"/>
      <c r="CC552" s="81"/>
      <c r="CD552" s="81"/>
      <c r="CE552" s="81"/>
      <c r="CF552" s="81"/>
      <c r="CG552" s="81"/>
      <c r="CH552" s="81"/>
      <c r="CI552" s="81"/>
      <c r="CJ552" s="81"/>
      <c r="CK552" s="81"/>
      <c r="CL552" s="81"/>
      <c r="CM552" s="81"/>
      <c r="CN552" s="81"/>
      <c r="CO552" s="81"/>
      <c r="CP552" s="81"/>
      <c r="CQ552" s="81"/>
      <c r="CR552" s="81"/>
      <c r="CS552" s="81"/>
      <c r="CT552" s="81"/>
      <c r="CU552" s="81"/>
      <c r="CV552" s="81"/>
      <c r="CW552" s="81"/>
      <c r="CX552" s="81"/>
      <c r="CY552" s="81"/>
      <c r="CZ552" s="81"/>
      <c r="DA552" s="81"/>
      <c r="DB552" s="81"/>
      <c r="DC552" s="81"/>
      <c r="DD552" s="81"/>
      <c r="DE552" s="81"/>
      <c r="DF552" s="81"/>
      <c r="DG552" s="81"/>
      <c r="DH552" s="81"/>
      <c r="DI552" s="81"/>
      <c r="DJ552" s="81"/>
      <c r="DK552" s="81"/>
      <c r="DL552" s="81"/>
      <c r="DM552" s="81"/>
      <c r="DN552" s="81"/>
      <c r="DO552" s="81"/>
      <c r="DP552" s="81"/>
      <c r="DQ552" s="81"/>
      <c r="DR552" s="81"/>
      <c r="DS552" s="81"/>
      <c r="DT552" s="81"/>
      <c r="DU552" s="81"/>
      <c r="DV552" s="81"/>
      <c r="DW552" s="121"/>
    </row>
    <row r="553" spans="1:127" x14ac:dyDescent="0.25">
      <c r="A553" s="2">
        <f>COUNTIF($D$2:D553,'Reporte de Nomina'!$E$2)</f>
        <v>0</v>
      </c>
      <c r="B553" s="125">
        <f>Lista!A552</f>
        <v>0</v>
      </c>
      <c r="C553" s="125">
        <f>Lista!B552</f>
        <v>0</v>
      </c>
      <c r="D553" s="125">
        <f>Lista!C552</f>
        <v>0</v>
      </c>
      <c r="E553" s="125">
        <f>Lista!D552</f>
        <v>0</v>
      </c>
      <c r="F553" s="125">
        <f>Lista!E552</f>
        <v>0</v>
      </c>
      <c r="G553" s="125">
        <f>Lista!F552</f>
        <v>0</v>
      </c>
      <c r="H553" s="125">
        <f>Lista!G552</f>
        <v>0</v>
      </c>
      <c r="I553" s="125">
        <f>Lista!H552</f>
        <v>0</v>
      </c>
      <c r="J553" s="125">
        <f>Lista!I552</f>
        <v>0</v>
      </c>
      <c r="K553" s="125">
        <f>Lista!J552</f>
        <v>0</v>
      </c>
      <c r="L553" s="125">
        <f>Lista!K552</f>
        <v>0</v>
      </c>
      <c r="M553" s="125">
        <f>Lista!L552</f>
        <v>0</v>
      </c>
      <c r="N553" s="125">
        <f>Lista!M552</f>
        <v>0</v>
      </c>
      <c r="O553" s="125">
        <f>Lista!N552</f>
        <v>0</v>
      </c>
      <c r="P553" s="125">
        <f>Lista!O552</f>
        <v>0</v>
      </c>
      <c r="Q553" s="125">
        <f>Lista!P552</f>
        <v>0</v>
      </c>
      <c r="R553" s="125">
        <f>Lista!Q552</f>
        <v>0</v>
      </c>
      <c r="S553" s="125">
        <f>Lista!R552</f>
        <v>0</v>
      </c>
      <c r="T553" s="81"/>
      <c r="U553" s="81"/>
      <c r="V553" s="81"/>
      <c r="W553" s="81"/>
      <c r="X553" s="81"/>
      <c r="Y553" s="81"/>
      <c r="Z553" s="81"/>
      <c r="AA553" s="81"/>
      <c r="AB553" s="81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  <c r="BS553" s="81"/>
      <c r="BT553" s="81"/>
      <c r="BU553" s="81"/>
      <c r="BV553" s="81"/>
      <c r="BW553" s="81"/>
      <c r="BX553" s="81"/>
      <c r="BY553" s="81"/>
      <c r="BZ553" s="81"/>
      <c r="CA553" s="81"/>
      <c r="CB553" s="81"/>
      <c r="CC553" s="81"/>
      <c r="CD553" s="81"/>
      <c r="CE553" s="81"/>
      <c r="CF553" s="81"/>
      <c r="CG553" s="81"/>
      <c r="CH553" s="81"/>
      <c r="CI553" s="81"/>
      <c r="CJ553" s="81"/>
      <c r="CK553" s="81"/>
      <c r="CL553" s="81"/>
      <c r="CM553" s="81"/>
      <c r="CN553" s="81"/>
      <c r="CO553" s="81"/>
      <c r="CP553" s="81"/>
      <c r="CQ553" s="81"/>
      <c r="CR553" s="81"/>
      <c r="CS553" s="81"/>
      <c r="CT553" s="81"/>
      <c r="CU553" s="81"/>
      <c r="CV553" s="81"/>
      <c r="CW553" s="81"/>
      <c r="CX553" s="81"/>
      <c r="CY553" s="81"/>
      <c r="CZ553" s="81"/>
      <c r="DA553" s="81"/>
      <c r="DB553" s="81"/>
      <c r="DC553" s="81"/>
      <c r="DD553" s="81"/>
      <c r="DE553" s="81"/>
      <c r="DF553" s="81"/>
      <c r="DG553" s="81"/>
      <c r="DH553" s="81"/>
      <c r="DI553" s="81"/>
      <c r="DJ553" s="81"/>
      <c r="DK553" s="81"/>
      <c r="DL553" s="81"/>
      <c r="DM553" s="81"/>
      <c r="DN553" s="81"/>
      <c r="DO553" s="81"/>
      <c r="DP553" s="81"/>
      <c r="DQ553" s="81"/>
      <c r="DR553" s="81"/>
      <c r="DS553" s="81"/>
      <c r="DT553" s="81"/>
      <c r="DU553" s="81"/>
      <c r="DV553" s="81"/>
      <c r="DW553" s="121"/>
    </row>
    <row r="554" spans="1:127" x14ac:dyDescent="0.25">
      <c r="A554" s="2">
        <f>COUNTIF($D$2:D554,'Reporte de Nomina'!$E$2)</f>
        <v>0</v>
      </c>
      <c r="B554" s="125">
        <f>Lista!A553</f>
        <v>0</v>
      </c>
      <c r="C554" s="125">
        <f>Lista!B553</f>
        <v>0</v>
      </c>
      <c r="D554" s="125">
        <f>Lista!C553</f>
        <v>0</v>
      </c>
      <c r="E554" s="125">
        <f>Lista!D553</f>
        <v>0</v>
      </c>
      <c r="F554" s="125">
        <f>Lista!E553</f>
        <v>0</v>
      </c>
      <c r="G554" s="125">
        <f>Lista!F553</f>
        <v>0</v>
      </c>
      <c r="H554" s="125">
        <f>Lista!G553</f>
        <v>0</v>
      </c>
      <c r="I554" s="125">
        <f>Lista!H553</f>
        <v>0</v>
      </c>
      <c r="J554" s="125">
        <f>Lista!I553</f>
        <v>0</v>
      </c>
      <c r="K554" s="125">
        <f>Lista!J553</f>
        <v>0</v>
      </c>
      <c r="L554" s="125">
        <f>Lista!K553</f>
        <v>0</v>
      </c>
      <c r="M554" s="125">
        <f>Lista!L553</f>
        <v>0</v>
      </c>
      <c r="N554" s="125">
        <f>Lista!M553</f>
        <v>0</v>
      </c>
      <c r="O554" s="125">
        <f>Lista!N553</f>
        <v>0</v>
      </c>
      <c r="P554" s="125">
        <f>Lista!O553</f>
        <v>0</v>
      </c>
      <c r="Q554" s="125">
        <f>Lista!P553</f>
        <v>0</v>
      </c>
      <c r="R554" s="125">
        <f>Lista!Q553</f>
        <v>0</v>
      </c>
      <c r="S554" s="125">
        <f>Lista!R553</f>
        <v>0</v>
      </c>
      <c r="T554" s="81"/>
      <c r="U554" s="81"/>
      <c r="V554" s="81"/>
      <c r="W554" s="81"/>
      <c r="X554" s="81"/>
      <c r="Y554" s="81"/>
      <c r="Z554" s="81"/>
      <c r="AA554" s="81"/>
      <c r="AB554" s="81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  <c r="BS554" s="81"/>
      <c r="BT554" s="81"/>
      <c r="BU554" s="81"/>
      <c r="BV554" s="81"/>
      <c r="BW554" s="81"/>
      <c r="BX554" s="81"/>
      <c r="BY554" s="81"/>
      <c r="BZ554" s="81"/>
      <c r="CA554" s="81"/>
      <c r="CB554" s="81"/>
      <c r="CC554" s="81"/>
      <c r="CD554" s="81"/>
      <c r="CE554" s="81"/>
      <c r="CF554" s="81"/>
      <c r="CG554" s="81"/>
      <c r="CH554" s="81"/>
      <c r="CI554" s="81"/>
      <c r="CJ554" s="81"/>
      <c r="CK554" s="81"/>
      <c r="CL554" s="81"/>
      <c r="CM554" s="81"/>
      <c r="CN554" s="81"/>
      <c r="CO554" s="81"/>
      <c r="CP554" s="81"/>
      <c r="CQ554" s="81"/>
      <c r="CR554" s="81"/>
      <c r="CS554" s="81"/>
      <c r="CT554" s="81"/>
      <c r="CU554" s="81"/>
      <c r="CV554" s="81"/>
      <c r="CW554" s="81"/>
      <c r="CX554" s="81"/>
      <c r="CY554" s="81"/>
      <c r="CZ554" s="81"/>
      <c r="DA554" s="81"/>
      <c r="DB554" s="81"/>
      <c r="DC554" s="81"/>
      <c r="DD554" s="81"/>
      <c r="DE554" s="81"/>
      <c r="DF554" s="81"/>
      <c r="DG554" s="81"/>
      <c r="DH554" s="81"/>
      <c r="DI554" s="81"/>
      <c r="DJ554" s="81"/>
      <c r="DK554" s="81"/>
      <c r="DL554" s="81"/>
      <c r="DM554" s="81"/>
      <c r="DN554" s="81"/>
      <c r="DO554" s="81"/>
      <c r="DP554" s="81"/>
      <c r="DQ554" s="81"/>
      <c r="DR554" s="81"/>
      <c r="DS554" s="81"/>
      <c r="DT554" s="81"/>
      <c r="DU554" s="81"/>
      <c r="DV554" s="81"/>
      <c r="DW554" s="121"/>
    </row>
    <row r="555" spans="1:127" x14ac:dyDescent="0.25">
      <c r="A555" s="2">
        <f>COUNTIF($D$2:D555,'Reporte de Nomina'!$E$2)</f>
        <v>0</v>
      </c>
      <c r="B555" s="125">
        <f>Lista!A554</f>
        <v>0</v>
      </c>
      <c r="C555" s="125">
        <f>Lista!B554</f>
        <v>0</v>
      </c>
      <c r="D555" s="125">
        <f>Lista!C554</f>
        <v>0</v>
      </c>
      <c r="E555" s="125">
        <f>Lista!D554</f>
        <v>0</v>
      </c>
      <c r="F555" s="125">
        <f>Lista!E554</f>
        <v>0</v>
      </c>
      <c r="G555" s="125">
        <f>Lista!F554</f>
        <v>0</v>
      </c>
      <c r="H555" s="125">
        <f>Lista!G554</f>
        <v>0</v>
      </c>
      <c r="I555" s="125">
        <f>Lista!H554</f>
        <v>0</v>
      </c>
      <c r="J555" s="125">
        <f>Lista!I554</f>
        <v>0</v>
      </c>
      <c r="K555" s="125">
        <f>Lista!J554</f>
        <v>0</v>
      </c>
      <c r="L555" s="125">
        <f>Lista!K554</f>
        <v>0</v>
      </c>
      <c r="M555" s="125">
        <f>Lista!L554</f>
        <v>0</v>
      </c>
      <c r="N555" s="125">
        <f>Lista!M554</f>
        <v>0</v>
      </c>
      <c r="O555" s="125">
        <f>Lista!N554</f>
        <v>0</v>
      </c>
      <c r="P555" s="125">
        <f>Lista!O554</f>
        <v>0</v>
      </c>
      <c r="Q555" s="125">
        <f>Lista!P554</f>
        <v>0</v>
      </c>
      <c r="R555" s="125">
        <f>Lista!Q554</f>
        <v>0</v>
      </c>
      <c r="S555" s="125">
        <f>Lista!R554</f>
        <v>0</v>
      </c>
      <c r="T555" s="81"/>
      <c r="U555" s="81"/>
      <c r="V555" s="81"/>
      <c r="W555" s="81"/>
      <c r="X555" s="81"/>
      <c r="Y555" s="81"/>
      <c r="Z555" s="81"/>
      <c r="AA555" s="81"/>
      <c r="AB555" s="81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  <c r="BS555" s="81"/>
      <c r="BT555" s="81"/>
      <c r="BU555" s="81"/>
      <c r="BV555" s="81"/>
      <c r="BW555" s="81"/>
      <c r="BX555" s="81"/>
      <c r="BY555" s="81"/>
      <c r="BZ555" s="81"/>
      <c r="CA555" s="81"/>
      <c r="CB555" s="81"/>
      <c r="CC555" s="81"/>
      <c r="CD555" s="81"/>
      <c r="CE555" s="81"/>
      <c r="CF555" s="81"/>
      <c r="CG555" s="81"/>
      <c r="CH555" s="81"/>
      <c r="CI555" s="81"/>
      <c r="CJ555" s="81"/>
      <c r="CK555" s="81"/>
      <c r="CL555" s="81"/>
      <c r="CM555" s="81"/>
      <c r="CN555" s="81"/>
      <c r="CO555" s="81"/>
      <c r="CP555" s="81"/>
      <c r="CQ555" s="81"/>
      <c r="CR555" s="81"/>
      <c r="CS555" s="81"/>
      <c r="CT555" s="81"/>
      <c r="CU555" s="81"/>
      <c r="CV555" s="81"/>
      <c r="CW555" s="81"/>
      <c r="CX555" s="81"/>
      <c r="CY555" s="81"/>
      <c r="CZ555" s="81"/>
      <c r="DA555" s="81"/>
      <c r="DB555" s="81"/>
      <c r="DC555" s="81"/>
      <c r="DD555" s="81"/>
      <c r="DE555" s="81"/>
      <c r="DF555" s="81"/>
      <c r="DG555" s="81"/>
      <c r="DH555" s="81"/>
      <c r="DI555" s="81"/>
      <c r="DJ555" s="81"/>
      <c r="DK555" s="81"/>
      <c r="DL555" s="81"/>
      <c r="DM555" s="81"/>
      <c r="DN555" s="81"/>
      <c r="DO555" s="81"/>
      <c r="DP555" s="81"/>
      <c r="DQ555" s="81"/>
      <c r="DR555" s="81"/>
      <c r="DS555" s="81"/>
      <c r="DT555" s="81"/>
      <c r="DU555" s="81"/>
      <c r="DV555" s="81"/>
      <c r="DW555" s="121"/>
    </row>
    <row r="556" spans="1:127" x14ac:dyDescent="0.25">
      <c r="A556" s="2">
        <f>COUNTIF($D$2:D556,'Reporte de Nomina'!$E$2)</f>
        <v>0</v>
      </c>
      <c r="B556" s="125">
        <f>Lista!A555</f>
        <v>0</v>
      </c>
      <c r="C556" s="125">
        <f>Lista!B555</f>
        <v>0</v>
      </c>
      <c r="D556" s="125">
        <f>Lista!C555</f>
        <v>0</v>
      </c>
      <c r="E556" s="125">
        <f>Lista!D555</f>
        <v>0</v>
      </c>
      <c r="F556" s="125">
        <f>Lista!E555</f>
        <v>0</v>
      </c>
      <c r="G556" s="125">
        <f>Lista!F555</f>
        <v>0</v>
      </c>
      <c r="H556" s="125">
        <f>Lista!G555</f>
        <v>0</v>
      </c>
      <c r="I556" s="125">
        <f>Lista!H555</f>
        <v>0</v>
      </c>
      <c r="J556" s="125">
        <f>Lista!I555</f>
        <v>0</v>
      </c>
      <c r="K556" s="125">
        <f>Lista!J555</f>
        <v>0</v>
      </c>
      <c r="L556" s="125">
        <f>Lista!K555</f>
        <v>0</v>
      </c>
      <c r="M556" s="125">
        <f>Lista!L555</f>
        <v>0</v>
      </c>
      <c r="N556" s="125">
        <f>Lista!M555</f>
        <v>0</v>
      </c>
      <c r="O556" s="125">
        <f>Lista!N555</f>
        <v>0</v>
      </c>
      <c r="P556" s="125">
        <f>Lista!O555</f>
        <v>0</v>
      </c>
      <c r="Q556" s="125">
        <f>Lista!P555</f>
        <v>0</v>
      </c>
      <c r="R556" s="125">
        <f>Lista!Q555</f>
        <v>0</v>
      </c>
      <c r="S556" s="125">
        <f>Lista!R555</f>
        <v>0</v>
      </c>
      <c r="T556" s="81"/>
      <c r="U556" s="81"/>
      <c r="V556" s="81"/>
      <c r="W556" s="81"/>
      <c r="X556" s="81"/>
      <c r="Y556" s="81"/>
      <c r="Z556" s="81"/>
      <c r="AA556" s="81"/>
      <c r="AB556" s="81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  <c r="BS556" s="81"/>
      <c r="BT556" s="81"/>
      <c r="BU556" s="81"/>
      <c r="BV556" s="81"/>
      <c r="BW556" s="81"/>
      <c r="BX556" s="81"/>
      <c r="BY556" s="81"/>
      <c r="BZ556" s="81"/>
      <c r="CA556" s="81"/>
      <c r="CB556" s="81"/>
      <c r="CC556" s="81"/>
      <c r="CD556" s="81"/>
      <c r="CE556" s="81"/>
      <c r="CF556" s="81"/>
      <c r="CG556" s="81"/>
      <c r="CH556" s="81"/>
      <c r="CI556" s="81"/>
      <c r="CJ556" s="81"/>
      <c r="CK556" s="81"/>
      <c r="CL556" s="81"/>
      <c r="CM556" s="81"/>
      <c r="CN556" s="81"/>
      <c r="CO556" s="81"/>
      <c r="CP556" s="81"/>
      <c r="CQ556" s="81"/>
      <c r="CR556" s="81"/>
      <c r="CS556" s="81"/>
      <c r="CT556" s="81"/>
      <c r="CU556" s="81"/>
      <c r="CV556" s="81"/>
      <c r="CW556" s="81"/>
      <c r="CX556" s="81"/>
      <c r="CY556" s="81"/>
      <c r="CZ556" s="81"/>
      <c r="DA556" s="81"/>
      <c r="DB556" s="81"/>
      <c r="DC556" s="81"/>
      <c r="DD556" s="81"/>
      <c r="DE556" s="81"/>
      <c r="DF556" s="81"/>
      <c r="DG556" s="81"/>
      <c r="DH556" s="81"/>
      <c r="DI556" s="81"/>
      <c r="DJ556" s="81"/>
      <c r="DK556" s="81"/>
      <c r="DL556" s="81"/>
      <c r="DM556" s="81"/>
      <c r="DN556" s="81"/>
      <c r="DO556" s="81"/>
      <c r="DP556" s="81"/>
      <c r="DQ556" s="81"/>
      <c r="DR556" s="81"/>
      <c r="DS556" s="81"/>
      <c r="DT556" s="81"/>
      <c r="DU556" s="81"/>
      <c r="DV556" s="81"/>
      <c r="DW556" s="121"/>
    </row>
    <row r="557" spans="1:127" x14ac:dyDescent="0.25">
      <c r="A557" s="2">
        <f>COUNTIF($D$2:D557,'Reporte de Nomina'!$E$2)</f>
        <v>0</v>
      </c>
      <c r="B557" s="125">
        <f>Lista!A556</f>
        <v>0</v>
      </c>
      <c r="C557" s="125">
        <f>Lista!B556</f>
        <v>0</v>
      </c>
      <c r="D557" s="125">
        <f>Lista!C556</f>
        <v>0</v>
      </c>
      <c r="E557" s="125">
        <f>Lista!D556</f>
        <v>0</v>
      </c>
      <c r="F557" s="125">
        <f>Lista!E556</f>
        <v>0</v>
      </c>
      <c r="G557" s="125">
        <f>Lista!F556</f>
        <v>0</v>
      </c>
      <c r="H557" s="125">
        <f>Lista!G556</f>
        <v>0</v>
      </c>
      <c r="I557" s="125">
        <f>Lista!H556</f>
        <v>0</v>
      </c>
      <c r="J557" s="125">
        <f>Lista!I556</f>
        <v>0</v>
      </c>
      <c r="K557" s="125">
        <f>Lista!J556</f>
        <v>0</v>
      </c>
      <c r="L557" s="125">
        <f>Lista!K556</f>
        <v>0</v>
      </c>
      <c r="M557" s="125">
        <f>Lista!L556</f>
        <v>0</v>
      </c>
      <c r="N557" s="125">
        <f>Lista!M556</f>
        <v>0</v>
      </c>
      <c r="O557" s="125">
        <f>Lista!N556</f>
        <v>0</v>
      </c>
      <c r="P557" s="125">
        <f>Lista!O556</f>
        <v>0</v>
      </c>
      <c r="Q557" s="125">
        <f>Lista!P556</f>
        <v>0</v>
      </c>
      <c r="R557" s="125">
        <f>Lista!Q556</f>
        <v>0</v>
      </c>
      <c r="S557" s="125">
        <f>Lista!R556</f>
        <v>0</v>
      </c>
      <c r="T557" s="81"/>
      <c r="U557" s="81"/>
      <c r="V557" s="81"/>
      <c r="W557" s="81"/>
      <c r="X557" s="81"/>
      <c r="Y557" s="81"/>
      <c r="Z557" s="81"/>
      <c r="AA557" s="81"/>
      <c r="AB557" s="81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  <c r="BS557" s="81"/>
      <c r="BT557" s="81"/>
      <c r="BU557" s="81"/>
      <c r="BV557" s="81"/>
      <c r="BW557" s="81"/>
      <c r="BX557" s="81"/>
      <c r="BY557" s="81"/>
      <c r="BZ557" s="81"/>
      <c r="CA557" s="81"/>
      <c r="CB557" s="81"/>
      <c r="CC557" s="81"/>
      <c r="CD557" s="81"/>
      <c r="CE557" s="81"/>
      <c r="CF557" s="81"/>
      <c r="CG557" s="81"/>
      <c r="CH557" s="81"/>
      <c r="CI557" s="81"/>
      <c r="CJ557" s="81"/>
      <c r="CK557" s="81"/>
      <c r="CL557" s="81"/>
      <c r="CM557" s="81"/>
      <c r="CN557" s="81"/>
      <c r="CO557" s="81"/>
      <c r="CP557" s="81"/>
      <c r="CQ557" s="81"/>
      <c r="CR557" s="81"/>
      <c r="CS557" s="81"/>
      <c r="CT557" s="81"/>
      <c r="CU557" s="81"/>
      <c r="CV557" s="81"/>
      <c r="CW557" s="81"/>
      <c r="CX557" s="81"/>
      <c r="CY557" s="81"/>
      <c r="CZ557" s="81"/>
      <c r="DA557" s="81"/>
      <c r="DB557" s="81"/>
      <c r="DC557" s="81"/>
      <c r="DD557" s="81"/>
      <c r="DE557" s="81"/>
      <c r="DF557" s="81"/>
      <c r="DG557" s="81"/>
      <c r="DH557" s="81"/>
      <c r="DI557" s="81"/>
      <c r="DJ557" s="81"/>
      <c r="DK557" s="81"/>
      <c r="DL557" s="81"/>
      <c r="DM557" s="81"/>
      <c r="DN557" s="81"/>
      <c r="DO557" s="81"/>
      <c r="DP557" s="81"/>
      <c r="DQ557" s="81"/>
      <c r="DR557" s="81"/>
      <c r="DS557" s="81"/>
      <c r="DT557" s="81"/>
      <c r="DU557" s="81"/>
      <c r="DV557" s="81"/>
      <c r="DW557" s="121"/>
    </row>
    <row r="558" spans="1:127" x14ac:dyDescent="0.25">
      <c r="A558" s="2">
        <f>COUNTIF($D$2:D558,'Reporte de Nomina'!$E$2)</f>
        <v>0</v>
      </c>
      <c r="B558" s="125">
        <f>Lista!A557</f>
        <v>0</v>
      </c>
      <c r="C558" s="125">
        <f>Lista!B557</f>
        <v>0</v>
      </c>
      <c r="D558" s="125">
        <f>Lista!C557</f>
        <v>0</v>
      </c>
      <c r="E558" s="125">
        <f>Lista!D557</f>
        <v>0</v>
      </c>
      <c r="F558" s="125">
        <f>Lista!E557</f>
        <v>0</v>
      </c>
      <c r="G558" s="125">
        <f>Lista!F557</f>
        <v>0</v>
      </c>
      <c r="H558" s="125">
        <f>Lista!G557</f>
        <v>0</v>
      </c>
      <c r="I558" s="125">
        <f>Lista!H557</f>
        <v>0</v>
      </c>
      <c r="J558" s="125">
        <f>Lista!I557</f>
        <v>0</v>
      </c>
      <c r="K558" s="125">
        <f>Lista!J557</f>
        <v>0</v>
      </c>
      <c r="L558" s="125">
        <f>Lista!K557</f>
        <v>0</v>
      </c>
      <c r="M558" s="125">
        <f>Lista!L557</f>
        <v>0</v>
      </c>
      <c r="N558" s="125">
        <f>Lista!M557</f>
        <v>0</v>
      </c>
      <c r="O558" s="125">
        <f>Lista!N557</f>
        <v>0</v>
      </c>
      <c r="P558" s="125">
        <f>Lista!O557</f>
        <v>0</v>
      </c>
      <c r="Q558" s="125">
        <f>Lista!P557</f>
        <v>0</v>
      </c>
      <c r="R558" s="125">
        <f>Lista!Q557</f>
        <v>0</v>
      </c>
      <c r="S558" s="125">
        <f>Lista!R557</f>
        <v>0</v>
      </c>
      <c r="T558" s="81"/>
      <c r="U558" s="81"/>
      <c r="V558" s="81"/>
      <c r="W558" s="81"/>
      <c r="X558" s="81"/>
      <c r="Y558" s="81"/>
      <c r="Z558" s="81"/>
      <c r="AA558" s="81"/>
      <c r="AB558" s="81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  <c r="BS558" s="81"/>
      <c r="BT558" s="81"/>
      <c r="BU558" s="81"/>
      <c r="BV558" s="81"/>
      <c r="BW558" s="81"/>
      <c r="BX558" s="81"/>
      <c r="BY558" s="81"/>
      <c r="BZ558" s="81"/>
      <c r="CA558" s="81"/>
      <c r="CB558" s="81"/>
      <c r="CC558" s="81"/>
      <c r="CD558" s="81"/>
      <c r="CE558" s="81"/>
      <c r="CF558" s="81"/>
      <c r="CG558" s="81"/>
      <c r="CH558" s="81"/>
      <c r="CI558" s="81"/>
      <c r="CJ558" s="81"/>
      <c r="CK558" s="81"/>
      <c r="CL558" s="81"/>
      <c r="CM558" s="81"/>
      <c r="CN558" s="81"/>
      <c r="CO558" s="81"/>
      <c r="CP558" s="81"/>
      <c r="CQ558" s="81"/>
      <c r="CR558" s="81"/>
      <c r="CS558" s="81"/>
      <c r="CT558" s="81"/>
      <c r="CU558" s="81"/>
      <c r="CV558" s="81"/>
      <c r="CW558" s="81"/>
      <c r="CX558" s="81"/>
      <c r="CY558" s="81"/>
      <c r="CZ558" s="81"/>
      <c r="DA558" s="81"/>
      <c r="DB558" s="81"/>
      <c r="DC558" s="81"/>
      <c r="DD558" s="81"/>
      <c r="DE558" s="81"/>
      <c r="DF558" s="81"/>
      <c r="DG558" s="81"/>
      <c r="DH558" s="81"/>
      <c r="DI558" s="81"/>
      <c r="DJ558" s="81"/>
      <c r="DK558" s="81"/>
      <c r="DL558" s="81"/>
      <c r="DM558" s="81"/>
      <c r="DN558" s="81"/>
      <c r="DO558" s="81"/>
      <c r="DP558" s="81"/>
      <c r="DQ558" s="81"/>
      <c r="DR558" s="81"/>
      <c r="DS558" s="81"/>
      <c r="DT558" s="81"/>
      <c r="DU558" s="81"/>
      <c r="DV558" s="81"/>
      <c r="DW558" s="121"/>
    </row>
    <row r="559" spans="1:127" x14ac:dyDescent="0.25">
      <c r="A559" s="2">
        <f>COUNTIF($D$2:D559,'Reporte de Nomina'!$E$2)</f>
        <v>0</v>
      </c>
      <c r="B559" s="125">
        <f>Lista!A558</f>
        <v>0</v>
      </c>
      <c r="C559" s="125">
        <f>Lista!B558</f>
        <v>0</v>
      </c>
      <c r="D559" s="125">
        <f>Lista!C558</f>
        <v>0</v>
      </c>
      <c r="E559" s="125">
        <f>Lista!D558</f>
        <v>0</v>
      </c>
      <c r="F559" s="125">
        <f>Lista!E558</f>
        <v>0</v>
      </c>
      <c r="G559" s="125">
        <f>Lista!F558</f>
        <v>0</v>
      </c>
      <c r="H559" s="125">
        <f>Lista!G558</f>
        <v>0</v>
      </c>
      <c r="I559" s="125">
        <f>Lista!H558</f>
        <v>0</v>
      </c>
      <c r="J559" s="125">
        <f>Lista!I558</f>
        <v>0</v>
      </c>
      <c r="K559" s="125">
        <f>Lista!J558</f>
        <v>0</v>
      </c>
      <c r="L559" s="125">
        <f>Lista!K558</f>
        <v>0</v>
      </c>
      <c r="M559" s="125">
        <f>Lista!L558</f>
        <v>0</v>
      </c>
      <c r="N559" s="125">
        <f>Lista!M558</f>
        <v>0</v>
      </c>
      <c r="O559" s="125">
        <f>Lista!N558</f>
        <v>0</v>
      </c>
      <c r="P559" s="125">
        <f>Lista!O558</f>
        <v>0</v>
      </c>
      <c r="Q559" s="125">
        <f>Lista!P558</f>
        <v>0</v>
      </c>
      <c r="R559" s="125">
        <f>Lista!Q558</f>
        <v>0</v>
      </c>
      <c r="S559" s="125">
        <f>Lista!R558</f>
        <v>0</v>
      </c>
      <c r="T559" s="81"/>
      <c r="U559" s="81"/>
      <c r="V559" s="81"/>
      <c r="W559" s="81"/>
      <c r="X559" s="81"/>
      <c r="Y559" s="81"/>
      <c r="Z559" s="81"/>
      <c r="AA559" s="81"/>
      <c r="AB559" s="81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  <c r="BS559" s="81"/>
      <c r="BT559" s="81"/>
      <c r="BU559" s="81"/>
      <c r="BV559" s="81"/>
      <c r="BW559" s="81"/>
      <c r="BX559" s="81"/>
      <c r="BY559" s="81"/>
      <c r="BZ559" s="81"/>
      <c r="CA559" s="81"/>
      <c r="CB559" s="81"/>
      <c r="CC559" s="81"/>
      <c r="CD559" s="81"/>
      <c r="CE559" s="81"/>
      <c r="CF559" s="81"/>
      <c r="CG559" s="81"/>
      <c r="CH559" s="81"/>
      <c r="CI559" s="81"/>
      <c r="CJ559" s="81"/>
      <c r="CK559" s="81"/>
      <c r="CL559" s="81"/>
      <c r="CM559" s="81"/>
      <c r="CN559" s="81"/>
      <c r="CO559" s="81"/>
      <c r="CP559" s="81"/>
      <c r="CQ559" s="81"/>
      <c r="CR559" s="81"/>
      <c r="CS559" s="81"/>
      <c r="CT559" s="81"/>
      <c r="CU559" s="81"/>
      <c r="CV559" s="81"/>
      <c r="CW559" s="81"/>
      <c r="CX559" s="81"/>
      <c r="CY559" s="81"/>
      <c r="CZ559" s="81"/>
      <c r="DA559" s="81"/>
      <c r="DB559" s="81"/>
      <c r="DC559" s="81"/>
      <c r="DD559" s="81"/>
      <c r="DE559" s="81"/>
      <c r="DF559" s="81"/>
      <c r="DG559" s="81"/>
      <c r="DH559" s="81"/>
      <c r="DI559" s="81"/>
      <c r="DJ559" s="81"/>
      <c r="DK559" s="81"/>
      <c r="DL559" s="81"/>
      <c r="DM559" s="81"/>
      <c r="DN559" s="81"/>
      <c r="DO559" s="81"/>
      <c r="DP559" s="81"/>
      <c r="DQ559" s="81"/>
      <c r="DR559" s="81"/>
      <c r="DS559" s="81"/>
      <c r="DT559" s="81"/>
      <c r="DU559" s="81"/>
      <c r="DV559" s="81"/>
      <c r="DW559" s="121"/>
    </row>
    <row r="560" spans="1:127" x14ac:dyDescent="0.25">
      <c r="A560" s="2">
        <f>COUNTIF($D$2:D560,'Reporte de Nomina'!$E$2)</f>
        <v>0</v>
      </c>
      <c r="B560" s="125">
        <f>Lista!A559</f>
        <v>0</v>
      </c>
      <c r="C560" s="125">
        <f>Lista!B559</f>
        <v>0</v>
      </c>
      <c r="D560" s="125">
        <f>Lista!C559</f>
        <v>0</v>
      </c>
      <c r="E560" s="125">
        <f>Lista!D559</f>
        <v>0</v>
      </c>
      <c r="F560" s="125">
        <f>Lista!E559</f>
        <v>0</v>
      </c>
      <c r="G560" s="125">
        <f>Lista!F559</f>
        <v>0</v>
      </c>
      <c r="H560" s="125">
        <f>Lista!G559</f>
        <v>0</v>
      </c>
      <c r="I560" s="125">
        <f>Lista!H559</f>
        <v>0</v>
      </c>
      <c r="J560" s="125">
        <f>Lista!I559</f>
        <v>0</v>
      </c>
      <c r="K560" s="125">
        <f>Lista!J559</f>
        <v>0</v>
      </c>
      <c r="L560" s="125">
        <f>Lista!K559</f>
        <v>0</v>
      </c>
      <c r="M560" s="125">
        <f>Lista!L559</f>
        <v>0</v>
      </c>
      <c r="N560" s="125">
        <f>Lista!M559</f>
        <v>0</v>
      </c>
      <c r="O560" s="125">
        <f>Lista!N559</f>
        <v>0</v>
      </c>
      <c r="P560" s="125">
        <f>Lista!O559</f>
        <v>0</v>
      </c>
      <c r="Q560" s="125">
        <f>Lista!P559</f>
        <v>0</v>
      </c>
      <c r="R560" s="125">
        <f>Lista!Q559</f>
        <v>0</v>
      </c>
      <c r="S560" s="125">
        <f>Lista!R559</f>
        <v>0</v>
      </c>
      <c r="T560" s="81"/>
      <c r="U560" s="81"/>
      <c r="V560" s="81"/>
      <c r="W560" s="81"/>
      <c r="X560" s="81"/>
      <c r="Y560" s="81"/>
      <c r="Z560" s="81"/>
      <c r="AA560" s="81"/>
      <c r="AB560" s="81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  <c r="BS560" s="81"/>
      <c r="BT560" s="81"/>
      <c r="BU560" s="81"/>
      <c r="BV560" s="81"/>
      <c r="BW560" s="81"/>
      <c r="BX560" s="81"/>
      <c r="BY560" s="81"/>
      <c r="BZ560" s="81"/>
      <c r="CA560" s="81"/>
      <c r="CB560" s="81"/>
      <c r="CC560" s="81"/>
      <c r="CD560" s="81"/>
      <c r="CE560" s="81"/>
      <c r="CF560" s="81"/>
      <c r="CG560" s="81"/>
      <c r="CH560" s="81"/>
      <c r="CI560" s="81"/>
      <c r="CJ560" s="81"/>
      <c r="CK560" s="81"/>
      <c r="CL560" s="81"/>
      <c r="CM560" s="81"/>
      <c r="CN560" s="81"/>
      <c r="CO560" s="81"/>
      <c r="CP560" s="81"/>
      <c r="CQ560" s="81"/>
      <c r="CR560" s="81"/>
      <c r="CS560" s="81"/>
      <c r="CT560" s="81"/>
      <c r="CU560" s="81"/>
      <c r="CV560" s="81"/>
      <c r="CW560" s="81"/>
      <c r="CX560" s="81"/>
      <c r="CY560" s="81"/>
      <c r="CZ560" s="81"/>
      <c r="DA560" s="81"/>
      <c r="DB560" s="81"/>
      <c r="DC560" s="81"/>
      <c r="DD560" s="81"/>
      <c r="DE560" s="81"/>
      <c r="DF560" s="81"/>
      <c r="DG560" s="81"/>
      <c r="DH560" s="81"/>
      <c r="DI560" s="81"/>
      <c r="DJ560" s="81"/>
      <c r="DK560" s="81"/>
      <c r="DL560" s="81"/>
      <c r="DM560" s="81"/>
      <c r="DN560" s="81"/>
      <c r="DO560" s="81"/>
      <c r="DP560" s="81"/>
      <c r="DQ560" s="81"/>
      <c r="DR560" s="81"/>
      <c r="DS560" s="81"/>
      <c r="DT560" s="81"/>
      <c r="DU560" s="81"/>
      <c r="DV560" s="81"/>
      <c r="DW560" s="121"/>
    </row>
    <row r="561" spans="1:127" x14ac:dyDescent="0.25">
      <c r="A561" s="2">
        <f>COUNTIF($D$2:D561,'Reporte de Nomina'!$E$2)</f>
        <v>0</v>
      </c>
      <c r="B561" s="125">
        <f>Lista!A560</f>
        <v>0</v>
      </c>
      <c r="C561" s="125">
        <f>Lista!B560</f>
        <v>0</v>
      </c>
      <c r="D561" s="125">
        <f>Lista!C560</f>
        <v>0</v>
      </c>
      <c r="E561" s="125">
        <f>Lista!D560</f>
        <v>0</v>
      </c>
      <c r="F561" s="125">
        <f>Lista!E560</f>
        <v>0</v>
      </c>
      <c r="G561" s="125">
        <f>Lista!F560</f>
        <v>0</v>
      </c>
      <c r="H561" s="125">
        <f>Lista!G560</f>
        <v>0</v>
      </c>
      <c r="I561" s="125">
        <f>Lista!H560</f>
        <v>0</v>
      </c>
      <c r="J561" s="125">
        <f>Lista!I560</f>
        <v>0</v>
      </c>
      <c r="K561" s="125">
        <f>Lista!J560</f>
        <v>0</v>
      </c>
      <c r="L561" s="125">
        <f>Lista!K560</f>
        <v>0</v>
      </c>
      <c r="M561" s="125">
        <f>Lista!L560</f>
        <v>0</v>
      </c>
      <c r="N561" s="125">
        <f>Lista!M560</f>
        <v>0</v>
      </c>
      <c r="O561" s="125">
        <f>Lista!N560</f>
        <v>0</v>
      </c>
      <c r="P561" s="125">
        <f>Lista!O560</f>
        <v>0</v>
      </c>
      <c r="Q561" s="125">
        <f>Lista!P560</f>
        <v>0</v>
      </c>
      <c r="R561" s="125">
        <f>Lista!Q560</f>
        <v>0</v>
      </c>
      <c r="S561" s="125">
        <f>Lista!R560</f>
        <v>0</v>
      </c>
      <c r="T561" s="81"/>
      <c r="U561" s="81"/>
      <c r="V561" s="81"/>
      <c r="W561" s="81"/>
      <c r="X561" s="81"/>
      <c r="Y561" s="81"/>
      <c r="Z561" s="81"/>
      <c r="AA561" s="81"/>
      <c r="AB561" s="81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  <c r="BS561" s="81"/>
      <c r="BT561" s="81"/>
      <c r="BU561" s="81"/>
      <c r="BV561" s="81"/>
      <c r="BW561" s="81"/>
      <c r="BX561" s="81"/>
      <c r="BY561" s="81"/>
      <c r="BZ561" s="81"/>
      <c r="CA561" s="81"/>
      <c r="CB561" s="81"/>
      <c r="CC561" s="81"/>
      <c r="CD561" s="81"/>
      <c r="CE561" s="81"/>
      <c r="CF561" s="81"/>
      <c r="CG561" s="81"/>
      <c r="CH561" s="81"/>
      <c r="CI561" s="81"/>
      <c r="CJ561" s="81"/>
      <c r="CK561" s="81"/>
      <c r="CL561" s="81"/>
      <c r="CM561" s="81"/>
      <c r="CN561" s="81"/>
      <c r="CO561" s="81"/>
      <c r="CP561" s="81"/>
      <c r="CQ561" s="81"/>
      <c r="CR561" s="81"/>
      <c r="CS561" s="81"/>
      <c r="CT561" s="81"/>
      <c r="CU561" s="81"/>
      <c r="CV561" s="81"/>
      <c r="CW561" s="81"/>
      <c r="CX561" s="81"/>
      <c r="CY561" s="81"/>
      <c r="CZ561" s="81"/>
      <c r="DA561" s="81"/>
      <c r="DB561" s="81"/>
      <c r="DC561" s="81"/>
      <c r="DD561" s="81"/>
      <c r="DE561" s="81"/>
      <c r="DF561" s="81"/>
      <c r="DG561" s="81"/>
      <c r="DH561" s="81"/>
      <c r="DI561" s="81"/>
      <c r="DJ561" s="81"/>
      <c r="DK561" s="81"/>
      <c r="DL561" s="81"/>
      <c r="DM561" s="81"/>
      <c r="DN561" s="81"/>
      <c r="DO561" s="81"/>
      <c r="DP561" s="81"/>
      <c r="DQ561" s="81"/>
      <c r="DR561" s="81"/>
      <c r="DS561" s="81"/>
      <c r="DT561" s="81"/>
      <c r="DU561" s="81"/>
      <c r="DV561" s="81"/>
      <c r="DW561" s="121"/>
    </row>
    <row r="562" spans="1:127" x14ac:dyDescent="0.25">
      <c r="A562" s="2">
        <f>COUNTIF($D$2:D562,'Reporte de Nomina'!$E$2)</f>
        <v>0</v>
      </c>
      <c r="B562" s="125">
        <f>Lista!A561</f>
        <v>0</v>
      </c>
      <c r="C562" s="125">
        <f>Lista!B561</f>
        <v>0</v>
      </c>
      <c r="D562" s="125">
        <f>Lista!C561</f>
        <v>0</v>
      </c>
      <c r="E562" s="125">
        <f>Lista!D561</f>
        <v>0</v>
      </c>
      <c r="F562" s="125">
        <f>Lista!E561</f>
        <v>0</v>
      </c>
      <c r="G562" s="125">
        <f>Lista!F561</f>
        <v>0</v>
      </c>
      <c r="H562" s="125">
        <f>Lista!G561</f>
        <v>0</v>
      </c>
      <c r="I562" s="125">
        <f>Lista!H561</f>
        <v>0</v>
      </c>
      <c r="J562" s="125">
        <f>Lista!I561</f>
        <v>0</v>
      </c>
      <c r="K562" s="125">
        <f>Lista!J561</f>
        <v>0</v>
      </c>
      <c r="L562" s="125">
        <f>Lista!K561</f>
        <v>0</v>
      </c>
      <c r="M562" s="125">
        <f>Lista!L561</f>
        <v>0</v>
      </c>
      <c r="N562" s="125">
        <f>Lista!M561</f>
        <v>0</v>
      </c>
      <c r="O562" s="125">
        <f>Lista!N561</f>
        <v>0</v>
      </c>
      <c r="P562" s="125">
        <f>Lista!O561</f>
        <v>0</v>
      </c>
      <c r="Q562" s="125">
        <f>Lista!P561</f>
        <v>0</v>
      </c>
      <c r="R562" s="125">
        <f>Lista!Q561</f>
        <v>0</v>
      </c>
      <c r="S562" s="125">
        <f>Lista!R561</f>
        <v>0</v>
      </c>
      <c r="T562" s="81"/>
      <c r="U562" s="81"/>
      <c r="V562" s="81"/>
      <c r="W562" s="81"/>
      <c r="X562" s="81"/>
      <c r="Y562" s="81"/>
      <c r="Z562" s="81"/>
      <c r="AA562" s="81"/>
      <c r="AB562" s="81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  <c r="BS562" s="81"/>
      <c r="BT562" s="81"/>
      <c r="BU562" s="81"/>
      <c r="BV562" s="81"/>
      <c r="BW562" s="81"/>
      <c r="BX562" s="81"/>
      <c r="BY562" s="81"/>
      <c r="BZ562" s="81"/>
      <c r="CA562" s="81"/>
      <c r="CB562" s="81"/>
      <c r="CC562" s="81"/>
      <c r="CD562" s="81"/>
      <c r="CE562" s="81"/>
      <c r="CF562" s="81"/>
      <c r="CG562" s="81"/>
      <c r="CH562" s="81"/>
      <c r="CI562" s="81"/>
      <c r="CJ562" s="81"/>
      <c r="CK562" s="81"/>
      <c r="CL562" s="81"/>
      <c r="CM562" s="81"/>
      <c r="CN562" s="81"/>
      <c r="CO562" s="81"/>
      <c r="CP562" s="81"/>
      <c r="CQ562" s="81"/>
      <c r="CR562" s="81"/>
      <c r="CS562" s="81"/>
      <c r="CT562" s="81"/>
      <c r="CU562" s="81"/>
      <c r="CV562" s="81"/>
      <c r="CW562" s="81"/>
      <c r="CX562" s="81"/>
      <c r="CY562" s="81"/>
      <c r="CZ562" s="81"/>
      <c r="DA562" s="81"/>
      <c r="DB562" s="81"/>
      <c r="DC562" s="81"/>
      <c r="DD562" s="81"/>
      <c r="DE562" s="81"/>
      <c r="DF562" s="81"/>
      <c r="DG562" s="81"/>
      <c r="DH562" s="81"/>
      <c r="DI562" s="81"/>
      <c r="DJ562" s="81"/>
      <c r="DK562" s="81"/>
      <c r="DL562" s="81"/>
      <c r="DM562" s="81"/>
      <c r="DN562" s="81"/>
      <c r="DO562" s="81"/>
      <c r="DP562" s="81"/>
      <c r="DQ562" s="81"/>
      <c r="DR562" s="81"/>
      <c r="DS562" s="81"/>
      <c r="DT562" s="81"/>
      <c r="DU562" s="81"/>
      <c r="DV562" s="81"/>
      <c r="DW562" s="121"/>
    </row>
    <row r="563" spans="1:127" x14ac:dyDescent="0.25">
      <c r="A563" s="2">
        <f>COUNTIF($D$2:D563,'Reporte de Nomina'!$E$2)</f>
        <v>0</v>
      </c>
      <c r="B563" s="125">
        <f>Lista!A562</f>
        <v>0</v>
      </c>
      <c r="C563" s="125">
        <f>Lista!B562</f>
        <v>0</v>
      </c>
      <c r="D563" s="125">
        <f>Lista!C562</f>
        <v>0</v>
      </c>
      <c r="E563" s="125">
        <f>Lista!D562</f>
        <v>0</v>
      </c>
      <c r="F563" s="125">
        <f>Lista!E562</f>
        <v>0</v>
      </c>
      <c r="G563" s="125">
        <f>Lista!F562</f>
        <v>0</v>
      </c>
      <c r="H563" s="125">
        <f>Lista!G562</f>
        <v>0</v>
      </c>
      <c r="I563" s="125">
        <f>Lista!H562</f>
        <v>0</v>
      </c>
      <c r="J563" s="125">
        <f>Lista!I562</f>
        <v>0</v>
      </c>
      <c r="K563" s="125">
        <f>Lista!J562</f>
        <v>0</v>
      </c>
      <c r="L563" s="125">
        <f>Lista!K562</f>
        <v>0</v>
      </c>
      <c r="M563" s="125">
        <f>Lista!L562</f>
        <v>0</v>
      </c>
      <c r="N563" s="125">
        <f>Lista!M562</f>
        <v>0</v>
      </c>
      <c r="O563" s="125">
        <f>Lista!N562</f>
        <v>0</v>
      </c>
      <c r="P563" s="125">
        <f>Lista!O562</f>
        <v>0</v>
      </c>
      <c r="Q563" s="125">
        <f>Lista!P562</f>
        <v>0</v>
      </c>
      <c r="R563" s="125">
        <f>Lista!Q562</f>
        <v>0</v>
      </c>
      <c r="S563" s="125">
        <f>Lista!R562</f>
        <v>0</v>
      </c>
      <c r="T563" s="81"/>
      <c r="U563" s="81"/>
      <c r="V563" s="81"/>
      <c r="W563" s="81"/>
      <c r="X563" s="81"/>
      <c r="Y563" s="81"/>
      <c r="Z563" s="81"/>
      <c r="AA563" s="81"/>
      <c r="AB563" s="81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  <c r="BS563" s="81"/>
      <c r="BT563" s="81"/>
      <c r="BU563" s="81"/>
      <c r="BV563" s="81"/>
      <c r="BW563" s="81"/>
      <c r="BX563" s="81"/>
      <c r="BY563" s="81"/>
      <c r="BZ563" s="81"/>
      <c r="CA563" s="81"/>
      <c r="CB563" s="81"/>
      <c r="CC563" s="81"/>
      <c r="CD563" s="81"/>
      <c r="CE563" s="81"/>
      <c r="CF563" s="81"/>
      <c r="CG563" s="81"/>
      <c r="CH563" s="81"/>
      <c r="CI563" s="81"/>
      <c r="CJ563" s="81"/>
      <c r="CK563" s="81"/>
      <c r="CL563" s="81"/>
      <c r="CM563" s="81"/>
      <c r="CN563" s="81"/>
      <c r="CO563" s="81"/>
      <c r="CP563" s="81"/>
      <c r="CQ563" s="81"/>
      <c r="CR563" s="81"/>
      <c r="CS563" s="81"/>
      <c r="CT563" s="81"/>
      <c r="CU563" s="81"/>
      <c r="CV563" s="81"/>
      <c r="CW563" s="81"/>
      <c r="CX563" s="81"/>
      <c r="CY563" s="81"/>
      <c r="CZ563" s="81"/>
      <c r="DA563" s="81"/>
      <c r="DB563" s="81"/>
      <c r="DC563" s="81"/>
      <c r="DD563" s="81"/>
      <c r="DE563" s="81"/>
      <c r="DF563" s="81"/>
      <c r="DG563" s="81"/>
      <c r="DH563" s="81"/>
      <c r="DI563" s="81"/>
      <c r="DJ563" s="81"/>
      <c r="DK563" s="81"/>
      <c r="DL563" s="81"/>
      <c r="DM563" s="81"/>
      <c r="DN563" s="81"/>
      <c r="DO563" s="81"/>
      <c r="DP563" s="81"/>
      <c r="DQ563" s="81"/>
      <c r="DR563" s="81"/>
      <c r="DS563" s="81"/>
      <c r="DT563" s="81"/>
      <c r="DU563" s="81"/>
      <c r="DV563" s="81"/>
      <c r="DW563" s="121"/>
    </row>
    <row r="564" spans="1:127" x14ac:dyDescent="0.25">
      <c r="A564" s="2">
        <f>COUNTIF($D$2:D564,'Reporte de Nomina'!$E$2)</f>
        <v>0</v>
      </c>
      <c r="B564" s="125">
        <f>Lista!A563</f>
        <v>0</v>
      </c>
      <c r="C564" s="125">
        <f>Lista!B563</f>
        <v>0</v>
      </c>
      <c r="D564" s="125">
        <f>Lista!C563</f>
        <v>0</v>
      </c>
      <c r="E564" s="125">
        <f>Lista!D563</f>
        <v>0</v>
      </c>
      <c r="F564" s="125">
        <f>Lista!E563</f>
        <v>0</v>
      </c>
      <c r="G564" s="125">
        <f>Lista!F563</f>
        <v>0</v>
      </c>
      <c r="H564" s="125">
        <f>Lista!G563</f>
        <v>0</v>
      </c>
      <c r="I564" s="125">
        <f>Lista!H563</f>
        <v>0</v>
      </c>
      <c r="J564" s="125">
        <f>Lista!I563</f>
        <v>0</v>
      </c>
      <c r="K564" s="125">
        <f>Lista!J563</f>
        <v>0</v>
      </c>
      <c r="L564" s="125">
        <f>Lista!K563</f>
        <v>0</v>
      </c>
      <c r="M564" s="125">
        <f>Lista!L563</f>
        <v>0</v>
      </c>
      <c r="N564" s="125">
        <f>Lista!M563</f>
        <v>0</v>
      </c>
      <c r="O564" s="125">
        <f>Lista!N563</f>
        <v>0</v>
      </c>
      <c r="P564" s="125">
        <f>Lista!O563</f>
        <v>0</v>
      </c>
      <c r="Q564" s="125">
        <f>Lista!P563</f>
        <v>0</v>
      </c>
      <c r="R564" s="125">
        <f>Lista!Q563</f>
        <v>0</v>
      </c>
      <c r="S564" s="125">
        <f>Lista!R563</f>
        <v>0</v>
      </c>
      <c r="T564" s="81"/>
      <c r="U564" s="81"/>
      <c r="V564" s="81"/>
      <c r="W564" s="81"/>
      <c r="X564" s="81"/>
      <c r="Y564" s="81"/>
      <c r="Z564" s="81"/>
      <c r="AA564" s="81"/>
      <c r="AB564" s="81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  <c r="BS564" s="81"/>
      <c r="BT564" s="81"/>
      <c r="BU564" s="81"/>
      <c r="BV564" s="81"/>
      <c r="BW564" s="81"/>
      <c r="BX564" s="81"/>
      <c r="BY564" s="81"/>
      <c r="BZ564" s="81"/>
      <c r="CA564" s="81"/>
      <c r="CB564" s="81"/>
      <c r="CC564" s="81"/>
      <c r="CD564" s="81"/>
      <c r="CE564" s="81"/>
      <c r="CF564" s="81"/>
      <c r="CG564" s="81"/>
      <c r="CH564" s="81"/>
      <c r="CI564" s="81"/>
      <c r="CJ564" s="81"/>
      <c r="CK564" s="81"/>
      <c r="CL564" s="81"/>
      <c r="CM564" s="81"/>
      <c r="CN564" s="81"/>
      <c r="CO564" s="81"/>
      <c r="CP564" s="81"/>
      <c r="CQ564" s="81"/>
      <c r="CR564" s="81"/>
      <c r="CS564" s="81"/>
      <c r="CT564" s="81"/>
      <c r="CU564" s="81"/>
      <c r="CV564" s="81"/>
      <c r="CW564" s="81"/>
      <c r="CX564" s="81"/>
      <c r="CY564" s="81"/>
      <c r="CZ564" s="81"/>
      <c r="DA564" s="81"/>
      <c r="DB564" s="81"/>
      <c r="DC564" s="81"/>
      <c r="DD564" s="81"/>
      <c r="DE564" s="81"/>
      <c r="DF564" s="81"/>
      <c r="DG564" s="81"/>
      <c r="DH564" s="81"/>
      <c r="DI564" s="81"/>
      <c r="DJ564" s="81"/>
      <c r="DK564" s="81"/>
      <c r="DL564" s="81"/>
      <c r="DM564" s="81"/>
      <c r="DN564" s="81"/>
      <c r="DO564" s="81"/>
      <c r="DP564" s="81"/>
      <c r="DQ564" s="81"/>
      <c r="DR564" s="81"/>
      <c r="DS564" s="81"/>
      <c r="DT564" s="81"/>
      <c r="DU564" s="81"/>
      <c r="DV564" s="81"/>
      <c r="DW564" s="121"/>
    </row>
    <row r="565" spans="1:127" x14ac:dyDescent="0.25">
      <c r="A565" s="2">
        <f>COUNTIF($D$2:D565,'Reporte de Nomina'!$E$2)</f>
        <v>0</v>
      </c>
      <c r="B565" s="125">
        <f>Lista!A564</f>
        <v>0</v>
      </c>
      <c r="C565" s="125">
        <f>Lista!B564</f>
        <v>0</v>
      </c>
      <c r="D565" s="125">
        <f>Lista!C564</f>
        <v>0</v>
      </c>
      <c r="E565" s="125">
        <f>Lista!D564</f>
        <v>0</v>
      </c>
      <c r="F565" s="125">
        <f>Lista!E564</f>
        <v>0</v>
      </c>
      <c r="G565" s="125">
        <f>Lista!F564</f>
        <v>0</v>
      </c>
      <c r="H565" s="125">
        <f>Lista!G564</f>
        <v>0</v>
      </c>
      <c r="I565" s="125">
        <f>Lista!H564</f>
        <v>0</v>
      </c>
      <c r="J565" s="125">
        <f>Lista!I564</f>
        <v>0</v>
      </c>
      <c r="K565" s="125">
        <f>Lista!J564</f>
        <v>0</v>
      </c>
      <c r="L565" s="125">
        <f>Lista!K564</f>
        <v>0</v>
      </c>
      <c r="M565" s="125">
        <f>Lista!L564</f>
        <v>0</v>
      </c>
      <c r="N565" s="125">
        <f>Lista!M564</f>
        <v>0</v>
      </c>
      <c r="O565" s="125">
        <f>Lista!N564</f>
        <v>0</v>
      </c>
      <c r="P565" s="125">
        <f>Lista!O564</f>
        <v>0</v>
      </c>
      <c r="Q565" s="125">
        <f>Lista!P564</f>
        <v>0</v>
      </c>
      <c r="R565" s="125">
        <f>Lista!Q564</f>
        <v>0</v>
      </c>
      <c r="S565" s="125">
        <f>Lista!R564</f>
        <v>0</v>
      </c>
      <c r="T565" s="81"/>
      <c r="U565" s="81"/>
      <c r="V565" s="81"/>
      <c r="W565" s="81"/>
      <c r="X565" s="81"/>
      <c r="Y565" s="81"/>
      <c r="Z565" s="81"/>
      <c r="AA565" s="81"/>
      <c r="AB565" s="81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  <c r="BS565" s="81"/>
      <c r="BT565" s="81"/>
      <c r="BU565" s="81"/>
      <c r="BV565" s="81"/>
      <c r="BW565" s="81"/>
      <c r="BX565" s="81"/>
      <c r="BY565" s="81"/>
      <c r="BZ565" s="81"/>
      <c r="CA565" s="81"/>
      <c r="CB565" s="81"/>
      <c r="CC565" s="81"/>
      <c r="CD565" s="81"/>
      <c r="CE565" s="81"/>
      <c r="CF565" s="81"/>
      <c r="CG565" s="81"/>
      <c r="CH565" s="81"/>
      <c r="CI565" s="81"/>
      <c r="CJ565" s="81"/>
      <c r="CK565" s="81"/>
      <c r="CL565" s="81"/>
      <c r="CM565" s="81"/>
      <c r="CN565" s="81"/>
      <c r="CO565" s="81"/>
      <c r="CP565" s="81"/>
      <c r="CQ565" s="81"/>
      <c r="CR565" s="81"/>
      <c r="CS565" s="81"/>
      <c r="CT565" s="81"/>
      <c r="CU565" s="81"/>
      <c r="CV565" s="81"/>
      <c r="CW565" s="81"/>
      <c r="CX565" s="81"/>
      <c r="CY565" s="81"/>
      <c r="CZ565" s="81"/>
      <c r="DA565" s="81"/>
      <c r="DB565" s="81"/>
      <c r="DC565" s="81"/>
      <c r="DD565" s="81"/>
      <c r="DE565" s="81"/>
      <c r="DF565" s="81"/>
      <c r="DG565" s="81"/>
      <c r="DH565" s="81"/>
      <c r="DI565" s="81"/>
      <c r="DJ565" s="81"/>
      <c r="DK565" s="81"/>
      <c r="DL565" s="81"/>
      <c r="DM565" s="81"/>
      <c r="DN565" s="81"/>
      <c r="DO565" s="81"/>
      <c r="DP565" s="81"/>
      <c r="DQ565" s="81"/>
      <c r="DR565" s="81"/>
      <c r="DS565" s="81"/>
      <c r="DT565" s="81"/>
      <c r="DU565" s="81"/>
      <c r="DV565" s="81"/>
      <c r="DW565" s="121"/>
    </row>
    <row r="566" spans="1:127" x14ac:dyDescent="0.25">
      <c r="A566" s="2">
        <f>COUNTIF($D$2:D566,'Reporte de Nomina'!$E$2)</f>
        <v>0</v>
      </c>
      <c r="B566" s="125">
        <f>Lista!A565</f>
        <v>0</v>
      </c>
      <c r="C566" s="125">
        <f>Lista!B565</f>
        <v>0</v>
      </c>
      <c r="D566" s="125">
        <f>Lista!C565</f>
        <v>0</v>
      </c>
      <c r="E566" s="125">
        <f>Lista!D565</f>
        <v>0</v>
      </c>
      <c r="F566" s="125">
        <f>Lista!E565</f>
        <v>0</v>
      </c>
      <c r="G566" s="125">
        <f>Lista!F565</f>
        <v>0</v>
      </c>
      <c r="H566" s="125">
        <f>Lista!G565</f>
        <v>0</v>
      </c>
      <c r="I566" s="125">
        <f>Lista!H565</f>
        <v>0</v>
      </c>
      <c r="J566" s="125">
        <f>Lista!I565</f>
        <v>0</v>
      </c>
      <c r="K566" s="125">
        <f>Lista!J565</f>
        <v>0</v>
      </c>
      <c r="L566" s="125">
        <f>Lista!K565</f>
        <v>0</v>
      </c>
      <c r="M566" s="125">
        <f>Lista!L565</f>
        <v>0</v>
      </c>
      <c r="N566" s="125">
        <f>Lista!M565</f>
        <v>0</v>
      </c>
      <c r="O566" s="125">
        <f>Lista!N565</f>
        <v>0</v>
      </c>
      <c r="P566" s="125">
        <f>Lista!O565</f>
        <v>0</v>
      </c>
      <c r="Q566" s="125">
        <f>Lista!P565</f>
        <v>0</v>
      </c>
      <c r="R566" s="125">
        <f>Lista!Q565</f>
        <v>0</v>
      </c>
      <c r="S566" s="125">
        <f>Lista!R565</f>
        <v>0</v>
      </c>
      <c r="T566" s="81"/>
      <c r="U566" s="81"/>
      <c r="V566" s="81"/>
      <c r="W566" s="81"/>
      <c r="X566" s="81"/>
      <c r="Y566" s="81"/>
      <c r="Z566" s="81"/>
      <c r="AA566" s="81"/>
      <c r="AB566" s="81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  <c r="BS566" s="81"/>
      <c r="BT566" s="81"/>
      <c r="BU566" s="81"/>
      <c r="BV566" s="81"/>
      <c r="BW566" s="81"/>
      <c r="BX566" s="81"/>
      <c r="BY566" s="81"/>
      <c r="BZ566" s="81"/>
      <c r="CA566" s="81"/>
      <c r="CB566" s="81"/>
      <c r="CC566" s="81"/>
      <c r="CD566" s="81"/>
      <c r="CE566" s="81"/>
      <c r="CF566" s="81"/>
      <c r="CG566" s="81"/>
      <c r="CH566" s="81"/>
      <c r="CI566" s="81"/>
      <c r="CJ566" s="81"/>
      <c r="CK566" s="81"/>
      <c r="CL566" s="81"/>
      <c r="CM566" s="81"/>
      <c r="CN566" s="81"/>
      <c r="CO566" s="81"/>
      <c r="CP566" s="81"/>
      <c r="CQ566" s="81"/>
      <c r="CR566" s="81"/>
      <c r="CS566" s="81"/>
      <c r="CT566" s="81"/>
      <c r="CU566" s="81"/>
      <c r="CV566" s="81"/>
      <c r="CW566" s="81"/>
      <c r="CX566" s="81"/>
      <c r="CY566" s="81"/>
      <c r="CZ566" s="81"/>
      <c r="DA566" s="81"/>
      <c r="DB566" s="81"/>
      <c r="DC566" s="81"/>
      <c r="DD566" s="81"/>
      <c r="DE566" s="81"/>
      <c r="DF566" s="81"/>
      <c r="DG566" s="81"/>
      <c r="DH566" s="81"/>
      <c r="DI566" s="81"/>
      <c r="DJ566" s="81"/>
      <c r="DK566" s="81"/>
      <c r="DL566" s="81"/>
      <c r="DM566" s="81"/>
      <c r="DN566" s="81"/>
      <c r="DO566" s="81"/>
      <c r="DP566" s="81"/>
      <c r="DQ566" s="81"/>
      <c r="DR566" s="81"/>
      <c r="DS566" s="81"/>
      <c r="DT566" s="81"/>
      <c r="DU566" s="81"/>
      <c r="DV566" s="81"/>
      <c r="DW566" s="121"/>
    </row>
    <row r="567" spans="1:127" x14ac:dyDescent="0.25">
      <c r="A567" s="2">
        <f>COUNTIF($D$2:D567,'Reporte de Nomina'!$E$2)</f>
        <v>0</v>
      </c>
      <c r="B567" s="125">
        <f>Lista!A566</f>
        <v>0</v>
      </c>
      <c r="C567" s="125">
        <f>Lista!B566</f>
        <v>0</v>
      </c>
      <c r="D567" s="125">
        <f>Lista!C566</f>
        <v>0</v>
      </c>
      <c r="E567" s="125">
        <f>Lista!D566</f>
        <v>0</v>
      </c>
      <c r="F567" s="125">
        <f>Lista!E566</f>
        <v>0</v>
      </c>
      <c r="G567" s="125">
        <f>Lista!F566</f>
        <v>0</v>
      </c>
      <c r="H567" s="125">
        <f>Lista!G566</f>
        <v>0</v>
      </c>
      <c r="I567" s="125">
        <f>Lista!H566</f>
        <v>0</v>
      </c>
      <c r="J567" s="125">
        <f>Lista!I566</f>
        <v>0</v>
      </c>
      <c r="K567" s="125">
        <f>Lista!J566</f>
        <v>0</v>
      </c>
      <c r="L567" s="125">
        <f>Lista!K566</f>
        <v>0</v>
      </c>
      <c r="M567" s="125">
        <f>Lista!L566</f>
        <v>0</v>
      </c>
      <c r="N567" s="125">
        <f>Lista!M566</f>
        <v>0</v>
      </c>
      <c r="O567" s="125">
        <f>Lista!N566</f>
        <v>0</v>
      </c>
      <c r="P567" s="125">
        <f>Lista!O566</f>
        <v>0</v>
      </c>
      <c r="Q567" s="125">
        <f>Lista!P566</f>
        <v>0</v>
      </c>
      <c r="R567" s="125">
        <f>Lista!Q566</f>
        <v>0</v>
      </c>
      <c r="S567" s="125">
        <f>Lista!R566</f>
        <v>0</v>
      </c>
      <c r="T567" s="81"/>
      <c r="U567" s="81"/>
      <c r="V567" s="81"/>
      <c r="W567" s="81"/>
      <c r="X567" s="81"/>
      <c r="Y567" s="81"/>
      <c r="Z567" s="81"/>
      <c r="AA567" s="81"/>
      <c r="AB567" s="81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  <c r="BS567" s="81"/>
      <c r="BT567" s="81"/>
      <c r="BU567" s="81"/>
      <c r="BV567" s="81"/>
      <c r="BW567" s="81"/>
      <c r="BX567" s="81"/>
      <c r="BY567" s="81"/>
      <c r="BZ567" s="81"/>
      <c r="CA567" s="81"/>
      <c r="CB567" s="81"/>
      <c r="CC567" s="81"/>
      <c r="CD567" s="81"/>
      <c r="CE567" s="81"/>
      <c r="CF567" s="81"/>
      <c r="CG567" s="81"/>
      <c r="CH567" s="81"/>
      <c r="CI567" s="81"/>
      <c r="CJ567" s="81"/>
      <c r="CK567" s="81"/>
      <c r="CL567" s="81"/>
      <c r="CM567" s="81"/>
      <c r="CN567" s="81"/>
      <c r="CO567" s="81"/>
      <c r="CP567" s="81"/>
      <c r="CQ567" s="81"/>
      <c r="CR567" s="81"/>
      <c r="CS567" s="81"/>
      <c r="CT567" s="81"/>
      <c r="CU567" s="81"/>
      <c r="CV567" s="81"/>
      <c r="CW567" s="81"/>
      <c r="CX567" s="81"/>
      <c r="CY567" s="81"/>
      <c r="CZ567" s="81"/>
      <c r="DA567" s="81"/>
      <c r="DB567" s="81"/>
      <c r="DC567" s="81"/>
      <c r="DD567" s="81"/>
      <c r="DE567" s="81"/>
      <c r="DF567" s="81"/>
      <c r="DG567" s="81"/>
      <c r="DH567" s="81"/>
      <c r="DI567" s="81"/>
      <c r="DJ567" s="81"/>
      <c r="DK567" s="81"/>
      <c r="DL567" s="81"/>
      <c r="DM567" s="81"/>
      <c r="DN567" s="81"/>
      <c r="DO567" s="81"/>
      <c r="DP567" s="81"/>
      <c r="DQ567" s="81"/>
      <c r="DR567" s="81"/>
      <c r="DS567" s="81"/>
      <c r="DT567" s="81"/>
      <c r="DU567" s="81"/>
      <c r="DV567" s="81"/>
      <c r="DW567" s="121"/>
    </row>
    <row r="568" spans="1:127" x14ac:dyDescent="0.25">
      <c r="A568" s="2">
        <f>COUNTIF($D$2:D568,'Reporte de Nomina'!$E$2)</f>
        <v>0</v>
      </c>
      <c r="B568" s="125">
        <f>Lista!A567</f>
        <v>0</v>
      </c>
      <c r="C568" s="125">
        <f>Lista!B567</f>
        <v>0</v>
      </c>
      <c r="D568" s="125">
        <f>Lista!C567</f>
        <v>0</v>
      </c>
      <c r="E568" s="125">
        <f>Lista!D567</f>
        <v>0</v>
      </c>
      <c r="F568" s="125">
        <f>Lista!E567</f>
        <v>0</v>
      </c>
      <c r="G568" s="125">
        <f>Lista!F567</f>
        <v>0</v>
      </c>
      <c r="H568" s="125">
        <f>Lista!G567</f>
        <v>0</v>
      </c>
      <c r="I568" s="125">
        <f>Lista!H567</f>
        <v>0</v>
      </c>
      <c r="J568" s="125">
        <f>Lista!I567</f>
        <v>0</v>
      </c>
      <c r="K568" s="125">
        <f>Lista!J567</f>
        <v>0</v>
      </c>
      <c r="L568" s="125">
        <f>Lista!K567</f>
        <v>0</v>
      </c>
      <c r="M568" s="125">
        <f>Lista!L567</f>
        <v>0</v>
      </c>
      <c r="N568" s="125">
        <f>Lista!M567</f>
        <v>0</v>
      </c>
      <c r="O568" s="125">
        <f>Lista!N567</f>
        <v>0</v>
      </c>
      <c r="P568" s="125">
        <f>Lista!O567</f>
        <v>0</v>
      </c>
      <c r="Q568" s="125">
        <f>Lista!P567</f>
        <v>0</v>
      </c>
      <c r="R568" s="125">
        <f>Lista!Q567</f>
        <v>0</v>
      </c>
      <c r="S568" s="125">
        <f>Lista!R567</f>
        <v>0</v>
      </c>
      <c r="T568" s="81"/>
      <c r="U568" s="81"/>
      <c r="V568" s="81"/>
      <c r="W568" s="81"/>
      <c r="X568" s="81"/>
      <c r="Y568" s="81"/>
      <c r="Z568" s="81"/>
      <c r="AA568" s="81"/>
      <c r="AB568" s="81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  <c r="BS568" s="81"/>
      <c r="BT568" s="81"/>
      <c r="BU568" s="81"/>
      <c r="BV568" s="81"/>
      <c r="BW568" s="81"/>
      <c r="BX568" s="81"/>
      <c r="BY568" s="81"/>
      <c r="BZ568" s="81"/>
      <c r="CA568" s="81"/>
      <c r="CB568" s="81"/>
      <c r="CC568" s="81"/>
      <c r="CD568" s="81"/>
      <c r="CE568" s="81"/>
      <c r="CF568" s="81"/>
      <c r="CG568" s="81"/>
      <c r="CH568" s="81"/>
      <c r="CI568" s="81"/>
      <c r="CJ568" s="81"/>
      <c r="CK568" s="81"/>
      <c r="CL568" s="81"/>
      <c r="CM568" s="81"/>
      <c r="CN568" s="81"/>
      <c r="CO568" s="81"/>
      <c r="CP568" s="81"/>
      <c r="CQ568" s="81"/>
      <c r="CR568" s="81"/>
      <c r="CS568" s="81"/>
      <c r="CT568" s="81"/>
      <c r="CU568" s="81"/>
      <c r="CV568" s="81"/>
      <c r="CW568" s="81"/>
      <c r="CX568" s="81"/>
      <c r="CY568" s="81"/>
      <c r="CZ568" s="81"/>
      <c r="DA568" s="81"/>
      <c r="DB568" s="81"/>
      <c r="DC568" s="81"/>
      <c r="DD568" s="81"/>
      <c r="DE568" s="81"/>
      <c r="DF568" s="81"/>
      <c r="DG568" s="81"/>
      <c r="DH568" s="81"/>
      <c r="DI568" s="81"/>
      <c r="DJ568" s="81"/>
      <c r="DK568" s="81"/>
      <c r="DL568" s="81"/>
      <c r="DM568" s="81"/>
      <c r="DN568" s="81"/>
      <c r="DO568" s="81"/>
      <c r="DP568" s="81"/>
      <c r="DQ568" s="81"/>
      <c r="DR568" s="81"/>
      <c r="DS568" s="81"/>
      <c r="DT568" s="81"/>
      <c r="DU568" s="81"/>
      <c r="DV568" s="81"/>
      <c r="DW568" s="121"/>
    </row>
    <row r="569" spans="1:127" x14ac:dyDescent="0.25">
      <c r="A569" s="2">
        <f>COUNTIF($D$2:D569,'Reporte de Nomina'!$E$2)</f>
        <v>0</v>
      </c>
      <c r="B569" s="125">
        <f>Lista!A568</f>
        <v>0</v>
      </c>
      <c r="C569" s="125">
        <f>Lista!B568</f>
        <v>0</v>
      </c>
      <c r="D569" s="125">
        <f>Lista!C568</f>
        <v>0</v>
      </c>
      <c r="E569" s="125">
        <f>Lista!D568</f>
        <v>0</v>
      </c>
      <c r="F569" s="125">
        <f>Lista!E568</f>
        <v>0</v>
      </c>
      <c r="G569" s="125">
        <f>Lista!F568</f>
        <v>0</v>
      </c>
      <c r="H569" s="125">
        <f>Lista!G568</f>
        <v>0</v>
      </c>
      <c r="I569" s="125">
        <f>Lista!H568</f>
        <v>0</v>
      </c>
      <c r="J569" s="125">
        <f>Lista!I568</f>
        <v>0</v>
      </c>
      <c r="K569" s="125">
        <f>Lista!J568</f>
        <v>0</v>
      </c>
      <c r="L569" s="125">
        <f>Lista!K568</f>
        <v>0</v>
      </c>
      <c r="M569" s="125">
        <f>Lista!L568</f>
        <v>0</v>
      </c>
      <c r="N569" s="125">
        <f>Lista!M568</f>
        <v>0</v>
      </c>
      <c r="O569" s="125">
        <f>Lista!N568</f>
        <v>0</v>
      </c>
      <c r="P569" s="125">
        <f>Lista!O568</f>
        <v>0</v>
      </c>
      <c r="Q569" s="125">
        <f>Lista!P568</f>
        <v>0</v>
      </c>
      <c r="R569" s="125">
        <f>Lista!Q568</f>
        <v>0</v>
      </c>
      <c r="S569" s="125">
        <f>Lista!R568</f>
        <v>0</v>
      </c>
      <c r="T569" s="81"/>
      <c r="U569" s="81"/>
      <c r="V569" s="81"/>
      <c r="W569" s="81"/>
      <c r="X569" s="81"/>
      <c r="Y569" s="81"/>
      <c r="Z569" s="81"/>
      <c r="AA569" s="81"/>
      <c r="AB569" s="81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  <c r="BS569" s="81"/>
      <c r="BT569" s="81"/>
      <c r="BU569" s="81"/>
      <c r="BV569" s="81"/>
      <c r="BW569" s="81"/>
      <c r="BX569" s="81"/>
      <c r="BY569" s="81"/>
      <c r="BZ569" s="81"/>
      <c r="CA569" s="81"/>
      <c r="CB569" s="81"/>
      <c r="CC569" s="81"/>
      <c r="CD569" s="81"/>
      <c r="CE569" s="81"/>
      <c r="CF569" s="81"/>
      <c r="CG569" s="81"/>
      <c r="CH569" s="81"/>
      <c r="CI569" s="81"/>
      <c r="CJ569" s="81"/>
      <c r="CK569" s="81"/>
      <c r="CL569" s="81"/>
      <c r="CM569" s="81"/>
      <c r="CN569" s="81"/>
      <c r="CO569" s="81"/>
      <c r="CP569" s="81"/>
      <c r="CQ569" s="81"/>
      <c r="CR569" s="81"/>
      <c r="CS569" s="81"/>
      <c r="CT569" s="81"/>
      <c r="CU569" s="81"/>
      <c r="CV569" s="81"/>
      <c r="CW569" s="81"/>
      <c r="CX569" s="81"/>
      <c r="CY569" s="81"/>
      <c r="CZ569" s="81"/>
      <c r="DA569" s="81"/>
      <c r="DB569" s="81"/>
      <c r="DC569" s="81"/>
      <c r="DD569" s="81"/>
      <c r="DE569" s="81"/>
      <c r="DF569" s="81"/>
      <c r="DG569" s="81"/>
      <c r="DH569" s="81"/>
      <c r="DI569" s="81"/>
      <c r="DJ569" s="81"/>
      <c r="DK569" s="81"/>
      <c r="DL569" s="81"/>
      <c r="DM569" s="81"/>
      <c r="DN569" s="81"/>
      <c r="DO569" s="81"/>
      <c r="DP569" s="81"/>
      <c r="DQ569" s="81"/>
      <c r="DR569" s="81"/>
      <c r="DS569" s="81"/>
      <c r="DT569" s="81"/>
      <c r="DU569" s="81"/>
      <c r="DV569" s="81"/>
      <c r="DW569" s="121"/>
    </row>
    <row r="570" spans="1:127" x14ac:dyDescent="0.25">
      <c r="A570" s="2">
        <f>COUNTIF($D$2:D570,'Reporte de Nomina'!$E$2)</f>
        <v>0</v>
      </c>
      <c r="B570" s="125">
        <f>Lista!A569</f>
        <v>0</v>
      </c>
      <c r="C570" s="125">
        <f>Lista!B569</f>
        <v>0</v>
      </c>
      <c r="D570" s="125">
        <f>Lista!C569</f>
        <v>0</v>
      </c>
      <c r="E570" s="125">
        <f>Lista!D569</f>
        <v>0</v>
      </c>
      <c r="F570" s="125">
        <f>Lista!E569</f>
        <v>0</v>
      </c>
      <c r="G570" s="125">
        <f>Lista!F569</f>
        <v>0</v>
      </c>
      <c r="H570" s="125">
        <f>Lista!G569</f>
        <v>0</v>
      </c>
      <c r="I570" s="125">
        <f>Lista!H569</f>
        <v>0</v>
      </c>
      <c r="J570" s="125">
        <f>Lista!I569</f>
        <v>0</v>
      </c>
      <c r="K570" s="125">
        <f>Lista!J569</f>
        <v>0</v>
      </c>
      <c r="L570" s="125">
        <f>Lista!K569</f>
        <v>0</v>
      </c>
      <c r="M570" s="125">
        <f>Lista!L569</f>
        <v>0</v>
      </c>
      <c r="N570" s="125">
        <f>Lista!M569</f>
        <v>0</v>
      </c>
      <c r="O570" s="125">
        <f>Lista!N569</f>
        <v>0</v>
      </c>
      <c r="P570" s="125">
        <f>Lista!O569</f>
        <v>0</v>
      </c>
      <c r="Q570" s="125">
        <f>Lista!P569</f>
        <v>0</v>
      </c>
      <c r="R570" s="125">
        <f>Lista!Q569</f>
        <v>0</v>
      </c>
      <c r="S570" s="125">
        <f>Lista!R569</f>
        <v>0</v>
      </c>
      <c r="T570" s="81"/>
      <c r="U570" s="81"/>
      <c r="V570" s="81"/>
      <c r="W570" s="81"/>
      <c r="X570" s="81"/>
      <c r="Y570" s="81"/>
      <c r="Z570" s="81"/>
      <c r="AA570" s="81"/>
      <c r="AB570" s="81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  <c r="BS570" s="81"/>
      <c r="BT570" s="81"/>
      <c r="BU570" s="81"/>
      <c r="BV570" s="81"/>
      <c r="BW570" s="81"/>
      <c r="BX570" s="81"/>
      <c r="BY570" s="81"/>
      <c r="BZ570" s="81"/>
      <c r="CA570" s="81"/>
      <c r="CB570" s="81"/>
      <c r="CC570" s="81"/>
      <c r="CD570" s="81"/>
      <c r="CE570" s="81"/>
      <c r="CF570" s="81"/>
      <c r="CG570" s="81"/>
      <c r="CH570" s="81"/>
      <c r="CI570" s="81"/>
      <c r="CJ570" s="81"/>
      <c r="CK570" s="81"/>
      <c r="CL570" s="81"/>
      <c r="CM570" s="81"/>
      <c r="CN570" s="81"/>
      <c r="CO570" s="81"/>
      <c r="CP570" s="81"/>
      <c r="CQ570" s="81"/>
      <c r="CR570" s="81"/>
      <c r="CS570" s="81"/>
      <c r="CT570" s="81"/>
      <c r="CU570" s="81"/>
      <c r="CV570" s="81"/>
      <c r="CW570" s="81"/>
      <c r="CX570" s="81"/>
      <c r="CY570" s="81"/>
      <c r="CZ570" s="81"/>
      <c r="DA570" s="81"/>
      <c r="DB570" s="81"/>
      <c r="DC570" s="81"/>
      <c r="DD570" s="81"/>
      <c r="DE570" s="81"/>
      <c r="DF570" s="81"/>
      <c r="DG570" s="81"/>
      <c r="DH570" s="81"/>
      <c r="DI570" s="81"/>
      <c r="DJ570" s="81"/>
      <c r="DK570" s="81"/>
      <c r="DL570" s="81"/>
      <c r="DM570" s="81"/>
      <c r="DN570" s="81"/>
      <c r="DO570" s="81"/>
      <c r="DP570" s="81"/>
      <c r="DQ570" s="81"/>
      <c r="DR570" s="81"/>
      <c r="DS570" s="81"/>
      <c r="DT570" s="81"/>
      <c r="DU570" s="81"/>
      <c r="DV570" s="81"/>
      <c r="DW570" s="121"/>
    </row>
    <row r="571" spans="1:127" x14ac:dyDescent="0.25">
      <c r="A571" s="2">
        <f>COUNTIF($D$2:D571,'Reporte de Nomina'!$E$2)</f>
        <v>0</v>
      </c>
      <c r="B571" s="125">
        <f>Lista!A570</f>
        <v>0</v>
      </c>
      <c r="C571" s="125">
        <f>Lista!B570</f>
        <v>0</v>
      </c>
      <c r="D571" s="125">
        <f>Lista!C570</f>
        <v>0</v>
      </c>
      <c r="E571" s="125">
        <f>Lista!D570</f>
        <v>0</v>
      </c>
      <c r="F571" s="125">
        <f>Lista!E570</f>
        <v>0</v>
      </c>
      <c r="G571" s="125">
        <f>Lista!F570</f>
        <v>0</v>
      </c>
      <c r="H571" s="125">
        <f>Lista!G570</f>
        <v>0</v>
      </c>
      <c r="I571" s="125">
        <f>Lista!H570</f>
        <v>0</v>
      </c>
      <c r="J571" s="125">
        <f>Lista!I570</f>
        <v>0</v>
      </c>
      <c r="K571" s="125">
        <f>Lista!J570</f>
        <v>0</v>
      </c>
      <c r="L571" s="125">
        <f>Lista!K570</f>
        <v>0</v>
      </c>
      <c r="M571" s="125">
        <f>Lista!L570</f>
        <v>0</v>
      </c>
      <c r="N571" s="125">
        <f>Lista!M570</f>
        <v>0</v>
      </c>
      <c r="O571" s="125">
        <f>Lista!N570</f>
        <v>0</v>
      </c>
      <c r="P571" s="125">
        <f>Lista!O570</f>
        <v>0</v>
      </c>
      <c r="Q571" s="125">
        <f>Lista!P570</f>
        <v>0</v>
      </c>
      <c r="R571" s="125">
        <f>Lista!Q570</f>
        <v>0</v>
      </c>
      <c r="S571" s="125">
        <f>Lista!R570</f>
        <v>0</v>
      </c>
      <c r="T571" s="81"/>
      <c r="U571" s="81"/>
      <c r="V571" s="81"/>
      <c r="W571" s="81"/>
      <c r="X571" s="81"/>
      <c r="Y571" s="81"/>
      <c r="Z571" s="81"/>
      <c r="AA571" s="81"/>
      <c r="AB571" s="81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  <c r="BS571" s="81"/>
      <c r="BT571" s="81"/>
      <c r="BU571" s="81"/>
      <c r="BV571" s="81"/>
      <c r="BW571" s="81"/>
      <c r="BX571" s="81"/>
      <c r="BY571" s="81"/>
      <c r="BZ571" s="81"/>
      <c r="CA571" s="81"/>
      <c r="CB571" s="81"/>
      <c r="CC571" s="81"/>
      <c r="CD571" s="81"/>
      <c r="CE571" s="81"/>
      <c r="CF571" s="81"/>
      <c r="CG571" s="81"/>
      <c r="CH571" s="81"/>
      <c r="CI571" s="81"/>
      <c r="CJ571" s="81"/>
      <c r="CK571" s="81"/>
      <c r="CL571" s="81"/>
      <c r="CM571" s="81"/>
      <c r="CN571" s="81"/>
      <c r="CO571" s="81"/>
      <c r="CP571" s="81"/>
      <c r="CQ571" s="81"/>
      <c r="CR571" s="81"/>
      <c r="CS571" s="81"/>
      <c r="CT571" s="81"/>
      <c r="CU571" s="81"/>
      <c r="CV571" s="81"/>
      <c r="CW571" s="81"/>
      <c r="CX571" s="81"/>
      <c r="CY571" s="81"/>
      <c r="CZ571" s="81"/>
      <c r="DA571" s="81"/>
      <c r="DB571" s="81"/>
      <c r="DC571" s="81"/>
      <c r="DD571" s="81"/>
      <c r="DE571" s="81"/>
      <c r="DF571" s="81"/>
      <c r="DG571" s="81"/>
      <c r="DH571" s="81"/>
      <c r="DI571" s="81"/>
      <c r="DJ571" s="81"/>
      <c r="DK571" s="81"/>
      <c r="DL571" s="81"/>
      <c r="DM571" s="81"/>
      <c r="DN571" s="81"/>
      <c r="DO571" s="81"/>
      <c r="DP571" s="81"/>
      <c r="DQ571" s="81"/>
      <c r="DR571" s="81"/>
      <c r="DS571" s="81"/>
      <c r="DT571" s="81"/>
      <c r="DU571" s="81"/>
      <c r="DV571" s="81"/>
      <c r="DW571" s="121"/>
    </row>
    <row r="572" spans="1:127" x14ac:dyDescent="0.25">
      <c r="A572" s="2">
        <f>COUNTIF($D$2:D572,'Reporte de Nomina'!$E$2)</f>
        <v>0</v>
      </c>
      <c r="B572" s="125">
        <f>Lista!A571</f>
        <v>0</v>
      </c>
      <c r="C572" s="125">
        <f>Lista!B571</f>
        <v>0</v>
      </c>
      <c r="D572" s="125">
        <f>Lista!C571</f>
        <v>0</v>
      </c>
      <c r="E572" s="125">
        <f>Lista!D571</f>
        <v>0</v>
      </c>
      <c r="F572" s="125">
        <f>Lista!E571</f>
        <v>0</v>
      </c>
      <c r="G572" s="125">
        <f>Lista!F571</f>
        <v>0</v>
      </c>
      <c r="H572" s="125">
        <f>Lista!G571</f>
        <v>0</v>
      </c>
      <c r="I572" s="125">
        <f>Lista!H571</f>
        <v>0</v>
      </c>
      <c r="J572" s="125">
        <f>Lista!I571</f>
        <v>0</v>
      </c>
      <c r="K572" s="125">
        <f>Lista!J571</f>
        <v>0</v>
      </c>
      <c r="L572" s="125">
        <f>Lista!K571</f>
        <v>0</v>
      </c>
      <c r="M572" s="125">
        <f>Lista!L571</f>
        <v>0</v>
      </c>
      <c r="N572" s="125">
        <f>Lista!M571</f>
        <v>0</v>
      </c>
      <c r="O572" s="125">
        <f>Lista!N571</f>
        <v>0</v>
      </c>
      <c r="P572" s="125">
        <f>Lista!O571</f>
        <v>0</v>
      </c>
      <c r="Q572" s="125">
        <f>Lista!P571</f>
        <v>0</v>
      </c>
      <c r="R572" s="125">
        <f>Lista!Q571</f>
        <v>0</v>
      </c>
      <c r="S572" s="125">
        <f>Lista!R571</f>
        <v>0</v>
      </c>
      <c r="T572" s="81"/>
      <c r="U572" s="81"/>
      <c r="V572" s="81"/>
      <c r="W572" s="81"/>
      <c r="X572" s="81"/>
      <c r="Y572" s="81"/>
      <c r="Z572" s="81"/>
      <c r="AA572" s="81"/>
      <c r="AB572" s="81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  <c r="BS572" s="81"/>
      <c r="BT572" s="81"/>
      <c r="BU572" s="81"/>
      <c r="BV572" s="81"/>
      <c r="BW572" s="81"/>
      <c r="BX572" s="81"/>
      <c r="BY572" s="81"/>
      <c r="BZ572" s="81"/>
      <c r="CA572" s="81"/>
      <c r="CB572" s="81"/>
      <c r="CC572" s="81"/>
      <c r="CD572" s="81"/>
      <c r="CE572" s="81"/>
      <c r="CF572" s="81"/>
      <c r="CG572" s="81"/>
      <c r="CH572" s="81"/>
      <c r="CI572" s="81"/>
      <c r="CJ572" s="81"/>
      <c r="CK572" s="81"/>
      <c r="CL572" s="81"/>
      <c r="CM572" s="81"/>
      <c r="CN572" s="81"/>
      <c r="CO572" s="81"/>
      <c r="CP572" s="81"/>
      <c r="CQ572" s="81"/>
      <c r="CR572" s="81"/>
      <c r="CS572" s="81"/>
      <c r="CT572" s="81"/>
      <c r="CU572" s="81"/>
      <c r="CV572" s="81"/>
      <c r="CW572" s="81"/>
      <c r="CX572" s="81"/>
      <c r="CY572" s="81"/>
      <c r="CZ572" s="81"/>
      <c r="DA572" s="81"/>
      <c r="DB572" s="81"/>
      <c r="DC572" s="81"/>
      <c r="DD572" s="81"/>
      <c r="DE572" s="81"/>
      <c r="DF572" s="81"/>
      <c r="DG572" s="81"/>
      <c r="DH572" s="81"/>
      <c r="DI572" s="81"/>
      <c r="DJ572" s="81"/>
      <c r="DK572" s="81"/>
      <c r="DL572" s="81"/>
      <c r="DM572" s="81"/>
      <c r="DN572" s="81"/>
      <c r="DO572" s="81"/>
      <c r="DP572" s="81"/>
      <c r="DQ572" s="81"/>
      <c r="DR572" s="81"/>
      <c r="DS572" s="81"/>
      <c r="DT572" s="81"/>
      <c r="DU572" s="81"/>
      <c r="DV572" s="81"/>
      <c r="DW572" s="121"/>
    </row>
    <row r="573" spans="1:127" x14ac:dyDescent="0.25">
      <c r="A573" s="2">
        <f>COUNTIF($D$2:D573,'Reporte de Nomina'!$E$2)</f>
        <v>0</v>
      </c>
      <c r="B573" s="125">
        <f>Lista!A572</f>
        <v>0</v>
      </c>
      <c r="C573" s="125">
        <f>Lista!B572</f>
        <v>0</v>
      </c>
      <c r="D573" s="125">
        <f>Lista!C572</f>
        <v>0</v>
      </c>
      <c r="E573" s="125">
        <f>Lista!D572</f>
        <v>0</v>
      </c>
      <c r="F573" s="125">
        <f>Lista!E572</f>
        <v>0</v>
      </c>
      <c r="G573" s="125">
        <f>Lista!F572</f>
        <v>0</v>
      </c>
      <c r="H573" s="125">
        <f>Lista!G572</f>
        <v>0</v>
      </c>
      <c r="I573" s="125">
        <f>Lista!H572</f>
        <v>0</v>
      </c>
      <c r="J573" s="125">
        <f>Lista!I572</f>
        <v>0</v>
      </c>
      <c r="K573" s="125">
        <f>Lista!J572</f>
        <v>0</v>
      </c>
      <c r="L573" s="125">
        <f>Lista!K572</f>
        <v>0</v>
      </c>
      <c r="M573" s="125">
        <f>Lista!L572</f>
        <v>0</v>
      </c>
      <c r="N573" s="125">
        <f>Lista!M572</f>
        <v>0</v>
      </c>
      <c r="O573" s="125">
        <f>Lista!N572</f>
        <v>0</v>
      </c>
      <c r="P573" s="125">
        <f>Lista!O572</f>
        <v>0</v>
      </c>
      <c r="Q573" s="125">
        <f>Lista!P572</f>
        <v>0</v>
      </c>
      <c r="R573" s="125">
        <f>Lista!Q572</f>
        <v>0</v>
      </c>
      <c r="S573" s="125">
        <f>Lista!R572</f>
        <v>0</v>
      </c>
      <c r="T573" s="81"/>
      <c r="U573" s="81"/>
      <c r="V573" s="81"/>
      <c r="W573" s="81"/>
      <c r="X573" s="81"/>
      <c r="Y573" s="81"/>
      <c r="Z573" s="81"/>
      <c r="AA573" s="81"/>
      <c r="AB573" s="81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  <c r="BS573" s="81"/>
      <c r="BT573" s="81"/>
      <c r="BU573" s="81"/>
      <c r="BV573" s="81"/>
      <c r="BW573" s="81"/>
      <c r="BX573" s="81"/>
      <c r="BY573" s="81"/>
      <c r="BZ573" s="81"/>
      <c r="CA573" s="81"/>
      <c r="CB573" s="81"/>
      <c r="CC573" s="81"/>
      <c r="CD573" s="81"/>
      <c r="CE573" s="81"/>
      <c r="CF573" s="81"/>
      <c r="CG573" s="81"/>
      <c r="CH573" s="81"/>
      <c r="CI573" s="81"/>
      <c r="CJ573" s="81"/>
      <c r="CK573" s="81"/>
      <c r="CL573" s="81"/>
      <c r="CM573" s="81"/>
      <c r="CN573" s="81"/>
      <c r="CO573" s="81"/>
      <c r="CP573" s="81"/>
      <c r="CQ573" s="81"/>
      <c r="CR573" s="81"/>
      <c r="CS573" s="81"/>
      <c r="CT573" s="81"/>
      <c r="CU573" s="81"/>
      <c r="CV573" s="81"/>
      <c r="CW573" s="81"/>
      <c r="CX573" s="81"/>
      <c r="CY573" s="81"/>
      <c r="CZ573" s="81"/>
      <c r="DA573" s="81"/>
      <c r="DB573" s="81"/>
      <c r="DC573" s="81"/>
      <c r="DD573" s="81"/>
      <c r="DE573" s="81"/>
      <c r="DF573" s="81"/>
      <c r="DG573" s="81"/>
      <c r="DH573" s="81"/>
      <c r="DI573" s="81"/>
      <c r="DJ573" s="81"/>
      <c r="DK573" s="81"/>
      <c r="DL573" s="81"/>
      <c r="DM573" s="81"/>
      <c r="DN573" s="81"/>
      <c r="DO573" s="81"/>
      <c r="DP573" s="81"/>
      <c r="DQ573" s="81"/>
      <c r="DR573" s="81"/>
      <c r="DS573" s="81"/>
      <c r="DT573" s="81"/>
      <c r="DU573" s="81"/>
      <c r="DV573" s="81"/>
      <c r="DW573" s="121"/>
    </row>
    <row r="574" spans="1:127" x14ac:dyDescent="0.25">
      <c r="A574" s="2">
        <f>COUNTIF($D$2:D574,'Reporte de Nomina'!$E$2)</f>
        <v>0</v>
      </c>
      <c r="B574" s="125">
        <f>Lista!A573</f>
        <v>0</v>
      </c>
      <c r="C574" s="125">
        <f>Lista!B573</f>
        <v>0</v>
      </c>
      <c r="D574" s="125">
        <f>Lista!C573</f>
        <v>0</v>
      </c>
      <c r="E574" s="125">
        <f>Lista!D573</f>
        <v>0</v>
      </c>
      <c r="F574" s="125">
        <f>Lista!E573</f>
        <v>0</v>
      </c>
      <c r="G574" s="125">
        <f>Lista!F573</f>
        <v>0</v>
      </c>
      <c r="H574" s="125">
        <f>Lista!G573</f>
        <v>0</v>
      </c>
      <c r="I574" s="125">
        <f>Lista!H573</f>
        <v>0</v>
      </c>
      <c r="J574" s="125">
        <f>Lista!I573</f>
        <v>0</v>
      </c>
      <c r="K574" s="125">
        <f>Lista!J573</f>
        <v>0</v>
      </c>
      <c r="L574" s="125">
        <f>Lista!K573</f>
        <v>0</v>
      </c>
      <c r="M574" s="125">
        <f>Lista!L573</f>
        <v>0</v>
      </c>
      <c r="N574" s="125">
        <f>Lista!M573</f>
        <v>0</v>
      </c>
      <c r="O574" s="125">
        <f>Lista!N573</f>
        <v>0</v>
      </c>
      <c r="P574" s="125">
        <f>Lista!O573</f>
        <v>0</v>
      </c>
      <c r="Q574" s="125">
        <f>Lista!P573</f>
        <v>0</v>
      </c>
      <c r="R574" s="125">
        <f>Lista!Q573</f>
        <v>0</v>
      </c>
      <c r="S574" s="125">
        <f>Lista!R573</f>
        <v>0</v>
      </c>
      <c r="T574" s="81"/>
      <c r="U574" s="81"/>
      <c r="V574" s="81"/>
      <c r="W574" s="81"/>
      <c r="X574" s="81"/>
      <c r="Y574" s="81"/>
      <c r="Z574" s="81"/>
      <c r="AA574" s="81"/>
      <c r="AB574" s="81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  <c r="BS574" s="81"/>
      <c r="BT574" s="81"/>
      <c r="BU574" s="81"/>
      <c r="BV574" s="81"/>
      <c r="BW574" s="81"/>
      <c r="BX574" s="81"/>
      <c r="BY574" s="81"/>
      <c r="BZ574" s="81"/>
      <c r="CA574" s="81"/>
      <c r="CB574" s="81"/>
      <c r="CC574" s="81"/>
      <c r="CD574" s="81"/>
      <c r="CE574" s="81"/>
      <c r="CF574" s="81"/>
      <c r="CG574" s="81"/>
      <c r="CH574" s="81"/>
      <c r="CI574" s="81"/>
      <c r="CJ574" s="81"/>
      <c r="CK574" s="81"/>
      <c r="CL574" s="81"/>
      <c r="CM574" s="81"/>
      <c r="CN574" s="81"/>
      <c r="CO574" s="81"/>
      <c r="CP574" s="81"/>
      <c r="CQ574" s="81"/>
      <c r="CR574" s="81"/>
      <c r="CS574" s="81"/>
      <c r="CT574" s="81"/>
      <c r="CU574" s="81"/>
      <c r="CV574" s="81"/>
      <c r="CW574" s="81"/>
      <c r="CX574" s="81"/>
      <c r="CY574" s="81"/>
      <c r="CZ574" s="81"/>
      <c r="DA574" s="81"/>
      <c r="DB574" s="81"/>
      <c r="DC574" s="81"/>
      <c r="DD574" s="81"/>
      <c r="DE574" s="81"/>
      <c r="DF574" s="81"/>
      <c r="DG574" s="81"/>
      <c r="DH574" s="81"/>
      <c r="DI574" s="81"/>
      <c r="DJ574" s="81"/>
      <c r="DK574" s="81"/>
      <c r="DL574" s="81"/>
      <c r="DM574" s="81"/>
      <c r="DN574" s="81"/>
      <c r="DO574" s="81"/>
      <c r="DP574" s="81"/>
      <c r="DQ574" s="81"/>
      <c r="DR574" s="81"/>
      <c r="DS574" s="81"/>
      <c r="DT574" s="81"/>
      <c r="DU574" s="81"/>
      <c r="DV574" s="81"/>
      <c r="DW574" s="121"/>
    </row>
    <row r="575" spans="1:127" x14ac:dyDescent="0.25">
      <c r="A575" s="2">
        <f>COUNTIF($D$2:D575,'Reporte de Nomina'!$E$2)</f>
        <v>0</v>
      </c>
      <c r="B575" s="125">
        <f>Lista!A574</f>
        <v>0</v>
      </c>
      <c r="C575" s="125">
        <f>Lista!B574</f>
        <v>0</v>
      </c>
      <c r="D575" s="125">
        <f>Lista!C574</f>
        <v>0</v>
      </c>
      <c r="E575" s="125">
        <f>Lista!D574</f>
        <v>0</v>
      </c>
      <c r="F575" s="125">
        <f>Lista!E574</f>
        <v>0</v>
      </c>
      <c r="G575" s="125">
        <f>Lista!F574</f>
        <v>0</v>
      </c>
      <c r="H575" s="125">
        <f>Lista!G574</f>
        <v>0</v>
      </c>
      <c r="I575" s="125">
        <f>Lista!H574</f>
        <v>0</v>
      </c>
      <c r="J575" s="125">
        <f>Lista!I574</f>
        <v>0</v>
      </c>
      <c r="K575" s="125">
        <f>Lista!J574</f>
        <v>0</v>
      </c>
      <c r="L575" s="125">
        <f>Lista!K574</f>
        <v>0</v>
      </c>
      <c r="M575" s="125">
        <f>Lista!L574</f>
        <v>0</v>
      </c>
      <c r="N575" s="125">
        <f>Lista!M574</f>
        <v>0</v>
      </c>
      <c r="O575" s="125">
        <f>Lista!N574</f>
        <v>0</v>
      </c>
      <c r="P575" s="125">
        <f>Lista!O574</f>
        <v>0</v>
      </c>
      <c r="Q575" s="125">
        <f>Lista!P574</f>
        <v>0</v>
      </c>
      <c r="R575" s="125">
        <f>Lista!Q574</f>
        <v>0</v>
      </c>
      <c r="S575" s="125">
        <f>Lista!R574</f>
        <v>0</v>
      </c>
      <c r="T575" s="81"/>
      <c r="U575" s="81"/>
      <c r="V575" s="81"/>
      <c r="W575" s="81"/>
      <c r="X575" s="81"/>
      <c r="Y575" s="81"/>
      <c r="Z575" s="81"/>
      <c r="AA575" s="81"/>
      <c r="AB575" s="81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  <c r="BS575" s="81"/>
      <c r="BT575" s="81"/>
      <c r="BU575" s="81"/>
      <c r="BV575" s="81"/>
      <c r="BW575" s="81"/>
      <c r="BX575" s="81"/>
      <c r="BY575" s="81"/>
      <c r="BZ575" s="81"/>
      <c r="CA575" s="81"/>
      <c r="CB575" s="81"/>
      <c r="CC575" s="81"/>
      <c r="CD575" s="81"/>
      <c r="CE575" s="81"/>
      <c r="CF575" s="81"/>
      <c r="CG575" s="81"/>
      <c r="CH575" s="81"/>
      <c r="CI575" s="81"/>
      <c r="CJ575" s="81"/>
      <c r="CK575" s="81"/>
      <c r="CL575" s="81"/>
      <c r="CM575" s="81"/>
      <c r="CN575" s="81"/>
      <c r="CO575" s="81"/>
      <c r="CP575" s="81"/>
      <c r="CQ575" s="81"/>
      <c r="CR575" s="81"/>
      <c r="CS575" s="81"/>
      <c r="CT575" s="81"/>
      <c r="CU575" s="81"/>
      <c r="CV575" s="81"/>
      <c r="CW575" s="81"/>
      <c r="CX575" s="81"/>
      <c r="CY575" s="81"/>
      <c r="CZ575" s="81"/>
      <c r="DA575" s="81"/>
      <c r="DB575" s="81"/>
      <c r="DC575" s="81"/>
      <c r="DD575" s="81"/>
      <c r="DE575" s="81"/>
      <c r="DF575" s="81"/>
      <c r="DG575" s="81"/>
      <c r="DH575" s="81"/>
      <c r="DI575" s="81"/>
      <c r="DJ575" s="81"/>
      <c r="DK575" s="81"/>
      <c r="DL575" s="81"/>
      <c r="DM575" s="81"/>
      <c r="DN575" s="81"/>
      <c r="DO575" s="81"/>
      <c r="DP575" s="81"/>
      <c r="DQ575" s="81"/>
      <c r="DR575" s="81"/>
      <c r="DS575" s="81"/>
      <c r="DT575" s="81"/>
      <c r="DU575" s="81"/>
      <c r="DV575" s="81"/>
      <c r="DW575" s="121"/>
    </row>
    <row r="576" spans="1:127" x14ac:dyDescent="0.25">
      <c r="A576" s="2">
        <f>COUNTIF($D$2:D576,'Reporte de Nomina'!$E$2)</f>
        <v>0</v>
      </c>
      <c r="B576" s="125">
        <f>Lista!A575</f>
        <v>0</v>
      </c>
      <c r="C576" s="125">
        <f>Lista!B575</f>
        <v>0</v>
      </c>
      <c r="D576" s="125">
        <f>Lista!C575</f>
        <v>0</v>
      </c>
      <c r="E576" s="125">
        <f>Lista!D575</f>
        <v>0</v>
      </c>
      <c r="F576" s="125">
        <f>Lista!E575</f>
        <v>0</v>
      </c>
      <c r="G576" s="125">
        <f>Lista!F575</f>
        <v>0</v>
      </c>
      <c r="H576" s="125">
        <f>Lista!G575</f>
        <v>0</v>
      </c>
      <c r="I576" s="125">
        <f>Lista!H575</f>
        <v>0</v>
      </c>
      <c r="J576" s="125">
        <f>Lista!I575</f>
        <v>0</v>
      </c>
      <c r="K576" s="125">
        <f>Lista!J575</f>
        <v>0</v>
      </c>
      <c r="L576" s="125">
        <f>Lista!K575</f>
        <v>0</v>
      </c>
      <c r="M576" s="125">
        <f>Lista!L575</f>
        <v>0</v>
      </c>
      <c r="N576" s="125">
        <f>Lista!M575</f>
        <v>0</v>
      </c>
      <c r="O576" s="125">
        <f>Lista!N575</f>
        <v>0</v>
      </c>
      <c r="P576" s="125">
        <f>Lista!O575</f>
        <v>0</v>
      </c>
      <c r="Q576" s="125">
        <f>Lista!P575</f>
        <v>0</v>
      </c>
      <c r="R576" s="125">
        <f>Lista!Q575</f>
        <v>0</v>
      </c>
      <c r="S576" s="125">
        <f>Lista!R575</f>
        <v>0</v>
      </c>
      <c r="T576" s="81"/>
      <c r="U576" s="81"/>
      <c r="V576" s="81"/>
      <c r="W576" s="81"/>
      <c r="X576" s="81"/>
      <c r="Y576" s="81"/>
      <c r="Z576" s="81"/>
      <c r="AA576" s="81"/>
      <c r="AB576" s="81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  <c r="BS576" s="81"/>
      <c r="BT576" s="81"/>
      <c r="BU576" s="81"/>
      <c r="BV576" s="81"/>
      <c r="BW576" s="81"/>
      <c r="BX576" s="81"/>
      <c r="BY576" s="81"/>
      <c r="BZ576" s="81"/>
      <c r="CA576" s="81"/>
      <c r="CB576" s="81"/>
      <c r="CC576" s="81"/>
      <c r="CD576" s="81"/>
      <c r="CE576" s="81"/>
      <c r="CF576" s="81"/>
      <c r="CG576" s="81"/>
      <c r="CH576" s="81"/>
      <c r="CI576" s="81"/>
      <c r="CJ576" s="81"/>
      <c r="CK576" s="81"/>
      <c r="CL576" s="81"/>
      <c r="CM576" s="81"/>
      <c r="CN576" s="81"/>
      <c r="CO576" s="81"/>
      <c r="CP576" s="81"/>
      <c r="CQ576" s="81"/>
      <c r="CR576" s="81"/>
      <c r="CS576" s="81"/>
      <c r="CT576" s="81"/>
      <c r="CU576" s="81"/>
      <c r="CV576" s="81"/>
      <c r="CW576" s="81"/>
      <c r="CX576" s="81"/>
      <c r="CY576" s="81"/>
      <c r="CZ576" s="81"/>
      <c r="DA576" s="81"/>
      <c r="DB576" s="81"/>
      <c r="DC576" s="81"/>
      <c r="DD576" s="81"/>
      <c r="DE576" s="81"/>
      <c r="DF576" s="81"/>
      <c r="DG576" s="81"/>
      <c r="DH576" s="81"/>
      <c r="DI576" s="81"/>
      <c r="DJ576" s="81"/>
      <c r="DK576" s="81"/>
      <c r="DL576" s="81"/>
      <c r="DM576" s="81"/>
      <c r="DN576" s="81"/>
      <c r="DO576" s="81"/>
      <c r="DP576" s="81"/>
      <c r="DQ576" s="81"/>
      <c r="DR576" s="81"/>
      <c r="DS576" s="81"/>
      <c r="DT576" s="81"/>
      <c r="DU576" s="81"/>
      <c r="DV576" s="81"/>
      <c r="DW576" s="121"/>
    </row>
    <row r="577" spans="1:127" x14ac:dyDescent="0.25">
      <c r="A577" s="2">
        <f>COUNTIF($D$2:D577,'Reporte de Nomina'!$E$2)</f>
        <v>0</v>
      </c>
      <c r="B577" s="125">
        <f>Lista!A576</f>
        <v>0</v>
      </c>
      <c r="C577" s="125">
        <f>Lista!B576</f>
        <v>0</v>
      </c>
      <c r="D577" s="125">
        <f>Lista!C576</f>
        <v>0</v>
      </c>
      <c r="E577" s="125">
        <f>Lista!D576</f>
        <v>0</v>
      </c>
      <c r="F577" s="125">
        <f>Lista!E576</f>
        <v>0</v>
      </c>
      <c r="G577" s="125">
        <f>Lista!F576</f>
        <v>0</v>
      </c>
      <c r="H577" s="125">
        <f>Lista!G576</f>
        <v>0</v>
      </c>
      <c r="I577" s="125">
        <f>Lista!H576</f>
        <v>0</v>
      </c>
      <c r="J577" s="125">
        <f>Lista!I576</f>
        <v>0</v>
      </c>
      <c r="K577" s="125">
        <f>Lista!J576</f>
        <v>0</v>
      </c>
      <c r="L577" s="125">
        <f>Lista!K576</f>
        <v>0</v>
      </c>
      <c r="M577" s="125">
        <f>Lista!L576</f>
        <v>0</v>
      </c>
      <c r="N577" s="125">
        <f>Lista!M576</f>
        <v>0</v>
      </c>
      <c r="O577" s="125">
        <f>Lista!N576</f>
        <v>0</v>
      </c>
      <c r="P577" s="125">
        <f>Lista!O576</f>
        <v>0</v>
      </c>
      <c r="Q577" s="125">
        <f>Lista!P576</f>
        <v>0</v>
      </c>
      <c r="R577" s="125">
        <f>Lista!Q576</f>
        <v>0</v>
      </c>
      <c r="S577" s="125">
        <f>Lista!R576</f>
        <v>0</v>
      </c>
      <c r="T577" s="81"/>
      <c r="U577" s="81"/>
      <c r="V577" s="81"/>
      <c r="W577" s="81"/>
      <c r="X577" s="81"/>
      <c r="Y577" s="81"/>
      <c r="Z577" s="81"/>
      <c r="AA577" s="81"/>
      <c r="AB577" s="81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  <c r="BS577" s="81"/>
      <c r="BT577" s="81"/>
      <c r="BU577" s="81"/>
      <c r="BV577" s="81"/>
      <c r="BW577" s="81"/>
      <c r="BX577" s="81"/>
      <c r="BY577" s="81"/>
      <c r="BZ577" s="81"/>
      <c r="CA577" s="81"/>
      <c r="CB577" s="81"/>
      <c r="CC577" s="81"/>
      <c r="CD577" s="81"/>
      <c r="CE577" s="81"/>
      <c r="CF577" s="81"/>
      <c r="CG577" s="81"/>
      <c r="CH577" s="81"/>
      <c r="CI577" s="81"/>
      <c r="CJ577" s="81"/>
      <c r="CK577" s="81"/>
      <c r="CL577" s="81"/>
      <c r="CM577" s="81"/>
      <c r="CN577" s="81"/>
      <c r="CO577" s="81"/>
      <c r="CP577" s="81"/>
      <c r="CQ577" s="81"/>
      <c r="CR577" s="81"/>
      <c r="CS577" s="81"/>
      <c r="CT577" s="81"/>
      <c r="CU577" s="81"/>
      <c r="CV577" s="81"/>
      <c r="CW577" s="81"/>
      <c r="CX577" s="81"/>
      <c r="CY577" s="81"/>
      <c r="CZ577" s="81"/>
      <c r="DA577" s="81"/>
      <c r="DB577" s="81"/>
      <c r="DC577" s="81"/>
      <c r="DD577" s="81"/>
      <c r="DE577" s="81"/>
      <c r="DF577" s="81"/>
      <c r="DG577" s="81"/>
      <c r="DH577" s="81"/>
      <c r="DI577" s="81"/>
      <c r="DJ577" s="81"/>
      <c r="DK577" s="81"/>
      <c r="DL577" s="81"/>
      <c r="DM577" s="81"/>
      <c r="DN577" s="81"/>
      <c r="DO577" s="81"/>
      <c r="DP577" s="81"/>
      <c r="DQ577" s="81"/>
      <c r="DR577" s="81"/>
      <c r="DS577" s="81"/>
      <c r="DT577" s="81"/>
      <c r="DU577" s="81"/>
      <c r="DV577" s="81"/>
      <c r="DW577" s="121"/>
    </row>
    <row r="578" spans="1:127" x14ac:dyDescent="0.25">
      <c r="A578" s="2">
        <f>COUNTIF($D$2:D578,'Reporte de Nomina'!$E$2)</f>
        <v>0</v>
      </c>
      <c r="B578" s="125">
        <f>Lista!A577</f>
        <v>0</v>
      </c>
      <c r="C578" s="125">
        <f>Lista!B577</f>
        <v>0</v>
      </c>
      <c r="D578" s="125">
        <f>Lista!C577</f>
        <v>0</v>
      </c>
      <c r="E578" s="125">
        <f>Lista!D577</f>
        <v>0</v>
      </c>
      <c r="F578" s="125">
        <f>Lista!E577</f>
        <v>0</v>
      </c>
      <c r="G578" s="125">
        <f>Lista!F577</f>
        <v>0</v>
      </c>
      <c r="H578" s="125">
        <f>Lista!G577</f>
        <v>0</v>
      </c>
      <c r="I578" s="125">
        <f>Lista!H577</f>
        <v>0</v>
      </c>
      <c r="J578" s="125">
        <f>Lista!I577</f>
        <v>0</v>
      </c>
      <c r="K578" s="125">
        <f>Lista!J577</f>
        <v>0</v>
      </c>
      <c r="L578" s="125">
        <f>Lista!K577</f>
        <v>0</v>
      </c>
      <c r="M578" s="125">
        <f>Lista!L577</f>
        <v>0</v>
      </c>
      <c r="N578" s="125">
        <f>Lista!M577</f>
        <v>0</v>
      </c>
      <c r="O578" s="125">
        <f>Lista!N577</f>
        <v>0</v>
      </c>
      <c r="P578" s="125">
        <f>Lista!O577</f>
        <v>0</v>
      </c>
      <c r="Q578" s="125">
        <f>Lista!P577</f>
        <v>0</v>
      </c>
      <c r="R578" s="125">
        <f>Lista!Q577</f>
        <v>0</v>
      </c>
      <c r="S578" s="125">
        <f>Lista!R577</f>
        <v>0</v>
      </c>
      <c r="T578" s="81"/>
      <c r="U578" s="81"/>
      <c r="V578" s="81"/>
      <c r="W578" s="81"/>
      <c r="X578" s="81"/>
      <c r="Y578" s="81"/>
      <c r="Z578" s="81"/>
      <c r="AA578" s="81"/>
      <c r="AB578" s="81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  <c r="BS578" s="81"/>
      <c r="BT578" s="81"/>
      <c r="BU578" s="81"/>
      <c r="BV578" s="81"/>
      <c r="BW578" s="81"/>
      <c r="BX578" s="81"/>
      <c r="BY578" s="81"/>
      <c r="BZ578" s="81"/>
      <c r="CA578" s="81"/>
      <c r="CB578" s="81"/>
      <c r="CC578" s="81"/>
      <c r="CD578" s="81"/>
      <c r="CE578" s="81"/>
      <c r="CF578" s="81"/>
      <c r="CG578" s="81"/>
      <c r="CH578" s="81"/>
      <c r="CI578" s="81"/>
      <c r="CJ578" s="81"/>
      <c r="CK578" s="81"/>
      <c r="CL578" s="81"/>
      <c r="CM578" s="81"/>
      <c r="CN578" s="81"/>
      <c r="CO578" s="81"/>
      <c r="CP578" s="81"/>
      <c r="CQ578" s="81"/>
      <c r="CR578" s="81"/>
      <c r="CS578" s="81"/>
      <c r="CT578" s="81"/>
      <c r="CU578" s="81"/>
      <c r="CV578" s="81"/>
      <c r="CW578" s="81"/>
      <c r="CX578" s="81"/>
      <c r="CY578" s="81"/>
      <c r="CZ578" s="81"/>
      <c r="DA578" s="81"/>
      <c r="DB578" s="81"/>
      <c r="DC578" s="81"/>
      <c r="DD578" s="81"/>
      <c r="DE578" s="81"/>
      <c r="DF578" s="81"/>
      <c r="DG578" s="81"/>
      <c r="DH578" s="81"/>
      <c r="DI578" s="81"/>
      <c r="DJ578" s="81"/>
      <c r="DK578" s="81"/>
      <c r="DL578" s="81"/>
      <c r="DM578" s="81"/>
      <c r="DN578" s="81"/>
      <c r="DO578" s="81"/>
      <c r="DP578" s="81"/>
      <c r="DQ578" s="81"/>
      <c r="DR578" s="81"/>
      <c r="DS578" s="81"/>
      <c r="DT578" s="81"/>
      <c r="DU578" s="81"/>
      <c r="DV578" s="81"/>
      <c r="DW578" s="121"/>
    </row>
    <row r="579" spans="1:127" x14ac:dyDescent="0.25">
      <c r="A579" s="2">
        <f>COUNTIF($D$2:D579,'Reporte de Nomina'!$E$2)</f>
        <v>0</v>
      </c>
      <c r="B579" s="125">
        <f>Lista!A578</f>
        <v>0</v>
      </c>
      <c r="C579" s="125">
        <f>Lista!B578</f>
        <v>0</v>
      </c>
      <c r="D579" s="125">
        <f>Lista!C578</f>
        <v>0</v>
      </c>
      <c r="E579" s="125">
        <f>Lista!D578</f>
        <v>0</v>
      </c>
      <c r="F579" s="125">
        <f>Lista!E578</f>
        <v>0</v>
      </c>
      <c r="G579" s="125">
        <f>Lista!F578</f>
        <v>0</v>
      </c>
      <c r="H579" s="125">
        <f>Lista!G578</f>
        <v>0</v>
      </c>
      <c r="I579" s="125">
        <f>Lista!H578</f>
        <v>0</v>
      </c>
      <c r="J579" s="125">
        <f>Lista!I578</f>
        <v>0</v>
      </c>
      <c r="K579" s="125">
        <f>Lista!J578</f>
        <v>0</v>
      </c>
      <c r="L579" s="125">
        <f>Lista!K578</f>
        <v>0</v>
      </c>
      <c r="M579" s="125">
        <f>Lista!L578</f>
        <v>0</v>
      </c>
      <c r="N579" s="125">
        <f>Lista!M578</f>
        <v>0</v>
      </c>
      <c r="O579" s="125">
        <f>Lista!N578</f>
        <v>0</v>
      </c>
      <c r="P579" s="125">
        <f>Lista!O578</f>
        <v>0</v>
      </c>
      <c r="Q579" s="125">
        <f>Lista!P578</f>
        <v>0</v>
      </c>
      <c r="R579" s="125">
        <f>Lista!Q578</f>
        <v>0</v>
      </c>
      <c r="S579" s="125">
        <f>Lista!R578</f>
        <v>0</v>
      </c>
      <c r="T579" s="81"/>
      <c r="U579" s="81"/>
      <c r="V579" s="81"/>
      <c r="W579" s="81"/>
      <c r="X579" s="81"/>
      <c r="Y579" s="81"/>
      <c r="Z579" s="81"/>
      <c r="AA579" s="81"/>
      <c r="AB579" s="81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  <c r="BS579" s="81"/>
      <c r="BT579" s="81"/>
      <c r="BU579" s="81"/>
      <c r="BV579" s="81"/>
      <c r="BW579" s="81"/>
      <c r="BX579" s="81"/>
      <c r="BY579" s="81"/>
      <c r="BZ579" s="81"/>
      <c r="CA579" s="81"/>
      <c r="CB579" s="81"/>
      <c r="CC579" s="81"/>
      <c r="CD579" s="81"/>
      <c r="CE579" s="81"/>
      <c r="CF579" s="81"/>
      <c r="CG579" s="81"/>
      <c r="CH579" s="81"/>
      <c r="CI579" s="81"/>
      <c r="CJ579" s="81"/>
      <c r="CK579" s="81"/>
      <c r="CL579" s="81"/>
      <c r="CM579" s="81"/>
      <c r="CN579" s="81"/>
      <c r="CO579" s="81"/>
      <c r="CP579" s="81"/>
      <c r="CQ579" s="81"/>
      <c r="CR579" s="81"/>
      <c r="CS579" s="81"/>
      <c r="CT579" s="81"/>
      <c r="CU579" s="81"/>
      <c r="CV579" s="81"/>
      <c r="CW579" s="81"/>
      <c r="CX579" s="81"/>
      <c r="CY579" s="81"/>
      <c r="CZ579" s="81"/>
      <c r="DA579" s="81"/>
      <c r="DB579" s="81"/>
      <c r="DC579" s="81"/>
      <c r="DD579" s="81"/>
      <c r="DE579" s="81"/>
      <c r="DF579" s="81"/>
      <c r="DG579" s="81"/>
      <c r="DH579" s="81"/>
      <c r="DI579" s="81"/>
      <c r="DJ579" s="81"/>
      <c r="DK579" s="81"/>
      <c r="DL579" s="81"/>
      <c r="DM579" s="81"/>
      <c r="DN579" s="81"/>
      <c r="DO579" s="81"/>
      <c r="DP579" s="81"/>
      <c r="DQ579" s="81"/>
      <c r="DR579" s="81"/>
      <c r="DS579" s="81"/>
      <c r="DT579" s="81"/>
      <c r="DU579" s="81"/>
      <c r="DV579" s="81"/>
      <c r="DW579" s="121"/>
    </row>
    <row r="580" spans="1:127" x14ac:dyDescent="0.25">
      <c r="A580" s="2">
        <f>COUNTIF($D$2:D580,'Reporte de Nomina'!$E$2)</f>
        <v>0</v>
      </c>
      <c r="B580" s="125">
        <f>Lista!A579</f>
        <v>0</v>
      </c>
      <c r="C580" s="125">
        <f>Lista!B579</f>
        <v>0</v>
      </c>
      <c r="D580" s="125">
        <f>Lista!C579</f>
        <v>0</v>
      </c>
      <c r="E580" s="125">
        <f>Lista!D579</f>
        <v>0</v>
      </c>
      <c r="F580" s="125">
        <f>Lista!E579</f>
        <v>0</v>
      </c>
      <c r="G580" s="125">
        <f>Lista!F579</f>
        <v>0</v>
      </c>
      <c r="H580" s="125">
        <f>Lista!G579</f>
        <v>0</v>
      </c>
      <c r="I580" s="125">
        <f>Lista!H579</f>
        <v>0</v>
      </c>
      <c r="J580" s="125">
        <f>Lista!I579</f>
        <v>0</v>
      </c>
      <c r="K580" s="125">
        <f>Lista!J579</f>
        <v>0</v>
      </c>
      <c r="L580" s="125">
        <f>Lista!K579</f>
        <v>0</v>
      </c>
      <c r="M580" s="125">
        <f>Lista!L579</f>
        <v>0</v>
      </c>
      <c r="N580" s="125">
        <f>Lista!M579</f>
        <v>0</v>
      </c>
      <c r="O580" s="125">
        <f>Lista!N579</f>
        <v>0</v>
      </c>
      <c r="P580" s="125">
        <f>Lista!O579</f>
        <v>0</v>
      </c>
      <c r="Q580" s="125">
        <f>Lista!P579</f>
        <v>0</v>
      </c>
      <c r="R580" s="125">
        <f>Lista!Q579</f>
        <v>0</v>
      </c>
      <c r="S580" s="125">
        <f>Lista!R579</f>
        <v>0</v>
      </c>
      <c r="T580" s="81"/>
      <c r="U580" s="81"/>
      <c r="V580" s="81"/>
      <c r="W580" s="81"/>
      <c r="X580" s="81"/>
      <c r="Y580" s="81"/>
      <c r="Z580" s="81"/>
      <c r="AA580" s="81"/>
      <c r="AB580" s="81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  <c r="BS580" s="81"/>
      <c r="BT580" s="81"/>
      <c r="BU580" s="81"/>
      <c r="BV580" s="81"/>
      <c r="BW580" s="81"/>
      <c r="BX580" s="81"/>
      <c r="BY580" s="81"/>
      <c r="BZ580" s="81"/>
      <c r="CA580" s="81"/>
      <c r="CB580" s="81"/>
      <c r="CC580" s="81"/>
      <c r="CD580" s="81"/>
      <c r="CE580" s="81"/>
      <c r="CF580" s="81"/>
      <c r="CG580" s="81"/>
      <c r="CH580" s="81"/>
      <c r="CI580" s="81"/>
      <c r="CJ580" s="81"/>
      <c r="CK580" s="81"/>
      <c r="CL580" s="81"/>
      <c r="CM580" s="81"/>
      <c r="CN580" s="81"/>
      <c r="CO580" s="81"/>
      <c r="CP580" s="81"/>
      <c r="CQ580" s="81"/>
      <c r="CR580" s="81"/>
      <c r="CS580" s="81"/>
      <c r="CT580" s="81"/>
      <c r="CU580" s="81"/>
      <c r="CV580" s="81"/>
      <c r="CW580" s="81"/>
      <c r="CX580" s="81"/>
      <c r="CY580" s="81"/>
      <c r="CZ580" s="81"/>
      <c r="DA580" s="81"/>
      <c r="DB580" s="81"/>
      <c r="DC580" s="81"/>
      <c r="DD580" s="81"/>
      <c r="DE580" s="81"/>
      <c r="DF580" s="81"/>
      <c r="DG580" s="81"/>
      <c r="DH580" s="81"/>
      <c r="DI580" s="81"/>
      <c r="DJ580" s="81"/>
      <c r="DK580" s="81"/>
      <c r="DL580" s="81"/>
      <c r="DM580" s="81"/>
      <c r="DN580" s="81"/>
      <c r="DO580" s="81"/>
      <c r="DP580" s="81"/>
      <c r="DQ580" s="81"/>
      <c r="DR580" s="81"/>
      <c r="DS580" s="81"/>
      <c r="DT580" s="81"/>
      <c r="DU580" s="81"/>
      <c r="DV580" s="81"/>
      <c r="DW580" s="121"/>
    </row>
    <row r="581" spans="1:127" x14ac:dyDescent="0.25">
      <c r="A581" s="2">
        <f>COUNTIF($D$2:D581,'Reporte de Nomina'!$E$2)</f>
        <v>0</v>
      </c>
      <c r="B581" s="125">
        <f>Lista!A580</f>
        <v>0</v>
      </c>
      <c r="C581" s="125">
        <f>Lista!B580</f>
        <v>0</v>
      </c>
      <c r="D581" s="125">
        <f>Lista!C580</f>
        <v>0</v>
      </c>
      <c r="E581" s="125">
        <f>Lista!D580</f>
        <v>0</v>
      </c>
      <c r="F581" s="125">
        <f>Lista!E580</f>
        <v>0</v>
      </c>
      <c r="G581" s="125">
        <f>Lista!F580</f>
        <v>0</v>
      </c>
      <c r="H581" s="125">
        <f>Lista!G580</f>
        <v>0</v>
      </c>
      <c r="I581" s="125">
        <f>Lista!H580</f>
        <v>0</v>
      </c>
      <c r="J581" s="125">
        <f>Lista!I580</f>
        <v>0</v>
      </c>
      <c r="K581" s="125">
        <f>Lista!J580</f>
        <v>0</v>
      </c>
      <c r="L581" s="125">
        <f>Lista!K580</f>
        <v>0</v>
      </c>
      <c r="M581" s="125">
        <f>Lista!L580</f>
        <v>0</v>
      </c>
      <c r="N581" s="125">
        <f>Lista!M580</f>
        <v>0</v>
      </c>
      <c r="O581" s="125">
        <f>Lista!N580</f>
        <v>0</v>
      </c>
      <c r="P581" s="125">
        <f>Lista!O580</f>
        <v>0</v>
      </c>
      <c r="Q581" s="125">
        <f>Lista!P580</f>
        <v>0</v>
      </c>
      <c r="R581" s="125">
        <f>Lista!Q580</f>
        <v>0</v>
      </c>
      <c r="S581" s="125">
        <f>Lista!R580</f>
        <v>0</v>
      </c>
      <c r="T581" s="81"/>
      <c r="U581" s="81"/>
      <c r="V581" s="81"/>
      <c r="W581" s="81"/>
      <c r="X581" s="81"/>
      <c r="Y581" s="81"/>
      <c r="Z581" s="81"/>
      <c r="AA581" s="81"/>
      <c r="AB581" s="81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  <c r="BS581" s="81"/>
      <c r="BT581" s="81"/>
      <c r="BU581" s="81"/>
      <c r="BV581" s="81"/>
      <c r="BW581" s="81"/>
      <c r="BX581" s="81"/>
      <c r="BY581" s="81"/>
      <c r="BZ581" s="81"/>
      <c r="CA581" s="81"/>
      <c r="CB581" s="81"/>
      <c r="CC581" s="81"/>
      <c r="CD581" s="81"/>
      <c r="CE581" s="81"/>
      <c r="CF581" s="81"/>
      <c r="CG581" s="81"/>
      <c r="CH581" s="81"/>
      <c r="CI581" s="81"/>
      <c r="CJ581" s="81"/>
      <c r="CK581" s="81"/>
      <c r="CL581" s="81"/>
      <c r="CM581" s="81"/>
      <c r="CN581" s="81"/>
      <c r="CO581" s="81"/>
      <c r="CP581" s="81"/>
      <c r="CQ581" s="81"/>
      <c r="CR581" s="81"/>
      <c r="CS581" s="81"/>
      <c r="CT581" s="81"/>
      <c r="CU581" s="81"/>
      <c r="CV581" s="81"/>
      <c r="CW581" s="81"/>
      <c r="CX581" s="81"/>
      <c r="CY581" s="81"/>
      <c r="CZ581" s="81"/>
      <c r="DA581" s="81"/>
      <c r="DB581" s="81"/>
      <c r="DC581" s="81"/>
      <c r="DD581" s="81"/>
      <c r="DE581" s="81"/>
      <c r="DF581" s="81"/>
      <c r="DG581" s="81"/>
      <c r="DH581" s="81"/>
      <c r="DI581" s="81"/>
      <c r="DJ581" s="81"/>
      <c r="DK581" s="81"/>
      <c r="DL581" s="81"/>
      <c r="DM581" s="81"/>
      <c r="DN581" s="81"/>
      <c r="DO581" s="81"/>
      <c r="DP581" s="81"/>
      <c r="DQ581" s="81"/>
      <c r="DR581" s="81"/>
      <c r="DS581" s="81"/>
      <c r="DT581" s="81"/>
      <c r="DU581" s="81"/>
      <c r="DV581" s="81"/>
      <c r="DW581" s="121"/>
    </row>
    <row r="582" spans="1:127" x14ac:dyDescent="0.25">
      <c r="A582" s="2">
        <f>COUNTIF($D$2:D582,'Reporte de Nomina'!$E$2)</f>
        <v>0</v>
      </c>
      <c r="B582" s="125">
        <f>Lista!A581</f>
        <v>0</v>
      </c>
      <c r="C582" s="125">
        <f>Lista!B581</f>
        <v>0</v>
      </c>
      <c r="D582" s="125">
        <f>Lista!C581</f>
        <v>0</v>
      </c>
      <c r="E582" s="125">
        <f>Lista!D581</f>
        <v>0</v>
      </c>
      <c r="F582" s="125">
        <f>Lista!E581</f>
        <v>0</v>
      </c>
      <c r="G582" s="125">
        <f>Lista!F581</f>
        <v>0</v>
      </c>
      <c r="H582" s="125">
        <f>Lista!G581</f>
        <v>0</v>
      </c>
      <c r="I582" s="125">
        <f>Lista!H581</f>
        <v>0</v>
      </c>
      <c r="J582" s="125">
        <f>Lista!I581</f>
        <v>0</v>
      </c>
      <c r="K582" s="125">
        <f>Lista!J581</f>
        <v>0</v>
      </c>
      <c r="L582" s="125">
        <f>Lista!K581</f>
        <v>0</v>
      </c>
      <c r="M582" s="125">
        <f>Lista!L581</f>
        <v>0</v>
      </c>
      <c r="N582" s="125">
        <f>Lista!M581</f>
        <v>0</v>
      </c>
      <c r="O582" s="125">
        <f>Lista!N581</f>
        <v>0</v>
      </c>
      <c r="P582" s="125">
        <f>Lista!O581</f>
        <v>0</v>
      </c>
      <c r="Q582" s="125">
        <f>Lista!P581</f>
        <v>0</v>
      </c>
      <c r="R582" s="125">
        <f>Lista!Q581</f>
        <v>0</v>
      </c>
      <c r="S582" s="125">
        <f>Lista!R581</f>
        <v>0</v>
      </c>
      <c r="T582" s="81"/>
      <c r="U582" s="81"/>
      <c r="V582" s="81"/>
      <c r="W582" s="81"/>
      <c r="X582" s="81"/>
      <c r="Y582" s="81"/>
      <c r="Z582" s="81"/>
      <c r="AA582" s="81"/>
      <c r="AB582" s="81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  <c r="BS582" s="81"/>
      <c r="BT582" s="81"/>
      <c r="BU582" s="81"/>
      <c r="BV582" s="81"/>
      <c r="BW582" s="81"/>
      <c r="BX582" s="81"/>
      <c r="BY582" s="81"/>
      <c r="BZ582" s="81"/>
      <c r="CA582" s="81"/>
      <c r="CB582" s="81"/>
      <c r="CC582" s="81"/>
      <c r="CD582" s="81"/>
      <c r="CE582" s="81"/>
      <c r="CF582" s="81"/>
      <c r="CG582" s="81"/>
      <c r="CH582" s="81"/>
      <c r="CI582" s="81"/>
      <c r="CJ582" s="81"/>
      <c r="CK582" s="81"/>
      <c r="CL582" s="81"/>
      <c r="CM582" s="81"/>
      <c r="CN582" s="81"/>
      <c r="CO582" s="81"/>
      <c r="CP582" s="81"/>
      <c r="CQ582" s="81"/>
      <c r="CR582" s="81"/>
      <c r="CS582" s="81"/>
      <c r="CT582" s="81"/>
      <c r="CU582" s="81"/>
      <c r="CV582" s="81"/>
      <c r="CW582" s="81"/>
      <c r="CX582" s="81"/>
      <c r="CY582" s="81"/>
      <c r="CZ582" s="81"/>
      <c r="DA582" s="81"/>
      <c r="DB582" s="81"/>
      <c r="DC582" s="81"/>
      <c r="DD582" s="81"/>
      <c r="DE582" s="81"/>
      <c r="DF582" s="81"/>
      <c r="DG582" s="81"/>
      <c r="DH582" s="81"/>
      <c r="DI582" s="81"/>
      <c r="DJ582" s="81"/>
      <c r="DK582" s="81"/>
      <c r="DL582" s="81"/>
      <c r="DM582" s="81"/>
      <c r="DN582" s="81"/>
      <c r="DO582" s="81"/>
      <c r="DP582" s="81"/>
      <c r="DQ582" s="81"/>
      <c r="DR582" s="81"/>
      <c r="DS582" s="81"/>
      <c r="DT582" s="81"/>
      <c r="DU582" s="81"/>
      <c r="DV582" s="81"/>
      <c r="DW582" s="121"/>
    </row>
    <row r="583" spans="1:127" x14ac:dyDescent="0.25">
      <c r="A583" s="2">
        <f>COUNTIF($D$2:D583,'Reporte de Nomina'!$E$2)</f>
        <v>0</v>
      </c>
      <c r="B583" s="125">
        <f>Lista!A582</f>
        <v>0</v>
      </c>
      <c r="C583" s="125">
        <f>Lista!B582</f>
        <v>0</v>
      </c>
      <c r="D583" s="125">
        <f>Lista!C582</f>
        <v>0</v>
      </c>
      <c r="E583" s="125">
        <f>Lista!D582</f>
        <v>0</v>
      </c>
      <c r="F583" s="125">
        <f>Lista!E582</f>
        <v>0</v>
      </c>
      <c r="G583" s="125">
        <f>Lista!F582</f>
        <v>0</v>
      </c>
      <c r="H583" s="125">
        <f>Lista!G582</f>
        <v>0</v>
      </c>
      <c r="I583" s="125">
        <f>Lista!H582</f>
        <v>0</v>
      </c>
      <c r="J583" s="125">
        <f>Lista!I582</f>
        <v>0</v>
      </c>
      <c r="K583" s="125">
        <f>Lista!J582</f>
        <v>0</v>
      </c>
      <c r="L583" s="125">
        <f>Lista!K582</f>
        <v>0</v>
      </c>
      <c r="M583" s="125">
        <f>Lista!L582</f>
        <v>0</v>
      </c>
      <c r="N583" s="125">
        <f>Lista!M582</f>
        <v>0</v>
      </c>
      <c r="O583" s="125">
        <f>Lista!N582</f>
        <v>0</v>
      </c>
      <c r="P583" s="125">
        <f>Lista!O582</f>
        <v>0</v>
      </c>
      <c r="Q583" s="125">
        <f>Lista!P582</f>
        <v>0</v>
      </c>
      <c r="R583" s="125">
        <f>Lista!Q582</f>
        <v>0</v>
      </c>
      <c r="S583" s="125">
        <f>Lista!R582</f>
        <v>0</v>
      </c>
      <c r="T583" s="81"/>
      <c r="U583" s="81"/>
      <c r="V583" s="81"/>
      <c r="W583" s="81"/>
      <c r="X583" s="81"/>
      <c r="Y583" s="81"/>
      <c r="Z583" s="81"/>
      <c r="AA583" s="81"/>
      <c r="AB583" s="81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  <c r="BS583" s="81"/>
      <c r="BT583" s="81"/>
      <c r="BU583" s="81"/>
      <c r="BV583" s="81"/>
      <c r="BW583" s="81"/>
      <c r="BX583" s="81"/>
      <c r="BY583" s="81"/>
      <c r="BZ583" s="81"/>
      <c r="CA583" s="81"/>
      <c r="CB583" s="81"/>
      <c r="CC583" s="81"/>
      <c r="CD583" s="81"/>
      <c r="CE583" s="81"/>
      <c r="CF583" s="81"/>
      <c r="CG583" s="81"/>
      <c r="CH583" s="81"/>
      <c r="CI583" s="81"/>
      <c r="CJ583" s="81"/>
      <c r="CK583" s="81"/>
      <c r="CL583" s="81"/>
      <c r="CM583" s="81"/>
      <c r="CN583" s="81"/>
      <c r="CO583" s="81"/>
      <c r="CP583" s="81"/>
      <c r="CQ583" s="81"/>
      <c r="CR583" s="81"/>
      <c r="CS583" s="81"/>
      <c r="CT583" s="81"/>
      <c r="CU583" s="81"/>
      <c r="CV583" s="81"/>
      <c r="CW583" s="81"/>
      <c r="CX583" s="81"/>
      <c r="CY583" s="81"/>
      <c r="CZ583" s="81"/>
      <c r="DA583" s="81"/>
      <c r="DB583" s="81"/>
      <c r="DC583" s="81"/>
      <c r="DD583" s="81"/>
      <c r="DE583" s="81"/>
      <c r="DF583" s="81"/>
      <c r="DG583" s="81"/>
      <c r="DH583" s="81"/>
      <c r="DI583" s="81"/>
      <c r="DJ583" s="81"/>
      <c r="DK583" s="81"/>
      <c r="DL583" s="81"/>
      <c r="DM583" s="81"/>
      <c r="DN583" s="81"/>
      <c r="DO583" s="81"/>
      <c r="DP583" s="81"/>
      <c r="DQ583" s="81"/>
      <c r="DR583" s="81"/>
      <c r="DS583" s="81"/>
      <c r="DT583" s="81"/>
      <c r="DU583" s="81"/>
      <c r="DV583" s="81"/>
      <c r="DW583" s="121"/>
    </row>
    <row r="584" spans="1:127" x14ac:dyDescent="0.25">
      <c r="A584" s="2">
        <f>COUNTIF($D$2:D584,'Reporte de Nomina'!$E$2)</f>
        <v>0</v>
      </c>
      <c r="B584" s="125">
        <f>Lista!A583</f>
        <v>0</v>
      </c>
      <c r="C584" s="125">
        <f>Lista!B583</f>
        <v>0</v>
      </c>
      <c r="D584" s="125">
        <f>Lista!C583</f>
        <v>0</v>
      </c>
      <c r="E584" s="125">
        <f>Lista!D583</f>
        <v>0</v>
      </c>
      <c r="F584" s="125">
        <f>Lista!E583</f>
        <v>0</v>
      </c>
      <c r="G584" s="125">
        <f>Lista!F583</f>
        <v>0</v>
      </c>
      <c r="H584" s="125">
        <f>Lista!G583</f>
        <v>0</v>
      </c>
      <c r="I584" s="125">
        <f>Lista!H583</f>
        <v>0</v>
      </c>
      <c r="J584" s="125">
        <f>Lista!I583</f>
        <v>0</v>
      </c>
      <c r="K584" s="125">
        <f>Lista!J583</f>
        <v>0</v>
      </c>
      <c r="L584" s="125">
        <f>Lista!K583</f>
        <v>0</v>
      </c>
      <c r="M584" s="125">
        <f>Lista!L583</f>
        <v>0</v>
      </c>
      <c r="N584" s="125">
        <f>Lista!M583</f>
        <v>0</v>
      </c>
      <c r="O584" s="125">
        <f>Lista!N583</f>
        <v>0</v>
      </c>
      <c r="P584" s="125">
        <f>Lista!O583</f>
        <v>0</v>
      </c>
      <c r="Q584" s="125">
        <f>Lista!P583</f>
        <v>0</v>
      </c>
      <c r="R584" s="125">
        <f>Lista!Q583</f>
        <v>0</v>
      </c>
      <c r="S584" s="125">
        <f>Lista!R583</f>
        <v>0</v>
      </c>
      <c r="T584" s="81"/>
      <c r="U584" s="81"/>
      <c r="V584" s="81"/>
      <c r="W584" s="81"/>
      <c r="X584" s="81"/>
      <c r="Y584" s="81"/>
      <c r="Z584" s="81"/>
      <c r="AA584" s="81"/>
      <c r="AB584" s="81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  <c r="BS584" s="81"/>
      <c r="BT584" s="81"/>
      <c r="BU584" s="81"/>
      <c r="BV584" s="81"/>
      <c r="BW584" s="81"/>
      <c r="BX584" s="81"/>
      <c r="BY584" s="81"/>
      <c r="BZ584" s="81"/>
      <c r="CA584" s="81"/>
      <c r="CB584" s="81"/>
      <c r="CC584" s="81"/>
      <c r="CD584" s="81"/>
      <c r="CE584" s="81"/>
      <c r="CF584" s="81"/>
      <c r="CG584" s="81"/>
      <c r="CH584" s="81"/>
      <c r="CI584" s="81"/>
      <c r="CJ584" s="81"/>
      <c r="CK584" s="81"/>
      <c r="CL584" s="81"/>
      <c r="CM584" s="81"/>
      <c r="CN584" s="81"/>
      <c r="CO584" s="81"/>
      <c r="CP584" s="81"/>
      <c r="CQ584" s="81"/>
      <c r="CR584" s="81"/>
      <c r="CS584" s="81"/>
      <c r="CT584" s="81"/>
      <c r="CU584" s="81"/>
      <c r="CV584" s="81"/>
      <c r="CW584" s="81"/>
      <c r="CX584" s="81"/>
      <c r="CY584" s="81"/>
      <c r="CZ584" s="81"/>
      <c r="DA584" s="81"/>
      <c r="DB584" s="81"/>
      <c r="DC584" s="81"/>
      <c r="DD584" s="81"/>
      <c r="DE584" s="81"/>
      <c r="DF584" s="81"/>
      <c r="DG584" s="81"/>
      <c r="DH584" s="81"/>
      <c r="DI584" s="81"/>
      <c r="DJ584" s="81"/>
      <c r="DK584" s="81"/>
      <c r="DL584" s="81"/>
      <c r="DM584" s="81"/>
      <c r="DN584" s="81"/>
      <c r="DO584" s="81"/>
      <c r="DP584" s="81"/>
      <c r="DQ584" s="81"/>
      <c r="DR584" s="81"/>
      <c r="DS584" s="81"/>
      <c r="DT584" s="81"/>
      <c r="DU584" s="81"/>
      <c r="DV584" s="81"/>
      <c r="DW584" s="121"/>
    </row>
    <row r="585" spans="1:127" x14ac:dyDescent="0.25">
      <c r="A585" s="2">
        <f>COUNTIF($D$2:D585,'Reporte de Nomina'!$E$2)</f>
        <v>0</v>
      </c>
      <c r="B585" s="125">
        <f>Lista!A584</f>
        <v>0</v>
      </c>
      <c r="C585" s="125">
        <f>Lista!B584</f>
        <v>0</v>
      </c>
      <c r="D585" s="125">
        <f>Lista!C584</f>
        <v>0</v>
      </c>
      <c r="E585" s="125">
        <f>Lista!D584</f>
        <v>0</v>
      </c>
      <c r="F585" s="125">
        <f>Lista!E584</f>
        <v>0</v>
      </c>
      <c r="G585" s="125">
        <f>Lista!F584</f>
        <v>0</v>
      </c>
      <c r="H585" s="125">
        <f>Lista!G584</f>
        <v>0</v>
      </c>
      <c r="I585" s="125">
        <f>Lista!H584</f>
        <v>0</v>
      </c>
      <c r="J585" s="125">
        <f>Lista!I584</f>
        <v>0</v>
      </c>
      <c r="K585" s="125">
        <f>Lista!J584</f>
        <v>0</v>
      </c>
      <c r="L585" s="125">
        <f>Lista!K584</f>
        <v>0</v>
      </c>
      <c r="M585" s="125">
        <f>Lista!L584</f>
        <v>0</v>
      </c>
      <c r="N585" s="125">
        <f>Lista!M584</f>
        <v>0</v>
      </c>
      <c r="O585" s="125">
        <f>Lista!N584</f>
        <v>0</v>
      </c>
      <c r="P585" s="125">
        <f>Lista!O584</f>
        <v>0</v>
      </c>
      <c r="Q585" s="125">
        <f>Lista!P584</f>
        <v>0</v>
      </c>
      <c r="R585" s="125">
        <f>Lista!Q584</f>
        <v>0</v>
      </c>
      <c r="S585" s="125">
        <f>Lista!R584</f>
        <v>0</v>
      </c>
      <c r="T585" s="81"/>
      <c r="U585" s="81"/>
      <c r="V585" s="81"/>
      <c r="W585" s="81"/>
      <c r="X585" s="81"/>
      <c r="Y585" s="81"/>
      <c r="Z585" s="81"/>
      <c r="AA585" s="81"/>
      <c r="AB585" s="81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  <c r="BS585" s="81"/>
      <c r="BT585" s="81"/>
      <c r="BU585" s="81"/>
      <c r="BV585" s="81"/>
      <c r="BW585" s="81"/>
      <c r="BX585" s="81"/>
      <c r="BY585" s="81"/>
      <c r="BZ585" s="81"/>
      <c r="CA585" s="81"/>
      <c r="CB585" s="81"/>
      <c r="CC585" s="81"/>
      <c r="CD585" s="81"/>
      <c r="CE585" s="81"/>
      <c r="CF585" s="81"/>
      <c r="CG585" s="81"/>
      <c r="CH585" s="81"/>
      <c r="CI585" s="81"/>
      <c r="CJ585" s="81"/>
      <c r="CK585" s="81"/>
      <c r="CL585" s="81"/>
      <c r="CM585" s="81"/>
      <c r="CN585" s="81"/>
      <c r="CO585" s="81"/>
      <c r="CP585" s="81"/>
      <c r="CQ585" s="81"/>
      <c r="CR585" s="81"/>
      <c r="CS585" s="81"/>
      <c r="CT585" s="81"/>
      <c r="CU585" s="81"/>
      <c r="CV585" s="81"/>
      <c r="CW585" s="81"/>
      <c r="CX585" s="81"/>
      <c r="CY585" s="81"/>
      <c r="CZ585" s="81"/>
      <c r="DA585" s="81"/>
      <c r="DB585" s="81"/>
      <c r="DC585" s="81"/>
      <c r="DD585" s="81"/>
      <c r="DE585" s="81"/>
      <c r="DF585" s="81"/>
      <c r="DG585" s="81"/>
      <c r="DH585" s="81"/>
      <c r="DI585" s="81"/>
      <c r="DJ585" s="81"/>
      <c r="DK585" s="81"/>
      <c r="DL585" s="81"/>
      <c r="DM585" s="81"/>
      <c r="DN585" s="81"/>
      <c r="DO585" s="81"/>
      <c r="DP585" s="81"/>
      <c r="DQ585" s="81"/>
      <c r="DR585" s="81"/>
      <c r="DS585" s="81"/>
      <c r="DT585" s="81"/>
      <c r="DU585" s="81"/>
      <c r="DV585" s="81"/>
      <c r="DW585" s="121"/>
    </row>
    <row r="586" spans="1:127" x14ac:dyDescent="0.25">
      <c r="A586" s="2">
        <f>COUNTIF($D$2:D586,'Reporte de Nomina'!$E$2)</f>
        <v>0</v>
      </c>
      <c r="B586" s="125">
        <f>Lista!A585</f>
        <v>0</v>
      </c>
      <c r="C586" s="125">
        <f>Lista!B585</f>
        <v>0</v>
      </c>
      <c r="D586" s="125">
        <f>Lista!C585</f>
        <v>0</v>
      </c>
      <c r="E586" s="125">
        <f>Lista!D585</f>
        <v>0</v>
      </c>
      <c r="F586" s="125">
        <f>Lista!E585</f>
        <v>0</v>
      </c>
      <c r="G586" s="125">
        <f>Lista!F585</f>
        <v>0</v>
      </c>
      <c r="H586" s="125">
        <f>Lista!G585</f>
        <v>0</v>
      </c>
      <c r="I586" s="125">
        <f>Lista!H585</f>
        <v>0</v>
      </c>
      <c r="J586" s="125">
        <f>Lista!I585</f>
        <v>0</v>
      </c>
      <c r="K586" s="125">
        <f>Lista!J585</f>
        <v>0</v>
      </c>
      <c r="L586" s="125">
        <f>Lista!K585</f>
        <v>0</v>
      </c>
      <c r="M586" s="125">
        <f>Lista!L585</f>
        <v>0</v>
      </c>
      <c r="N586" s="125">
        <f>Lista!M585</f>
        <v>0</v>
      </c>
      <c r="O586" s="125">
        <f>Lista!N585</f>
        <v>0</v>
      </c>
      <c r="P586" s="125">
        <f>Lista!O585</f>
        <v>0</v>
      </c>
      <c r="Q586" s="125">
        <f>Lista!P585</f>
        <v>0</v>
      </c>
      <c r="R586" s="125">
        <f>Lista!Q585</f>
        <v>0</v>
      </c>
      <c r="S586" s="125">
        <f>Lista!R585</f>
        <v>0</v>
      </c>
      <c r="T586" s="81"/>
      <c r="U586" s="81"/>
      <c r="V586" s="81"/>
      <c r="W586" s="81"/>
      <c r="X586" s="81"/>
      <c r="Y586" s="81"/>
      <c r="Z586" s="81"/>
      <c r="AA586" s="81"/>
      <c r="AB586" s="81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  <c r="BS586" s="81"/>
      <c r="BT586" s="81"/>
      <c r="BU586" s="81"/>
      <c r="BV586" s="81"/>
      <c r="BW586" s="81"/>
      <c r="BX586" s="81"/>
      <c r="BY586" s="81"/>
      <c r="BZ586" s="81"/>
      <c r="CA586" s="81"/>
      <c r="CB586" s="81"/>
      <c r="CC586" s="81"/>
      <c r="CD586" s="81"/>
      <c r="CE586" s="81"/>
      <c r="CF586" s="81"/>
      <c r="CG586" s="81"/>
      <c r="CH586" s="81"/>
      <c r="CI586" s="81"/>
      <c r="CJ586" s="81"/>
      <c r="CK586" s="81"/>
      <c r="CL586" s="81"/>
      <c r="CM586" s="81"/>
      <c r="CN586" s="81"/>
      <c r="CO586" s="81"/>
      <c r="CP586" s="81"/>
      <c r="CQ586" s="81"/>
      <c r="CR586" s="81"/>
      <c r="CS586" s="81"/>
      <c r="CT586" s="81"/>
      <c r="CU586" s="81"/>
      <c r="CV586" s="81"/>
      <c r="CW586" s="81"/>
      <c r="CX586" s="81"/>
      <c r="CY586" s="81"/>
      <c r="CZ586" s="81"/>
      <c r="DA586" s="81"/>
      <c r="DB586" s="81"/>
      <c r="DC586" s="81"/>
      <c r="DD586" s="81"/>
      <c r="DE586" s="81"/>
      <c r="DF586" s="81"/>
      <c r="DG586" s="81"/>
      <c r="DH586" s="81"/>
      <c r="DI586" s="81"/>
      <c r="DJ586" s="81"/>
      <c r="DK586" s="81"/>
      <c r="DL586" s="81"/>
      <c r="DM586" s="81"/>
      <c r="DN586" s="81"/>
      <c r="DO586" s="81"/>
      <c r="DP586" s="81"/>
      <c r="DQ586" s="81"/>
      <c r="DR586" s="81"/>
      <c r="DS586" s="81"/>
      <c r="DT586" s="81"/>
      <c r="DU586" s="81"/>
      <c r="DV586" s="81"/>
      <c r="DW586" s="121"/>
    </row>
    <row r="587" spans="1:127" x14ac:dyDescent="0.25">
      <c r="A587" s="2">
        <f>COUNTIF($D$2:D587,'Reporte de Nomina'!$E$2)</f>
        <v>0</v>
      </c>
      <c r="B587" s="125">
        <f>Lista!A586</f>
        <v>0</v>
      </c>
      <c r="C587" s="125">
        <f>Lista!B586</f>
        <v>0</v>
      </c>
      <c r="D587" s="125">
        <f>Lista!C586</f>
        <v>0</v>
      </c>
      <c r="E587" s="125">
        <f>Lista!D586</f>
        <v>0</v>
      </c>
      <c r="F587" s="125">
        <f>Lista!E586</f>
        <v>0</v>
      </c>
      <c r="G587" s="125">
        <f>Lista!F586</f>
        <v>0</v>
      </c>
      <c r="H587" s="125">
        <f>Lista!G586</f>
        <v>0</v>
      </c>
      <c r="I587" s="125">
        <f>Lista!H586</f>
        <v>0</v>
      </c>
      <c r="J587" s="125">
        <f>Lista!I586</f>
        <v>0</v>
      </c>
      <c r="K587" s="125">
        <f>Lista!J586</f>
        <v>0</v>
      </c>
      <c r="L587" s="125">
        <f>Lista!K586</f>
        <v>0</v>
      </c>
      <c r="M587" s="125">
        <f>Lista!L586</f>
        <v>0</v>
      </c>
      <c r="N587" s="125">
        <f>Lista!M586</f>
        <v>0</v>
      </c>
      <c r="O587" s="125">
        <f>Lista!N586</f>
        <v>0</v>
      </c>
      <c r="P587" s="125">
        <f>Lista!O586</f>
        <v>0</v>
      </c>
      <c r="Q587" s="125">
        <f>Lista!P586</f>
        <v>0</v>
      </c>
      <c r="R587" s="125">
        <f>Lista!Q586</f>
        <v>0</v>
      </c>
      <c r="S587" s="125">
        <f>Lista!R586</f>
        <v>0</v>
      </c>
      <c r="T587" s="81"/>
      <c r="U587" s="81"/>
      <c r="V587" s="81"/>
      <c r="W587" s="81"/>
      <c r="X587" s="81"/>
      <c r="Y587" s="81"/>
      <c r="Z587" s="81"/>
      <c r="AA587" s="81"/>
      <c r="AB587" s="81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  <c r="BS587" s="81"/>
      <c r="BT587" s="81"/>
      <c r="BU587" s="81"/>
      <c r="BV587" s="81"/>
      <c r="BW587" s="81"/>
      <c r="BX587" s="81"/>
      <c r="BY587" s="81"/>
      <c r="BZ587" s="81"/>
      <c r="CA587" s="81"/>
      <c r="CB587" s="81"/>
      <c r="CC587" s="81"/>
      <c r="CD587" s="81"/>
      <c r="CE587" s="81"/>
      <c r="CF587" s="81"/>
      <c r="CG587" s="81"/>
      <c r="CH587" s="81"/>
      <c r="CI587" s="81"/>
      <c r="CJ587" s="81"/>
      <c r="CK587" s="81"/>
      <c r="CL587" s="81"/>
      <c r="CM587" s="81"/>
      <c r="CN587" s="81"/>
      <c r="CO587" s="81"/>
      <c r="CP587" s="81"/>
      <c r="CQ587" s="81"/>
      <c r="CR587" s="81"/>
      <c r="CS587" s="81"/>
      <c r="CT587" s="81"/>
      <c r="CU587" s="81"/>
      <c r="CV587" s="81"/>
      <c r="CW587" s="81"/>
      <c r="CX587" s="81"/>
      <c r="CY587" s="81"/>
      <c r="CZ587" s="81"/>
      <c r="DA587" s="81"/>
      <c r="DB587" s="81"/>
      <c r="DC587" s="81"/>
      <c r="DD587" s="81"/>
      <c r="DE587" s="81"/>
      <c r="DF587" s="81"/>
      <c r="DG587" s="81"/>
      <c r="DH587" s="81"/>
      <c r="DI587" s="81"/>
      <c r="DJ587" s="81"/>
      <c r="DK587" s="81"/>
      <c r="DL587" s="81"/>
      <c r="DM587" s="81"/>
      <c r="DN587" s="81"/>
      <c r="DO587" s="81"/>
      <c r="DP587" s="81"/>
      <c r="DQ587" s="81"/>
      <c r="DR587" s="81"/>
      <c r="DS587" s="81"/>
      <c r="DT587" s="81"/>
      <c r="DU587" s="81"/>
      <c r="DV587" s="81"/>
      <c r="DW587" s="121"/>
    </row>
    <row r="588" spans="1:127" x14ac:dyDescent="0.25">
      <c r="A588" s="2">
        <f>COUNTIF($D$2:D588,'Reporte de Nomina'!$E$2)</f>
        <v>0</v>
      </c>
      <c r="B588" s="125">
        <f>Lista!A587</f>
        <v>0</v>
      </c>
      <c r="C588" s="125">
        <f>Lista!B587</f>
        <v>0</v>
      </c>
      <c r="D588" s="125">
        <f>Lista!C587</f>
        <v>0</v>
      </c>
      <c r="E588" s="125">
        <f>Lista!D587</f>
        <v>0</v>
      </c>
      <c r="F588" s="125">
        <f>Lista!E587</f>
        <v>0</v>
      </c>
      <c r="G588" s="125">
        <f>Lista!F587</f>
        <v>0</v>
      </c>
      <c r="H588" s="125">
        <f>Lista!G587</f>
        <v>0</v>
      </c>
      <c r="I588" s="125">
        <f>Lista!H587</f>
        <v>0</v>
      </c>
      <c r="J588" s="125">
        <f>Lista!I587</f>
        <v>0</v>
      </c>
      <c r="K588" s="125">
        <f>Lista!J587</f>
        <v>0</v>
      </c>
      <c r="L588" s="125">
        <f>Lista!K587</f>
        <v>0</v>
      </c>
      <c r="M588" s="125">
        <f>Lista!L587</f>
        <v>0</v>
      </c>
      <c r="N588" s="125">
        <f>Lista!M587</f>
        <v>0</v>
      </c>
      <c r="O588" s="125">
        <f>Lista!N587</f>
        <v>0</v>
      </c>
      <c r="P588" s="125">
        <f>Lista!O587</f>
        <v>0</v>
      </c>
      <c r="Q588" s="125">
        <f>Lista!P587</f>
        <v>0</v>
      </c>
      <c r="R588" s="125">
        <f>Lista!Q587</f>
        <v>0</v>
      </c>
      <c r="S588" s="125">
        <f>Lista!R587</f>
        <v>0</v>
      </c>
      <c r="T588" s="81"/>
      <c r="U588" s="81"/>
      <c r="V588" s="81"/>
      <c r="W588" s="81"/>
      <c r="X588" s="81"/>
      <c r="Y588" s="81"/>
      <c r="Z588" s="81"/>
      <c r="AA588" s="81"/>
      <c r="AB588" s="81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  <c r="BS588" s="81"/>
      <c r="BT588" s="81"/>
      <c r="BU588" s="81"/>
      <c r="BV588" s="81"/>
      <c r="BW588" s="81"/>
      <c r="BX588" s="81"/>
      <c r="BY588" s="81"/>
      <c r="BZ588" s="81"/>
      <c r="CA588" s="81"/>
      <c r="CB588" s="81"/>
      <c r="CC588" s="81"/>
      <c r="CD588" s="81"/>
      <c r="CE588" s="81"/>
      <c r="CF588" s="81"/>
      <c r="CG588" s="81"/>
      <c r="CH588" s="81"/>
      <c r="CI588" s="81"/>
      <c r="CJ588" s="81"/>
      <c r="CK588" s="81"/>
      <c r="CL588" s="81"/>
      <c r="CM588" s="81"/>
      <c r="CN588" s="81"/>
      <c r="CO588" s="81"/>
      <c r="CP588" s="81"/>
      <c r="CQ588" s="81"/>
      <c r="CR588" s="81"/>
      <c r="CS588" s="81"/>
      <c r="CT588" s="81"/>
      <c r="CU588" s="81"/>
      <c r="CV588" s="81"/>
      <c r="CW588" s="81"/>
      <c r="CX588" s="81"/>
      <c r="CY588" s="81"/>
      <c r="CZ588" s="81"/>
      <c r="DA588" s="81"/>
      <c r="DB588" s="81"/>
      <c r="DC588" s="81"/>
      <c r="DD588" s="81"/>
      <c r="DE588" s="81"/>
      <c r="DF588" s="81"/>
      <c r="DG588" s="81"/>
      <c r="DH588" s="81"/>
      <c r="DI588" s="81"/>
      <c r="DJ588" s="81"/>
      <c r="DK588" s="81"/>
      <c r="DL588" s="81"/>
      <c r="DM588" s="81"/>
      <c r="DN588" s="81"/>
      <c r="DO588" s="81"/>
      <c r="DP588" s="81"/>
      <c r="DQ588" s="81"/>
      <c r="DR588" s="81"/>
      <c r="DS588" s="81"/>
      <c r="DT588" s="81"/>
      <c r="DU588" s="81"/>
      <c r="DV588" s="81"/>
      <c r="DW588" s="121"/>
    </row>
    <row r="589" spans="1:127" x14ac:dyDescent="0.25">
      <c r="A589" s="2">
        <f>COUNTIF($D$2:D589,'Reporte de Nomina'!$E$2)</f>
        <v>0</v>
      </c>
      <c r="B589" s="125">
        <f>Lista!A588</f>
        <v>0</v>
      </c>
      <c r="C589" s="125">
        <f>Lista!B588</f>
        <v>0</v>
      </c>
      <c r="D589" s="125">
        <f>Lista!C588</f>
        <v>0</v>
      </c>
      <c r="E589" s="125">
        <f>Lista!D588</f>
        <v>0</v>
      </c>
      <c r="F589" s="125">
        <f>Lista!E588</f>
        <v>0</v>
      </c>
      <c r="G589" s="125">
        <f>Lista!F588</f>
        <v>0</v>
      </c>
      <c r="H589" s="125">
        <f>Lista!G588</f>
        <v>0</v>
      </c>
      <c r="I589" s="125">
        <f>Lista!H588</f>
        <v>0</v>
      </c>
      <c r="J589" s="125">
        <f>Lista!I588</f>
        <v>0</v>
      </c>
      <c r="K589" s="125">
        <f>Lista!J588</f>
        <v>0</v>
      </c>
      <c r="L589" s="125">
        <f>Lista!K588</f>
        <v>0</v>
      </c>
      <c r="M589" s="125">
        <f>Lista!L588</f>
        <v>0</v>
      </c>
      <c r="N589" s="125">
        <f>Lista!M588</f>
        <v>0</v>
      </c>
      <c r="O589" s="125">
        <f>Lista!N588</f>
        <v>0</v>
      </c>
      <c r="P589" s="125">
        <f>Lista!O588</f>
        <v>0</v>
      </c>
      <c r="Q589" s="125">
        <f>Lista!P588</f>
        <v>0</v>
      </c>
      <c r="R589" s="125">
        <f>Lista!Q588</f>
        <v>0</v>
      </c>
      <c r="S589" s="125">
        <f>Lista!R588</f>
        <v>0</v>
      </c>
      <c r="T589" s="81"/>
      <c r="U589" s="81"/>
      <c r="V589" s="81"/>
      <c r="W589" s="81"/>
      <c r="X589" s="81"/>
      <c r="Y589" s="81"/>
      <c r="Z589" s="81"/>
      <c r="AA589" s="81"/>
      <c r="AB589" s="81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  <c r="BS589" s="81"/>
      <c r="BT589" s="81"/>
      <c r="BU589" s="81"/>
      <c r="BV589" s="81"/>
      <c r="BW589" s="81"/>
      <c r="BX589" s="81"/>
      <c r="BY589" s="81"/>
      <c r="BZ589" s="81"/>
      <c r="CA589" s="81"/>
      <c r="CB589" s="81"/>
      <c r="CC589" s="81"/>
      <c r="CD589" s="81"/>
      <c r="CE589" s="81"/>
      <c r="CF589" s="81"/>
      <c r="CG589" s="81"/>
      <c r="CH589" s="81"/>
      <c r="CI589" s="81"/>
      <c r="CJ589" s="81"/>
      <c r="CK589" s="81"/>
      <c r="CL589" s="81"/>
      <c r="CM589" s="81"/>
      <c r="CN589" s="81"/>
      <c r="CO589" s="81"/>
      <c r="CP589" s="81"/>
      <c r="CQ589" s="81"/>
      <c r="CR589" s="81"/>
      <c r="CS589" s="81"/>
      <c r="CT589" s="81"/>
      <c r="CU589" s="81"/>
      <c r="CV589" s="81"/>
      <c r="CW589" s="81"/>
      <c r="CX589" s="81"/>
      <c r="CY589" s="81"/>
      <c r="CZ589" s="81"/>
      <c r="DA589" s="81"/>
      <c r="DB589" s="81"/>
      <c r="DC589" s="81"/>
      <c r="DD589" s="81"/>
      <c r="DE589" s="81"/>
      <c r="DF589" s="81"/>
      <c r="DG589" s="81"/>
      <c r="DH589" s="81"/>
      <c r="DI589" s="81"/>
      <c r="DJ589" s="81"/>
      <c r="DK589" s="81"/>
      <c r="DL589" s="81"/>
      <c r="DM589" s="81"/>
      <c r="DN589" s="81"/>
      <c r="DO589" s="81"/>
      <c r="DP589" s="81"/>
      <c r="DQ589" s="81"/>
      <c r="DR589" s="81"/>
      <c r="DS589" s="81"/>
      <c r="DT589" s="81"/>
      <c r="DU589" s="81"/>
      <c r="DV589" s="81"/>
      <c r="DW589" s="121"/>
    </row>
    <row r="590" spans="1:127" x14ac:dyDescent="0.25">
      <c r="A590" s="2">
        <f>COUNTIF($D$2:D590,'Reporte de Nomina'!$E$2)</f>
        <v>0</v>
      </c>
      <c r="B590" s="125">
        <f>Lista!A589</f>
        <v>0</v>
      </c>
      <c r="C590" s="125">
        <f>Lista!B589</f>
        <v>0</v>
      </c>
      <c r="D590" s="125">
        <f>Lista!C589</f>
        <v>0</v>
      </c>
      <c r="E590" s="125">
        <f>Lista!D589</f>
        <v>0</v>
      </c>
      <c r="F590" s="125">
        <f>Lista!E589</f>
        <v>0</v>
      </c>
      <c r="G590" s="125">
        <f>Lista!F589</f>
        <v>0</v>
      </c>
      <c r="H590" s="125">
        <f>Lista!G589</f>
        <v>0</v>
      </c>
      <c r="I590" s="125">
        <f>Lista!H589</f>
        <v>0</v>
      </c>
      <c r="J590" s="125">
        <f>Lista!I589</f>
        <v>0</v>
      </c>
      <c r="K590" s="125">
        <f>Lista!J589</f>
        <v>0</v>
      </c>
      <c r="L590" s="125">
        <f>Lista!K589</f>
        <v>0</v>
      </c>
      <c r="M590" s="125">
        <f>Lista!L589</f>
        <v>0</v>
      </c>
      <c r="N590" s="125">
        <f>Lista!M589</f>
        <v>0</v>
      </c>
      <c r="O590" s="125">
        <f>Lista!N589</f>
        <v>0</v>
      </c>
      <c r="P590" s="125">
        <f>Lista!O589</f>
        <v>0</v>
      </c>
      <c r="Q590" s="125">
        <f>Lista!P589</f>
        <v>0</v>
      </c>
      <c r="R590" s="125">
        <f>Lista!Q589</f>
        <v>0</v>
      </c>
      <c r="S590" s="125">
        <f>Lista!R589</f>
        <v>0</v>
      </c>
      <c r="T590" s="81"/>
      <c r="U590" s="81"/>
      <c r="V590" s="81"/>
      <c r="W590" s="81"/>
      <c r="X590" s="81"/>
      <c r="Y590" s="81"/>
      <c r="Z590" s="81"/>
      <c r="AA590" s="81"/>
      <c r="AB590" s="81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  <c r="BS590" s="81"/>
      <c r="BT590" s="81"/>
      <c r="BU590" s="81"/>
      <c r="BV590" s="81"/>
      <c r="BW590" s="81"/>
      <c r="BX590" s="81"/>
      <c r="BY590" s="81"/>
      <c r="BZ590" s="81"/>
      <c r="CA590" s="81"/>
      <c r="CB590" s="81"/>
      <c r="CC590" s="81"/>
      <c r="CD590" s="81"/>
      <c r="CE590" s="81"/>
      <c r="CF590" s="81"/>
      <c r="CG590" s="81"/>
      <c r="CH590" s="81"/>
      <c r="CI590" s="81"/>
      <c r="CJ590" s="81"/>
      <c r="CK590" s="81"/>
      <c r="CL590" s="81"/>
      <c r="CM590" s="81"/>
      <c r="CN590" s="81"/>
      <c r="CO590" s="81"/>
      <c r="CP590" s="81"/>
      <c r="CQ590" s="81"/>
      <c r="CR590" s="81"/>
      <c r="CS590" s="81"/>
      <c r="CT590" s="81"/>
      <c r="CU590" s="81"/>
      <c r="CV590" s="81"/>
      <c r="CW590" s="81"/>
      <c r="CX590" s="81"/>
      <c r="CY590" s="81"/>
      <c r="CZ590" s="81"/>
      <c r="DA590" s="81"/>
      <c r="DB590" s="81"/>
      <c r="DC590" s="81"/>
      <c r="DD590" s="81"/>
      <c r="DE590" s="81"/>
      <c r="DF590" s="81"/>
      <c r="DG590" s="81"/>
      <c r="DH590" s="81"/>
      <c r="DI590" s="81"/>
      <c r="DJ590" s="81"/>
      <c r="DK590" s="81"/>
      <c r="DL590" s="81"/>
      <c r="DM590" s="81"/>
      <c r="DN590" s="81"/>
      <c r="DO590" s="81"/>
      <c r="DP590" s="81"/>
      <c r="DQ590" s="81"/>
      <c r="DR590" s="81"/>
      <c r="DS590" s="81"/>
      <c r="DT590" s="81"/>
      <c r="DU590" s="81"/>
      <c r="DV590" s="81"/>
      <c r="DW590" s="121"/>
    </row>
    <row r="591" spans="1:127" x14ac:dyDescent="0.25">
      <c r="A591" s="2">
        <f>COUNTIF($D$2:D591,'Reporte de Nomina'!$E$2)</f>
        <v>0</v>
      </c>
      <c r="B591" s="125">
        <f>Lista!A590</f>
        <v>0</v>
      </c>
      <c r="C591" s="125">
        <f>Lista!B590</f>
        <v>0</v>
      </c>
      <c r="D591" s="125">
        <f>Lista!C590</f>
        <v>0</v>
      </c>
      <c r="E591" s="125">
        <f>Lista!D590</f>
        <v>0</v>
      </c>
      <c r="F591" s="125">
        <f>Lista!E590</f>
        <v>0</v>
      </c>
      <c r="G591" s="125">
        <f>Lista!F590</f>
        <v>0</v>
      </c>
      <c r="H591" s="125">
        <f>Lista!G590</f>
        <v>0</v>
      </c>
      <c r="I591" s="125">
        <f>Lista!H590</f>
        <v>0</v>
      </c>
      <c r="J591" s="125">
        <f>Lista!I590</f>
        <v>0</v>
      </c>
      <c r="K591" s="125">
        <f>Lista!J590</f>
        <v>0</v>
      </c>
      <c r="L591" s="125">
        <f>Lista!K590</f>
        <v>0</v>
      </c>
      <c r="M591" s="125">
        <f>Lista!L590</f>
        <v>0</v>
      </c>
      <c r="N591" s="125">
        <f>Lista!M590</f>
        <v>0</v>
      </c>
      <c r="O591" s="125">
        <f>Lista!N590</f>
        <v>0</v>
      </c>
      <c r="P591" s="125">
        <f>Lista!O590</f>
        <v>0</v>
      </c>
      <c r="Q591" s="125">
        <f>Lista!P590</f>
        <v>0</v>
      </c>
      <c r="R591" s="125">
        <f>Lista!Q590</f>
        <v>0</v>
      </c>
      <c r="S591" s="125">
        <f>Lista!R590</f>
        <v>0</v>
      </c>
      <c r="T591" s="81"/>
      <c r="U591" s="81"/>
      <c r="V591" s="81"/>
      <c r="W591" s="81"/>
      <c r="X591" s="81"/>
      <c r="Y591" s="81"/>
      <c r="Z591" s="81"/>
      <c r="AA591" s="81"/>
      <c r="AB591" s="81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  <c r="BS591" s="81"/>
      <c r="BT591" s="81"/>
      <c r="BU591" s="81"/>
      <c r="BV591" s="81"/>
      <c r="BW591" s="81"/>
      <c r="BX591" s="81"/>
      <c r="BY591" s="81"/>
      <c r="BZ591" s="81"/>
      <c r="CA591" s="81"/>
      <c r="CB591" s="81"/>
      <c r="CC591" s="81"/>
      <c r="CD591" s="81"/>
      <c r="CE591" s="81"/>
      <c r="CF591" s="81"/>
      <c r="CG591" s="81"/>
      <c r="CH591" s="81"/>
      <c r="CI591" s="81"/>
      <c r="CJ591" s="81"/>
      <c r="CK591" s="81"/>
      <c r="CL591" s="81"/>
      <c r="CM591" s="81"/>
      <c r="CN591" s="81"/>
      <c r="CO591" s="81"/>
      <c r="CP591" s="81"/>
      <c r="CQ591" s="81"/>
      <c r="CR591" s="81"/>
      <c r="CS591" s="81"/>
      <c r="CT591" s="81"/>
      <c r="CU591" s="81"/>
      <c r="CV591" s="81"/>
      <c r="CW591" s="81"/>
      <c r="CX591" s="81"/>
      <c r="CY591" s="81"/>
      <c r="CZ591" s="81"/>
      <c r="DA591" s="81"/>
      <c r="DB591" s="81"/>
      <c r="DC591" s="81"/>
      <c r="DD591" s="81"/>
      <c r="DE591" s="81"/>
      <c r="DF591" s="81"/>
      <c r="DG591" s="81"/>
      <c r="DH591" s="81"/>
      <c r="DI591" s="81"/>
      <c r="DJ591" s="81"/>
      <c r="DK591" s="81"/>
      <c r="DL591" s="81"/>
      <c r="DM591" s="81"/>
      <c r="DN591" s="81"/>
      <c r="DO591" s="81"/>
      <c r="DP591" s="81"/>
      <c r="DQ591" s="81"/>
      <c r="DR591" s="81"/>
      <c r="DS591" s="81"/>
      <c r="DT591" s="81"/>
      <c r="DU591" s="81"/>
      <c r="DV591" s="81"/>
      <c r="DW591" s="121"/>
    </row>
    <row r="592" spans="1:127" x14ac:dyDescent="0.25">
      <c r="A592" s="2">
        <f>COUNTIF($D$2:D592,'Reporte de Nomina'!$E$2)</f>
        <v>0</v>
      </c>
      <c r="B592" s="125">
        <f>Lista!A591</f>
        <v>0</v>
      </c>
      <c r="C592" s="125">
        <f>Lista!B591</f>
        <v>0</v>
      </c>
      <c r="D592" s="125">
        <f>Lista!C591</f>
        <v>0</v>
      </c>
      <c r="E592" s="125">
        <f>Lista!D591</f>
        <v>0</v>
      </c>
      <c r="F592" s="125">
        <f>Lista!E591</f>
        <v>0</v>
      </c>
      <c r="G592" s="125">
        <f>Lista!F591</f>
        <v>0</v>
      </c>
      <c r="H592" s="125">
        <f>Lista!G591</f>
        <v>0</v>
      </c>
      <c r="I592" s="125">
        <f>Lista!H591</f>
        <v>0</v>
      </c>
      <c r="J592" s="125">
        <f>Lista!I591</f>
        <v>0</v>
      </c>
      <c r="K592" s="125">
        <f>Lista!J591</f>
        <v>0</v>
      </c>
      <c r="L592" s="125">
        <f>Lista!K591</f>
        <v>0</v>
      </c>
      <c r="M592" s="125">
        <f>Lista!L591</f>
        <v>0</v>
      </c>
      <c r="N592" s="125">
        <f>Lista!M591</f>
        <v>0</v>
      </c>
      <c r="O592" s="125">
        <f>Lista!N591</f>
        <v>0</v>
      </c>
      <c r="P592" s="125">
        <f>Lista!O591</f>
        <v>0</v>
      </c>
      <c r="Q592" s="125">
        <f>Lista!P591</f>
        <v>0</v>
      </c>
      <c r="R592" s="125">
        <f>Lista!Q591</f>
        <v>0</v>
      </c>
      <c r="S592" s="125">
        <f>Lista!R591</f>
        <v>0</v>
      </c>
      <c r="T592" s="81"/>
      <c r="U592" s="81"/>
      <c r="V592" s="81"/>
      <c r="W592" s="81"/>
      <c r="X592" s="81"/>
      <c r="Y592" s="81"/>
      <c r="Z592" s="81"/>
      <c r="AA592" s="81"/>
      <c r="AB592" s="81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  <c r="BS592" s="81"/>
      <c r="BT592" s="81"/>
      <c r="BU592" s="81"/>
      <c r="BV592" s="81"/>
      <c r="BW592" s="81"/>
      <c r="BX592" s="81"/>
      <c r="BY592" s="81"/>
      <c r="BZ592" s="81"/>
      <c r="CA592" s="81"/>
      <c r="CB592" s="81"/>
      <c r="CC592" s="81"/>
      <c r="CD592" s="81"/>
      <c r="CE592" s="81"/>
      <c r="CF592" s="81"/>
      <c r="CG592" s="81"/>
      <c r="CH592" s="81"/>
      <c r="CI592" s="81"/>
      <c r="CJ592" s="81"/>
      <c r="CK592" s="81"/>
      <c r="CL592" s="81"/>
      <c r="CM592" s="81"/>
      <c r="CN592" s="81"/>
      <c r="CO592" s="81"/>
      <c r="CP592" s="81"/>
      <c r="CQ592" s="81"/>
      <c r="CR592" s="81"/>
      <c r="CS592" s="81"/>
      <c r="CT592" s="81"/>
      <c r="CU592" s="81"/>
      <c r="CV592" s="81"/>
      <c r="CW592" s="81"/>
      <c r="CX592" s="81"/>
      <c r="CY592" s="81"/>
      <c r="CZ592" s="81"/>
      <c r="DA592" s="81"/>
      <c r="DB592" s="81"/>
      <c r="DC592" s="81"/>
      <c r="DD592" s="81"/>
      <c r="DE592" s="81"/>
      <c r="DF592" s="81"/>
      <c r="DG592" s="81"/>
      <c r="DH592" s="81"/>
      <c r="DI592" s="81"/>
      <c r="DJ592" s="81"/>
      <c r="DK592" s="81"/>
      <c r="DL592" s="81"/>
      <c r="DM592" s="81"/>
      <c r="DN592" s="81"/>
      <c r="DO592" s="81"/>
      <c r="DP592" s="81"/>
      <c r="DQ592" s="81"/>
      <c r="DR592" s="81"/>
      <c r="DS592" s="81"/>
      <c r="DT592" s="81"/>
      <c r="DU592" s="81"/>
      <c r="DV592" s="81"/>
      <c r="DW592" s="121"/>
    </row>
    <row r="593" spans="1:127" x14ac:dyDescent="0.25">
      <c r="A593" s="2">
        <f>COUNTIF($D$2:D593,'Reporte de Nomina'!$E$2)</f>
        <v>0</v>
      </c>
      <c r="B593" s="125">
        <f>Lista!A592</f>
        <v>0</v>
      </c>
      <c r="C593" s="125">
        <f>Lista!B592</f>
        <v>0</v>
      </c>
      <c r="D593" s="125">
        <f>Lista!C592</f>
        <v>0</v>
      </c>
      <c r="E593" s="125">
        <f>Lista!D592</f>
        <v>0</v>
      </c>
      <c r="F593" s="125">
        <f>Lista!E592</f>
        <v>0</v>
      </c>
      <c r="G593" s="125">
        <f>Lista!F592</f>
        <v>0</v>
      </c>
      <c r="H593" s="125">
        <f>Lista!G592</f>
        <v>0</v>
      </c>
      <c r="I593" s="125">
        <f>Lista!H592</f>
        <v>0</v>
      </c>
      <c r="J593" s="125">
        <f>Lista!I592</f>
        <v>0</v>
      </c>
      <c r="K593" s="125">
        <f>Lista!J592</f>
        <v>0</v>
      </c>
      <c r="L593" s="125">
        <f>Lista!K592</f>
        <v>0</v>
      </c>
      <c r="M593" s="125">
        <f>Lista!L592</f>
        <v>0</v>
      </c>
      <c r="N593" s="125">
        <f>Lista!M592</f>
        <v>0</v>
      </c>
      <c r="O593" s="125">
        <f>Lista!N592</f>
        <v>0</v>
      </c>
      <c r="P593" s="125">
        <f>Lista!O592</f>
        <v>0</v>
      </c>
      <c r="Q593" s="125">
        <f>Lista!P592</f>
        <v>0</v>
      </c>
      <c r="R593" s="125">
        <f>Lista!Q592</f>
        <v>0</v>
      </c>
      <c r="S593" s="125">
        <f>Lista!R592</f>
        <v>0</v>
      </c>
      <c r="T593" s="81"/>
      <c r="U593" s="81"/>
      <c r="V593" s="81"/>
      <c r="W593" s="81"/>
      <c r="X593" s="81"/>
      <c r="Y593" s="81"/>
      <c r="Z593" s="81"/>
      <c r="AA593" s="81"/>
      <c r="AB593" s="81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  <c r="BS593" s="81"/>
      <c r="BT593" s="81"/>
      <c r="BU593" s="81"/>
      <c r="BV593" s="81"/>
      <c r="BW593" s="81"/>
      <c r="BX593" s="81"/>
      <c r="BY593" s="81"/>
      <c r="BZ593" s="81"/>
      <c r="CA593" s="81"/>
      <c r="CB593" s="81"/>
      <c r="CC593" s="81"/>
      <c r="CD593" s="81"/>
      <c r="CE593" s="81"/>
      <c r="CF593" s="81"/>
      <c r="CG593" s="81"/>
      <c r="CH593" s="81"/>
      <c r="CI593" s="81"/>
      <c r="CJ593" s="81"/>
      <c r="CK593" s="81"/>
      <c r="CL593" s="81"/>
      <c r="CM593" s="81"/>
      <c r="CN593" s="81"/>
      <c r="CO593" s="81"/>
      <c r="CP593" s="81"/>
      <c r="CQ593" s="81"/>
      <c r="CR593" s="81"/>
      <c r="CS593" s="81"/>
      <c r="CT593" s="81"/>
      <c r="CU593" s="81"/>
      <c r="CV593" s="81"/>
      <c r="CW593" s="81"/>
      <c r="CX593" s="81"/>
      <c r="CY593" s="81"/>
      <c r="CZ593" s="81"/>
      <c r="DA593" s="81"/>
      <c r="DB593" s="81"/>
      <c r="DC593" s="81"/>
      <c r="DD593" s="81"/>
      <c r="DE593" s="81"/>
      <c r="DF593" s="81"/>
      <c r="DG593" s="81"/>
      <c r="DH593" s="81"/>
      <c r="DI593" s="81"/>
      <c r="DJ593" s="81"/>
      <c r="DK593" s="81"/>
      <c r="DL593" s="81"/>
      <c r="DM593" s="81"/>
      <c r="DN593" s="81"/>
      <c r="DO593" s="81"/>
      <c r="DP593" s="81"/>
      <c r="DQ593" s="81"/>
      <c r="DR593" s="81"/>
      <c r="DS593" s="81"/>
      <c r="DT593" s="81"/>
      <c r="DU593" s="81"/>
      <c r="DV593" s="81"/>
      <c r="DW593" s="121"/>
    </row>
    <row r="594" spans="1:127" x14ac:dyDescent="0.25">
      <c r="A594" s="2">
        <f>COUNTIF($D$2:D594,'Reporte de Nomina'!$E$2)</f>
        <v>0</v>
      </c>
      <c r="B594" s="125">
        <f>Lista!A593</f>
        <v>0</v>
      </c>
      <c r="C594" s="125">
        <f>Lista!B593</f>
        <v>0</v>
      </c>
      <c r="D594" s="125">
        <f>Lista!C593</f>
        <v>0</v>
      </c>
      <c r="E594" s="125">
        <f>Lista!D593</f>
        <v>0</v>
      </c>
      <c r="F594" s="125">
        <f>Lista!E593</f>
        <v>0</v>
      </c>
      <c r="G594" s="125">
        <f>Lista!F593</f>
        <v>0</v>
      </c>
      <c r="H594" s="125">
        <f>Lista!G593</f>
        <v>0</v>
      </c>
      <c r="I594" s="125">
        <f>Lista!H593</f>
        <v>0</v>
      </c>
      <c r="J594" s="125">
        <f>Lista!I593</f>
        <v>0</v>
      </c>
      <c r="K594" s="125">
        <f>Lista!J593</f>
        <v>0</v>
      </c>
      <c r="L594" s="125">
        <f>Lista!K593</f>
        <v>0</v>
      </c>
      <c r="M594" s="125">
        <f>Lista!L593</f>
        <v>0</v>
      </c>
      <c r="N594" s="125">
        <f>Lista!M593</f>
        <v>0</v>
      </c>
      <c r="O594" s="125">
        <f>Lista!N593</f>
        <v>0</v>
      </c>
      <c r="P594" s="125">
        <f>Lista!O593</f>
        <v>0</v>
      </c>
      <c r="Q594" s="125">
        <f>Lista!P593</f>
        <v>0</v>
      </c>
      <c r="R594" s="125">
        <f>Lista!Q593</f>
        <v>0</v>
      </c>
      <c r="S594" s="125">
        <f>Lista!R593</f>
        <v>0</v>
      </c>
      <c r="T594" s="81"/>
      <c r="U594" s="81"/>
      <c r="V594" s="81"/>
      <c r="W594" s="81"/>
      <c r="X594" s="81"/>
      <c r="Y594" s="81"/>
      <c r="Z594" s="81"/>
      <c r="AA594" s="81"/>
      <c r="AB594" s="81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  <c r="BS594" s="81"/>
      <c r="BT594" s="81"/>
      <c r="BU594" s="81"/>
      <c r="BV594" s="81"/>
      <c r="BW594" s="81"/>
      <c r="BX594" s="81"/>
      <c r="BY594" s="81"/>
      <c r="BZ594" s="81"/>
      <c r="CA594" s="81"/>
      <c r="CB594" s="81"/>
      <c r="CC594" s="81"/>
      <c r="CD594" s="81"/>
      <c r="CE594" s="81"/>
      <c r="CF594" s="81"/>
      <c r="CG594" s="81"/>
      <c r="CH594" s="81"/>
      <c r="CI594" s="81"/>
      <c r="CJ594" s="81"/>
      <c r="CK594" s="81"/>
      <c r="CL594" s="81"/>
      <c r="CM594" s="81"/>
      <c r="CN594" s="81"/>
      <c r="CO594" s="81"/>
      <c r="CP594" s="81"/>
      <c r="CQ594" s="81"/>
      <c r="CR594" s="81"/>
      <c r="CS594" s="81"/>
      <c r="CT594" s="81"/>
      <c r="CU594" s="81"/>
      <c r="CV594" s="81"/>
      <c r="CW594" s="81"/>
      <c r="CX594" s="81"/>
      <c r="CY594" s="81"/>
      <c r="CZ594" s="81"/>
      <c r="DA594" s="81"/>
      <c r="DB594" s="81"/>
      <c r="DC594" s="81"/>
      <c r="DD594" s="81"/>
      <c r="DE594" s="81"/>
      <c r="DF594" s="81"/>
      <c r="DG594" s="81"/>
      <c r="DH594" s="81"/>
      <c r="DI594" s="81"/>
      <c r="DJ594" s="81"/>
      <c r="DK594" s="81"/>
      <c r="DL594" s="81"/>
      <c r="DM594" s="81"/>
      <c r="DN594" s="81"/>
      <c r="DO594" s="81"/>
      <c r="DP594" s="81"/>
      <c r="DQ594" s="81"/>
      <c r="DR594" s="81"/>
      <c r="DS594" s="81"/>
      <c r="DT594" s="81"/>
      <c r="DU594" s="81"/>
      <c r="DV594" s="81"/>
      <c r="DW594" s="121"/>
    </row>
    <row r="595" spans="1:127" x14ac:dyDescent="0.25">
      <c r="A595" s="2">
        <f>COUNTIF($D$2:D595,'Reporte de Nomina'!$E$2)</f>
        <v>0</v>
      </c>
      <c r="B595" s="125">
        <f>Lista!A594</f>
        <v>0</v>
      </c>
      <c r="C595" s="125">
        <f>Lista!B594</f>
        <v>0</v>
      </c>
      <c r="D595" s="125">
        <f>Lista!C594</f>
        <v>0</v>
      </c>
      <c r="E595" s="125">
        <f>Lista!D594</f>
        <v>0</v>
      </c>
      <c r="F595" s="125">
        <f>Lista!E594</f>
        <v>0</v>
      </c>
      <c r="G595" s="125">
        <f>Lista!F594</f>
        <v>0</v>
      </c>
      <c r="H595" s="125">
        <f>Lista!G594</f>
        <v>0</v>
      </c>
      <c r="I595" s="125">
        <f>Lista!H594</f>
        <v>0</v>
      </c>
      <c r="J595" s="125">
        <f>Lista!I594</f>
        <v>0</v>
      </c>
      <c r="K595" s="125">
        <f>Lista!J594</f>
        <v>0</v>
      </c>
      <c r="L595" s="125">
        <f>Lista!K594</f>
        <v>0</v>
      </c>
      <c r="M595" s="125">
        <f>Lista!L594</f>
        <v>0</v>
      </c>
      <c r="N595" s="125">
        <f>Lista!M594</f>
        <v>0</v>
      </c>
      <c r="O595" s="125">
        <f>Lista!N594</f>
        <v>0</v>
      </c>
      <c r="P595" s="125">
        <f>Lista!O594</f>
        <v>0</v>
      </c>
      <c r="Q595" s="125">
        <f>Lista!P594</f>
        <v>0</v>
      </c>
      <c r="R595" s="125">
        <f>Lista!Q594</f>
        <v>0</v>
      </c>
      <c r="S595" s="125">
        <f>Lista!R594</f>
        <v>0</v>
      </c>
      <c r="T595" s="81"/>
      <c r="U595" s="81"/>
      <c r="V595" s="81"/>
      <c r="W595" s="81"/>
      <c r="X595" s="81"/>
      <c r="Y595" s="81"/>
      <c r="Z595" s="81"/>
      <c r="AA595" s="81"/>
      <c r="AB595" s="81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  <c r="BS595" s="81"/>
      <c r="BT595" s="81"/>
      <c r="BU595" s="81"/>
      <c r="BV595" s="81"/>
      <c r="BW595" s="81"/>
      <c r="BX595" s="81"/>
      <c r="BY595" s="81"/>
      <c r="BZ595" s="81"/>
      <c r="CA595" s="81"/>
      <c r="CB595" s="81"/>
      <c r="CC595" s="81"/>
      <c r="CD595" s="81"/>
      <c r="CE595" s="81"/>
      <c r="CF595" s="81"/>
      <c r="CG595" s="81"/>
      <c r="CH595" s="81"/>
      <c r="CI595" s="81"/>
      <c r="CJ595" s="81"/>
      <c r="CK595" s="81"/>
      <c r="CL595" s="81"/>
      <c r="CM595" s="81"/>
      <c r="CN595" s="81"/>
      <c r="CO595" s="81"/>
      <c r="CP595" s="81"/>
      <c r="CQ595" s="81"/>
      <c r="CR595" s="81"/>
      <c r="CS595" s="81"/>
      <c r="CT595" s="81"/>
      <c r="CU595" s="81"/>
      <c r="CV595" s="81"/>
      <c r="CW595" s="81"/>
      <c r="CX595" s="81"/>
      <c r="CY595" s="81"/>
      <c r="CZ595" s="81"/>
      <c r="DA595" s="81"/>
      <c r="DB595" s="81"/>
      <c r="DC595" s="81"/>
      <c r="DD595" s="81"/>
      <c r="DE595" s="81"/>
      <c r="DF595" s="81"/>
      <c r="DG595" s="81"/>
      <c r="DH595" s="81"/>
      <c r="DI595" s="81"/>
      <c r="DJ595" s="81"/>
      <c r="DK595" s="81"/>
      <c r="DL595" s="81"/>
      <c r="DM595" s="81"/>
      <c r="DN595" s="81"/>
      <c r="DO595" s="81"/>
      <c r="DP595" s="81"/>
      <c r="DQ595" s="81"/>
      <c r="DR595" s="81"/>
      <c r="DS595" s="81"/>
      <c r="DT595" s="81"/>
      <c r="DU595" s="81"/>
      <c r="DV595" s="81"/>
      <c r="DW595" s="121"/>
    </row>
    <row r="596" spans="1:127" x14ac:dyDescent="0.25">
      <c r="A596" s="2">
        <f>COUNTIF($D$2:D596,'Reporte de Nomina'!$E$2)</f>
        <v>0</v>
      </c>
      <c r="B596" s="125">
        <f>Lista!A595</f>
        <v>0</v>
      </c>
      <c r="C596" s="125">
        <f>Lista!B595</f>
        <v>0</v>
      </c>
      <c r="D596" s="125">
        <f>Lista!C595</f>
        <v>0</v>
      </c>
      <c r="E596" s="125">
        <f>Lista!D595</f>
        <v>0</v>
      </c>
      <c r="F596" s="125">
        <f>Lista!E595</f>
        <v>0</v>
      </c>
      <c r="G596" s="125">
        <f>Lista!F595</f>
        <v>0</v>
      </c>
      <c r="H596" s="125">
        <f>Lista!G595</f>
        <v>0</v>
      </c>
      <c r="I596" s="125">
        <f>Lista!H595</f>
        <v>0</v>
      </c>
      <c r="J596" s="125">
        <f>Lista!I595</f>
        <v>0</v>
      </c>
      <c r="K596" s="125">
        <f>Lista!J595</f>
        <v>0</v>
      </c>
      <c r="L596" s="125">
        <f>Lista!K595</f>
        <v>0</v>
      </c>
      <c r="M596" s="125">
        <f>Lista!L595</f>
        <v>0</v>
      </c>
      <c r="N596" s="125">
        <f>Lista!M595</f>
        <v>0</v>
      </c>
      <c r="O596" s="125">
        <f>Lista!N595</f>
        <v>0</v>
      </c>
      <c r="P596" s="125">
        <f>Lista!O595</f>
        <v>0</v>
      </c>
      <c r="Q596" s="125">
        <f>Lista!P595</f>
        <v>0</v>
      </c>
      <c r="R596" s="125">
        <f>Lista!Q595</f>
        <v>0</v>
      </c>
      <c r="S596" s="125">
        <f>Lista!R595</f>
        <v>0</v>
      </c>
      <c r="T596" s="81"/>
      <c r="U596" s="81"/>
      <c r="V596" s="81"/>
      <c r="W596" s="81"/>
      <c r="X596" s="81"/>
      <c r="Y596" s="81"/>
      <c r="Z596" s="81"/>
      <c r="AA596" s="81"/>
      <c r="AB596" s="81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  <c r="BS596" s="81"/>
      <c r="BT596" s="81"/>
      <c r="BU596" s="81"/>
      <c r="BV596" s="81"/>
      <c r="BW596" s="81"/>
      <c r="BX596" s="81"/>
      <c r="BY596" s="81"/>
      <c r="BZ596" s="81"/>
      <c r="CA596" s="81"/>
      <c r="CB596" s="81"/>
      <c r="CC596" s="81"/>
      <c r="CD596" s="81"/>
      <c r="CE596" s="81"/>
      <c r="CF596" s="81"/>
      <c r="CG596" s="81"/>
      <c r="CH596" s="81"/>
      <c r="CI596" s="81"/>
      <c r="CJ596" s="81"/>
      <c r="CK596" s="81"/>
      <c r="CL596" s="81"/>
      <c r="CM596" s="81"/>
      <c r="CN596" s="81"/>
      <c r="CO596" s="81"/>
      <c r="CP596" s="81"/>
      <c r="CQ596" s="81"/>
      <c r="CR596" s="81"/>
      <c r="CS596" s="81"/>
      <c r="CT596" s="81"/>
      <c r="CU596" s="81"/>
      <c r="CV596" s="81"/>
      <c r="CW596" s="81"/>
      <c r="CX596" s="81"/>
      <c r="CY596" s="81"/>
      <c r="CZ596" s="81"/>
      <c r="DA596" s="81"/>
      <c r="DB596" s="81"/>
      <c r="DC596" s="81"/>
      <c r="DD596" s="81"/>
      <c r="DE596" s="81"/>
      <c r="DF596" s="81"/>
      <c r="DG596" s="81"/>
      <c r="DH596" s="81"/>
      <c r="DI596" s="81"/>
      <c r="DJ596" s="81"/>
      <c r="DK596" s="81"/>
      <c r="DL596" s="81"/>
      <c r="DM596" s="81"/>
      <c r="DN596" s="81"/>
      <c r="DO596" s="81"/>
      <c r="DP596" s="81"/>
      <c r="DQ596" s="81"/>
      <c r="DR596" s="81"/>
      <c r="DS596" s="81"/>
      <c r="DT596" s="81"/>
      <c r="DU596" s="81"/>
      <c r="DV596" s="81"/>
      <c r="DW596" s="121"/>
    </row>
    <row r="597" spans="1:127" x14ac:dyDescent="0.25">
      <c r="A597" s="2">
        <f>COUNTIF($D$2:D597,'Reporte de Nomina'!$E$2)</f>
        <v>0</v>
      </c>
      <c r="B597" s="125">
        <f>Lista!A596</f>
        <v>0</v>
      </c>
      <c r="C597" s="125">
        <f>Lista!B596</f>
        <v>0</v>
      </c>
      <c r="D597" s="125">
        <f>Lista!C596</f>
        <v>0</v>
      </c>
      <c r="E597" s="125">
        <f>Lista!D596</f>
        <v>0</v>
      </c>
      <c r="F597" s="125">
        <f>Lista!E596</f>
        <v>0</v>
      </c>
      <c r="G597" s="125">
        <f>Lista!F596</f>
        <v>0</v>
      </c>
      <c r="H597" s="125">
        <f>Lista!G596</f>
        <v>0</v>
      </c>
      <c r="I597" s="125">
        <f>Lista!H596</f>
        <v>0</v>
      </c>
      <c r="J597" s="125">
        <f>Lista!I596</f>
        <v>0</v>
      </c>
      <c r="K597" s="125">
        <f>Lista!J596</f>
        <v>0</v>
      </c>
      <c r="L597" s="125">
        <f>Lista!K596</f>
        <v>0</v>
      </c>
      <c r="M597" s="125">
        <f>Lista!L596</f>
        <v>0</v>
      </c>
      <c r="N597" s="125">
        <f>Lista!M596</f>
        <v>0</v>
      </c>
      <c r="O597" s="125">
        <f>Lista!N596</f>
        <v>0</v>
      </c>
      <c r="P597" s="125">
        <f>Lista!O596</f>
        <v>0</v>
      </c>
      <c r="Q597" s="125">
        <f>Lista!P596</f>
        <v>0</v>
      </c>
      <c r="R597" s="125">
        <f>Lista!Q596</f>
        <v>0</v>
      </c>
      <c r="S597" s="125">
        <f>Lista!R596</f>
        <v>0</v>
      </c>
      <c r="T597" s="81"/>
      <c r="U597" s="81"/>
      <c r="V597" s="81"/>
      <c r="W597" s="81"/>
      <c r="X597" s="81"/>
      <c r="Y597" s="81"/>
      <c r="Z597" s="81"/>
      <c r="AA597" s="81"/>
      <c r="AB597" s="81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  <c r="BS597" s="81"/>
      <c r="BT597" s="81"/>
      <c r="BU597" s="81"/>
      <c r="BV597" s="81"/>
      <c r="BW597" s="81"/>
      <c r="BX597" s="81"/>
      <c r="BY597" s="81"/>
      <c r="BZ597" s="81"/>
      <c r="CA597" s="81"/>
      <c r="CB597" s="81"/>
      <c r="CC597" s="81"/>
      <c r="CD597" s="81"/>
      <c r="CE597" s="81"/>
      <c r="CF597" s="81"/>
      <c r="CG597" s="81"/>
      <c r="CH597" s="81"/>
      <c r="CI597" s="81"/>
      <c r="CJ597" s="81"/>
      <c r="CK597" s="81"/>
      <c r="CL597" s="81"/>
      <c r="CM597" s="81"/>
      <c r="CN597" s="81"/>
      <c r="CO597" s="81"/>
      <c r="CP597" s="81"/>
      <c r="CQ597" s="81"/>
      <c r="CR597" s="81"/>
      <c r="CS597" s="81"/>
      <c r="CT597" s="81"/>
      <c r="CU597" s="81"/>
      <c r="CV597" s="81"/>
      <c r="CW597" s="81"/>
      <c r="CX597" s="81"/>
      <c r="CY597" s="81"/>
      <c r="CZ597" s="81"/>
      <c r="DA597" s="81"/>
      <c r="DB597" s="81"/>
      <c r="DC597" s="81"/>
      <c r="DD597" s="81"/>
      <c r="DE597" s="81"/>
      <c r="DF597" s="81"/>
      <c r="DG597" s="81"/>
      <c r="DH597" s="81"/>
      <c r="DI597" s="81"/>
      <c r="DJ597" s="81"/>
      <c r="DK597" s="81"/>
      <c r="DL597" s="81"/>
      <c r="DM597" s="81"/>
      <c r="DN597" s="81"/>
      <c r="DO597" s="81"/>
      <c r="DP597" s="81"/>
      <c r="DQ597" s="81"/>
      <c r="DR597" s="81"/>
      <c r="DS597" s="81"/>
      <c r="DT597" s="81"/>
      <c r="DU597" s="81"/>
      <c r="DV597" s="81"/>
      <c r="DW597" s="121"/>
    </row>
    <row r="598" spans="1:127" x14ac:dyDescent="0.25">
      <c r="A598" s="2">
        <f>COUNTIF($D$2:D598,'Reporte de Nomina'!$E$2)</f>
        <v>0</v>
      </c>
      <c r="B598" s="125">
        <f>Lista!A597</f>
        <v>0</v>
      </c>
      <c r="C598" s="125">
        <f>Lista!B597</f>
        <v>0</v>
      </c>
      <c r="D598" s="125">
        <f>Lista!C597</f>
        <v>0</v>
      </c>
      <c r="E598" s="125">
        <f>Lista!D597</f>
        <v>0</v>
      </c>
      <c r="F598" s="125">
        <f>Lista!E597</f>
        <v>0</v>
      </c>
      <c r="G598" s="125">
        <f>Lista!F597</f>
        <v>0</v>
      </c>
      <c r="H598" s="125">
        <f>Lista!G597</f>
        <v>0</v>
      </c>
      <c r="I598" s="125">
        <f>Lista!H597</f>
        <v>0</v>
      </c>
      <c r="J598" s="125">
        <f>Lista!I597</f>
        <v>0</v>
      </c>
      <c r="K598" s="125">
        <f>Lista!J597</f>
        <v>0</v>
      </c>
      <c r="L598" s="125">
        <f>Lista!K597</f>
        <v>0</v>
      </c>
      <c r="M598" s="125">
        <f>Lista!L597</f>
        <v>0</v>
      </c>
      <c r="N598" s="125">
        <f>Lista!M597</f>
        <v>0</v>
      </c>
      <c r="O598" s="125">
        <f>Lista!N597</f>
        <v>0</v>
      </c>
      <c r="P598" s="125">
        <f>Lista!O597</f>
        <v>0</v>
      </c>
      <c r="Q598" s="125">
        <f>Lista!P597</f>
        <v>0</v>
      </c>
      <c r="R598" s="125">
        <f>Lista!Q597</f>
        <v>0</v>
      </c>
      <c r="S598" s="125">
        <f>Lista!R597</f>
        <v>0</v>
      </c>
      <c r="T598" s="81"/>
      <c r="U598" s="81"/>
      <c r="V598" s="81"/>
      <c r="W598" s="81"/>
      <c r="X598" s="81"/>
      <c r="Y598" s="81"/>
      <c r="Z598" s="81"/>
      <c r="AA598" s="81"/>
      <c r="AB598" s="81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  <c r="BS598" s="81"/>
      <c r="BT598" s="81"/>
      <c r="BU598" s="81"/>
      <c r="BV598" s="81"/>
      <c r="BW598" s="81"/>
      <c r="BX598" s="81"/>
      <c r="BY598" s="81"/>
      <c r="BZ598" s="81"/>
      <c r="CA598" s="81"/>
      <c r="CB598" s="81"/>
      <c r="CC598" s="81"/>
      <c r="CD598" s="81"/>
      <c r="CE598" s="81"/>
      <c r="CF598" s="81"/>
      <c r="CG598" s="81"/>
      <c r="CH598" s="81"/>
      <c r="CI598" s="81"/>
      <c r="CJ598" s="81"/>
      <c r="CK598" s="81"/>
      <c r="CL598" s="81"/>
      <c r="CM598" s="81"/>
      <c r="CN598" s="81"/>
      <c r="CO598" s="81"/>
      <c r="CP598" s="81"/>
      <c r="CQ598" s="81"/>
      <c r="CR598" s="81"/>
      <c r="CS598" s="81"/>
      <c r="CT598" s="81"/>
      <c r="CU598" s="81"/>
      <c r="CV598" s="81"/>
      <c r="CW598" s="81"/>
      <c r="CX598" s="81"/>
      <c r="CY598" s="81"/>
      <c r="CZ598" s="81"/>
      <c r="DA598" s="81"/>
      <c r="DB598" s="81"/>
      <c r="DC598" s="81"/>
      <c r="DD598" s="81"/>
      <c r="DE598" s="81"/>
      <c r="DF598" s="81"/>
      <c r="DG598" s="81"/>
      <c r="DH598" s="81"/>
      <c r="DI598" s="81"/>
      <c r="DJ598" s="81"/>
      <c r="DK598" s="81"/>
      <c r="DL598" s="81"/>
      <c r="DM598" s="81"/>
      <c r="DN598" s="81"/>
      <c r="DO598" s="81"/>
      <c r="DP598" s="81"/>
      <c r="DQ598" s="81"/>
      <c r="DR598" s="81"/>
      <c r="DS598" s="81"/>
      <c r="DT598" s="81"/>
      <c r="DU598" s="81"/>
      <c r="DV598" s="81"/>
      <c r="DW598" s="121"/>
    </row>
    <row r="599" spans="1:127" x14ac:dyDescent="0.25">
      <c r="A599" s="2">
        <f>COUNTIF($D$2:D599,'Reporte de Nomina'!$E$2)</f>
        <v>0</v>
      </c>
      <c r="B599" s="125">
        <f>Lista!A598</f>
        <v>0</v>
      </c>
      <c r="C599" s="125">
        <f>Lista!B598</f>
        <v>0</v>
      </c>
      <c r="D599" s="125">
        <f>Lista!C598</f>
        <v>0</v>
      </c>
      <c r="E599" s="125">
        <f>Lista!D598</f>
        <v>0</v>
      </c>
      <c r="F599" s="125">
        <f>Lista!E598</f>
        <v>0</v>
      </c>
      <c r="G599" s="125">
        <f>Lista!F598</f>
        <v>0</v>
      </c>
      <c r="H599" s="125">
        <f>Lista!G598</f>
        <v>0</v>
      </c>
      <c r="I599" s="125">
        <f>Lista!H598</f>
        <v>0</v>
      </c>
      <c r="J599" s="125">
        <f>Lista!I598</f>
        <v>0</v>
      </c>
      <c r="K599" s="125">
        <f>Lista!J598</f>
        <v>0</v>
      </c>
      <c r="L599" s="125">
        <f>Lista!K598</f>
        <v>0</v>
      </c>
      <c r="M599" s="125">
        <f>Lista!L598</f>
        <v>0</v>
      </c>
      <c r="N599" s="125">
        <f>Lista!M598</f>
        <v>0</v>
      </c>
      <c r="O599" s="125">
        <f>Lista!N598</f>
        <v>0</v>
      </c>
      <c r="P599" s="125">
        <f>Lista!O598</f>
        <v>0</v>
      </c>
      <c r="Q599" s="125">
        <f>Lista!P598</f>
        <v>0</v>
      </c>
      <c r="R599" s="125">
        <f>Lista!Q598</f>
        <v>0</v>
      </c>
      <c r="S599" s="125">
        <f>Lista!R598</f>
        <v>0</v>
      </c>
      <c r="T599" s="81"/>
      <c r="U599" s="81"/>
      <c r="V599" s="81"/>
      <c r="W599" s="81"/>
      <c r="X599" s="81"/>
      <c r="Y599" s="81"/>
      <c r="Z599" s="81"/>
      <c r="AA599" s="81"/>
      <c r="AB599" s="81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  <c r="BS599" s="81"/>
      <c r="BT599" s="81"/>
      <c r="BU599" s="81"/>
      <c r="BV599" s="81"/>
      <c r="BW599" s="81"/>
      <c r="BX599" s="81"/>
      <c r="BY599" s="81"/>
      <c r="BZ599" s="81"/>
      <c r="CA599" s="81"/>
      <c r="CB599" s="81"/>
      <c r="CC599" s="81"/>
      <c r="CD599" s="81"/>
      <c r="CE599" s="81"/>
      <c r="CF599" s="81"/>
      <c r="CG599" s="81"/>
      <c r="CH599" s="81"/>
      <c r="CI599" s="81"/>
      <c r="CJ599" s="81"/>
      <c r="CK599" s="81"/>
      <c r="CL599" s="81"/>
      <c r="CM599" s="81"/>
      <c r="CN599" s="81"/>
      <c r="CO599" s="81"/>
      <c r="CP599" s="81"/>
      <c r="CQ599" s="81"/>
      <c r="CR599" s="81"/>
      <c r="CS599" s="81"/>
      <c r="CT599" s="81"/>
      <c r="CU599" s="81"/>
      <c r="CV599" s="81"/>
      <c r="CW599" s="81"/>
      <c r="CX599" s="81"/>
      <c r="CY599" s="81"/>
      <c r="CZ599" s="81"/>
      <c r="DA599" s="81"/>
      <c r="DB599" s="81"/>
      <c r="DC599" s="81"/>
      <c r="DD599" s="81"/>
      <c r="DE599" s="81"/>
      <c r="DF599" s="81"/>
      <c r="DG599" s="81"/>
      <c r="DH599" s="81"/>
      <c r="DI599" s="81"/>
      <c r="DJ599" s="81"/>
      <c r="DK599" s="81"/>
      <c r="DL599" s="81"/>
      <c r="DM599" s="81"/>
      <c r="DN599" s="81"/>
      <c r="DO599" s="81"/>
      <c r="DP599" s="81"/>
      <c r="DQ599" s="81"/>
      <c r="DR599" s="81"/>
      <c r="DS599" s="81"/>
      <c r="DT599" s="81"/>
      <c r="DU599" s="81"/>
      <c r="DV599" s="81"/>
      <c r="DW599" s="121"/>
    </row>
    <row r="600" spans="1:127" x14ac:dyDescent="0.25">
      <c r="A600" s="2">
        <f>COUNTIF($D$2:D600,'Reporte de Nomina'!$E$2)</f>
        <v>0</v>
      </c>
      <c r="B600" s="125">
        <f>Lista!A599</f>
        <v>0</v>
      </c>
      <c r="C600" s="125">
        <f>Lista!B599</f>
        <v>0</v>
      </c>
      <c r="D600" s="125">
        <f>Lista!C599</f>
        <v>0</v>
      </c>
      <c r="E600" s="125">
        <f>Lista!D599</f>
        <v>0</v>
      </c>
      <c r="F600" s="125">
        <f>Lista!E599</f>
        <v>0</v>
      </c>
      <c r="G600" s="125">
        <f>Lista!F599</f>
        <v>0</v>
      </c>
      <c r="H600" s="125">
        <f>Lista!G599</f>
        <v>0</v>
      </c>
      <c r="I600" s="125">
        <f>Lista!H599</f>
        <v>0</v>
      </c>
      <c r="J600" s="125">
        <f>Lista!I599</f>
        <v>0</v>
      </c>
      <c r="K600" s="125">
        <f>Lista!J599</f>
        <v>0</v>
      </c>
      <c r="L600" s="125">
        <f>Lista!K599</f>
        <v>0</v>
      </c>
      <c r="M600" s="125">
        <f>Lista!L599</f>
        <v>0</v>
      </c>
      <c r="N600" s="125">
        <f>Lista!M599</f>
        <v>0</v>
      </c>
      <c r="O600" s="125">
        <f>Lista!N599</f>
        <v>0</v>
      </c>
      <c r="P600" s="125">
        <f>Lista!O599</f>
        <v>0</v>
      </c>
      <c r="Q600" s="125">
        <f>Lista!P599</f>
        <v>0</v>
      </c>
      <c r="R600" s="125">
        <f>Lista!Q599</f>
        <v>0</v>
      </c>
      <c r="S600" s="125">
        <f>Lista!R599</f>
        <v>0</v>
      </c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  <c r="BS600" s="81"/>
      <c r="BT600" s="81"/>
      <c r="BU600" s="81"/>
      <c r="BV600" s="81"/>
      <c r="BW600" s="81"/>
      <c r="BX600" s="81"/>
      <c r="BY600" s="81"/>
      <c r="BZ600" s="81"/>
      <c r="CA600" s="81"/>
      <c r="CB600" s="81"/>
      <c r="CC600" s="81"/>
      <c r="CD600" s="81"/>
      <c r="CE600" s="81"/>
      <c r="CF600" s="81"/>
      <c r="CG600" s="81"/>
      <c r="CH600" s="81"/>
      <c r="CI600" s="81"/>
      <c r="CJ600" s="81"/>
      <c r="CK600" s="81"/>
      <c r="CL600" s="81"/>
      <c r="CM600" s="81"/>
      <c r="CN600" s="81"/>
      <c r="CO600" s="81"/>
      <c r="CP600" s="81"/>
      <c r="CQ600" s="81"/>
      <c r="CR600" s="81"/>
      <c r="CS600" s="81"/>
      <c r="CT600" s="81"/>
      <c r="CU600" s="81"/>
      <c r="CV600" s="81"/>
      <c r="CW600" s="81"/>
      <c r="CX600" s="81"/>
      <c r="CY600" s="81"/>
      <c r="CZ600" s="81"/>
      <c r="DA600" s="81"/>
      <c r="DB600" s="81"/>
      <c r="DC600" s="81"/>
      <c r="DD600" s="81"/>
      <c r="DE600" s="81"/>
      <c r="DF600" s="81"/>
      <c r="DG600" s="81"/>
      <c r="DH600" s="81"/>
      <c r="DI600" s="81"/>
      <c r="DJ600" s="81"/>
      <c r="DK600" s="81"/>
      <c r="DL600" s="81"/>
      <c r="DM600" s="81"/>
      <c r="DN600" s="81"/>
      <c r="DO600" s="81"/>
      <c r="DP600" s="81"/>
      <c r="DQ600" s="81"/>
      <c r="DR600" s="81"/>
      <c r="DS600" s="81"/>
      <c r="DT600" s="81"/>
      <c r="DU600" s="81"/>
      <c r="DV600" s="81"/>
      <c r="DW600" s="121"/>
    </row>
    <row r="601" spans="1:127" x14ac:dyDescent="0.25">
      <c r="A601" s="2">
        <f>COUNTIF($D$2:D601,'Reporte de Nomina'!$E$2)</f>
        <v>0</v>
      </c>
      <c r="B601" s="125">
        <f>Lista!A600</f>
        <v>0</v>
      </c>
      <c r="C601" s="125">
        <f>Lista!B600</f>
        <v>0</v>
      </c>
      <c r="D601" s="125">
        <f>Lista!C600</f>
        <v>0</v>
      </c>
      <c r="E601" s="125">
        <f>Lista!D600</f>
        <v>0</v>
      </c>
      <c r="F601" s="125">
        <f>Lista!E600</f>
        <v>0</v>
      </c>
      <c r="G601" s="125">
        <f>Lista!F600</f>
        <v>0</v>
      </c>
      <c r="H601" s="125">
        <f>Lista!G600</f>
        <v>0</v>
      </c>
      <c r="I601" s="125">
        <f>Lista!H600</f>
        <v>0</v>
      </c>
      <c r="J601" s="125">
        <f>Lista!I600</f>
        <v>0</v>
      </c>
      <c r="K601" s="125">
        <f>Lista!J600</f>
        <v>0</v>
      </c>
      <c r="L601" s="125">
        <f>Lista!K600</f>
        <v>0</v>
      </c>
      <c r="M601" s="125">
        <f>Lista!L600</f>
        <v>0</v>
      </c>
      <c r="N601" s="125">
        <f>Lista!M600</f>
        <v>0</v>
      </c>
      <c r="O601" s="125">
        <f>Lista!N600</f>
        <v>0</v>
      </c>
      <c r="P601" s="125">
        <f>Lista!O600</f>
        <v>0</v>
      </c>
      <c r="Q601" s="125">
        <f>Lista!P600</f>
        <v>0</v>
      </c>
      <c r="R601" s="125">
        <f>Lista!Q600</f>
        <v>0</v>
      </c>
      <c r="S601" s="125">
        <f>Lista!R600</f>
        <v>0</v>
      </c>
      <c r="T601" s="81"/>
      <c r="U601" s="81"/>
      <c r="V601" s="81"/>
      <c r="W601" s="81"/>
      <c r="X601" s="81"/>
      <c r="Y601" s="81"/>
      <c r="Z601" s="81"/>
      <c r="AA601" s="81"/>
      <c r="AB601" s="81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  <c r="BS601" s="81"/>
      <c r="BT601" s="81"/>
      <c r="BU601" s="81"/>
      <c r="BV601" s="81"/>
      <c r="BW601" s="81"/>
      <c r="BX601" s="81"/>
      <c r="BY601" s="81"/>
      <c r="BZ601" s="81"/>
      <c r="CA601" s="81"/>
      <c r="CB601" s="81"/>
      <c r="CC601" s="81"/>
      <c r="CD601" s="81"/>
      <c r="CE601" s="81"/>
      <c r="CF601" s="81"/>
      <c r="CG601" s="81"/>
      <c r="CH601" s="81"/>
      <c r="CI601" s="81"/>
      <c r="CJ601" s="81"/>
      <c r="CK601" s="81"/>
      <c r="CL601" s="81"/>
      <c r="CM601" s="81"/>
      <c r="CN601" s="81"/>
      <c r="CO601" s="81"/>
      <c r="CP601" s="81"/>
      <c r="CQ601" s="81"/>
      <c r="CR601" s="81"/>
      <c r="CS601" s="81"/>
      <c r="CT601" s="81"/>
      <c r="CU601" s="81"/>
      <c r="CV601" s="81"/>
      <c r="CW601" s="81"/>
      <c r="CX601" s="81"/>
      <c r="CY601" s="81"/>
      <c r="CZ601" s="81"/>
      <c r="DA601" s="81"/>
      <c r="DB601" s="81"/>
      <c r="DC601" s="81"/>
      <c r="DD601" s="81"/>
      <c r="DE601" s="81"/>
      <c r="DF601" s="81"/>
      <c r="DG601" s="81"/>
      <c r="DH601" s="81"/>
      <c r="DI601" s="81"/>
      <c r="DJ601" s="81"/>
      <c r="DK601" s="81"/>
      <c r="DL601" s="81"/>
      <c r="DM601" s="81"/>
      <c r="DN601" s="81"/>
      <c r="DO601" s="81"/>
      <c r="DP601" s="81"/>
      <c r="DQ601" s="81"/>
      <c r="DR601" s="81"/>
      <c r="DS601" s="81"/>
      <c r="DT601" s="81"/>
      <c r="DU601" s="81"/>
      <c r="DV601" s="81"/>
      <c r="DW601" s="121"/>
    </row>
    <row r="602" spans="1:127" x14ac:dyDescent="0.25">
      <c r="A602" s="2">
        <f>COUNTIF($D$2:D602,'Reporte de Nomina'!$E$2)</f>
        <v>0</v>
      </c>
      <c r="B602" s="125">
        <f>Lista!A601</f>
        <v>0</v>
      </c>
      <c r="C602" s="125">
        <f>Lista!B601</f>
        <v>0</v>
      </c>
      <c r="D602" s="125">
        <f>Lista!C601</f>
        <v>0</v>
      </c>
      <c r="E602" s="125">
        <f>Lista!D601</f>
        <v>0</v>
      </c>
      <c r="F602" s="125">
        <f>Lista!E601</f>
        <v>0</v>
      </c>
      <c r="G602" s="125">
        <f>Lista!F601</f>
        <v>0</v>
      </c>
      <c r="H602" s="125">
        <f>Lista!G601</f>
        <v>0</v>
      </c>
      <c r="I602" s="125">
        <f>Lista!H601</f>
        <v>0</v>
      </c>
      <c r="J602" s="125">
        <f>Lista!I601</f>
        <v>0</v>
      </c>
      <c r="K602" s="125">
        <f>Lista!J601</f>
        <v>0</v>
      </c>
      <c r="L602" s="125">
        <f>Lista!K601</f>
        <v>0</v>
      </c>
      <c r="M602" s="125">
        <f>Lista!L601</f>
        <v>0</v>
      </c>
      <c r="N602" s="125">
        <f>Lista!M601</f>
        <v>0</v>
      </c>
      <c r="O602" s="125">
        <f>Lista!N601</f>
        <v>0</v>
      </c>
      <c r="P602" s="125">
        <f>Lista!O601</f>
        <v>0</v>
      </c>
      <c r="Q602" s="125">
        <f>Lista!P601</f>
        <v>0</v>
      </c>
      <c r="R602" s="125">
        <f>Lista!Q601</f>
        <v>0</v>
      </c>
      <c r="S602" s="125">
        <f>Lista!R601</f>
        <v>0</v>
      </c>
      <c r="T602" s="81"/>
      <c r="U602" s="81"/>
      <c r="V602" s="81"/>
      <c r="W602" s="81"/>
      <c r="X602" s="81"/>
      <c r="Y602" s="81"/>
      <c r="Z602" s="81"/>
      <c r="AA602" s="81"/>
      <c r="AB602" s="81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  <c r="BS602" s="81"/>
      <c r="BT602" s="81"/>
      <c r="BU602" s="81"/>
      <c r="BV602" s="81"/>
      <c r="BW602" s="81"/>
      <c r="BX602" s="81"/>
      <c r="BY602" s="81"/>
      <c r="BZ602" s="81"/>
      <c r="CA602" s="81"/>
      <c r="CB602" s="81"/>
      <c r="CC602" s="81"/>
      <c r="CD602" s="81"/>
      <c r="CE602" s="81"/>
      <c r="CF602" s="81"/>
      <c r="CG602" s="81"/>
      <c r="CH602" s="81"/>
      <c r="CI602" s="81"/>
      <c r="CJ602" s="81"/>
      <c r="CK602" s="81"/>
      <c r="CL602" s="81"/>
      <c r="CM602" s="81"/>
      <c r="CN602" s="81"/>
      <c r="CO602" s="81"/>
      <c r="CP602" s="81"/>
      <c r="CQ602" s="81"/>
      <c r="CR602" s="81"/>
      <c r="CS602" s="81"/>
      <c r="CT602" s="81"/>
      <c r="CU602" s="81"/>
      <c r="CV602" s="81"/>
      <c r="CW602" s="81"/>
      <c r="CX602" s="81"/>
      <c r="CY602" s="81"/>
      <c r="CZ602" s="81"/>
      <c r="DA602" s="81"/>
      <c r="DB602" s="81"/>
      <c r="DC602" s="81"/>
      <c r="DD602" s="81"/>
      <c r="DE602" s="81"/>
      <c r="DF602" s="81"/>
      <c r="DG602" s="81"/>
      <c r="DH602" s="81"/>
      <c r="DI602" s="81"/>
      <c r="DJ602" s="81"/>
      <c r="DK602" s="81"/>
      <c r="DL602" s="81"/>
      <c r="DM602" s="81"/>
      <c r="DN602" s="81"/>
      <c r="DO602" s="81"/>
      <c r="DP602" s="81"/>
      <c r="DQ602" s="81"/>
      <c r="DR602" s="81"/>
      <c r="DS602" s="81"/>
      <c r="DT602" s="81"/>
      <c r="DU602" s="81"/>
      <c r="DV602" s="81"/>
      <c r="DW602" s="121"/>
    </row>
    <row r="603" spans="1:127" x14ac:dyDescent="0.25">
      <c r="A603" s="2">
        <f>COUNTIF($D$2:D603,'Reporte de Nomina'!$E$2)</f>
        <v>0</v>
      </c>
      <c r="B603" s="125">
        <f>Lista!A602</f>
        <v>0</v>
      </c>
      <c r="C603" s="125">
        <f>Lista!B602</f>
        <v>0</v>
      </c>
      <c r="D603" s="125">
        <f>Lista!C602</f>
        <v>0</v>
      </c>
      <c r="E603" s="125">
        <f>Lista!D602</f>
        <v>0</v>
      </c>
      <c r="F603" s="125">
        <f>Lista!E602</f>
        <v>0</v>
      </c>
      <c r="G603" s="125">
        <f>Lista!F602</f>
        <v>0</v>
      </c>
      <c r="H603" s="125">
        <f>Lista!G602</f>
        <v>0</v>
      </c>
      <c r="I603" s="125">
        <f>Lista!H602</f>
        <v>0</v>
      </c>
      <c r="J603" s="125">
        <f>Lista!I602</f>
        <v>0</v>
      </c>
      <c r="K603" s="125">
        <f>Lista!J602</f>
        <v>0</v>
      </c>
      <c r="L603" s="125">
        <f>Lista!K602</f>
        <v>0</v>
      </c>
      <c r="M603" s="125">
        <f>Lista!L602</f>
        <v>0</v>
      </c>
      <c r="N603" s="125">
        <f>Lista!M602</f>
        <v>0</v>
      </c>
      <c r="O603" s="125">
        <f>Lista!N602</f>
        <v>0</v>
      </c>
      <c r="P603" s="125">
        <f>Lista!O602</f>
        <v>0</v>
      </c>
      <c r="Q603" s="125">
        <f>Lista!P602</f>
        <v>0</v>
      </c>
      <c r="R603" s="125">
        <f>Lista!Q602</f>
        <v>0</v>
      </c>
      <c r="S603" s="125">
        <f>Lista!R602</f>
        <v>0</v>
      </c>
      <c r="T603" s="81"/>
      <c r="U603" s="81"/>
      <c r="V603" s="81"/>
      <c r="W603" s="81"/>
      <c r="X603" s="81"/>
      <c r="Y603" s="81"/>
      <c r="Z603" s="81"/>
      <c r="AA603" s="81"/>
      <c r="AB603" s="81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  <c r="BS603" s="81"/>
      <c r="BT603" s="81"/>
      <c r="BU603" s="81"/>
      <c r="BV603" s="81"/>
      <c r="BW603" s="81"/>
      <c r="BX603" s="81"/>
      <c r="BY603" s="81"/>
      <c r="BZ603" s="81"/>
      <c r="CA603" s="81"/>
      <c r="CB603" s="81"/>
      <c r="CC603" s="81"/>
      <c r="CD603" s="81"/>
      <c r="CE603" s="81"/>
      <c r="CF603" s="81"/>
      <c r="CG603" s="81"/>
      <c r="CH603" s="81"/>
      <c r="CI603" s="81"/>
      <c r="CJ603" s="81"/>
      <c r="CK603" s="81"/>
      <c r="CL603" s="81"/>
      <c r="CM603" s="81"/>
      <c r="CN603" s="81"/>
      <c r="CO603" s="81"/>
      <c r="CP603" s="81"/>
      <c r="CQ603" s="81"/>
      <c r="CR603" s="81"/>
      <c r="CS603" s="81"/>
      <c r="CT603" s="81"/>
      <c r="CU603" s="81"/>
      <c r="CV603" s="81"/>
      <c r="CW603" s="81"/>
      <c r="CX603" s="81"/>
      <c r="CY603" s="81"/>
      <c r="CZ603" s="81"/>
      <c r="DA603" s="81"/>
      <c r="DB603" s="81"/>
      <c r="DC603" s="81"/>
      <c r="DD603" s="81"/>
      <c r="DE603" s="81"/>
      <c r="DF603" s="81"/>
      <c r="DG603" s="81"/>
      <c r="DH603" s="81"/>
      <c r="DI603" s="81"/>
      <c r="DJ603" s="81"/>
      <c r="DK603" s="81"/>
      <c r="DL603" s="81"/>
      <c r="DM603" s="81"/>
      <c r="DN603" s="81"/>
      <c r="DO603" s="81"/>
      <c r="DP603" s="81"/>
      <c r="DQ603" s="81"/>
      <c r="DR603" s="81"/>
      <c r="DS603" s="81"/>
      <c r="DT603" s="81"/>
      <c r="DU603" s="81"/>
      <c r="DV603" s="81"/>
      <c r="DW603" s="121"/>
    </row>
    <row r="604" spans="1:127" x14ac:dyDescent="0.25">
      <c r="A604" s="2">
        <f>COUNTIF($D$2:D604,'Reporte de Nomina'!$E$2)</f>
        <v>0</v>
      </c>
      <c r="B604" s="125">
        <f>Lista!A603</f>
        <v>0</v>
      </c>
      <c r="C604" s="125">
        <f>Lista!B603</f>
        <v>0</v>
      </c>
      <c r="D604" s="125">
        <f>Lista!C603</f>
        <v>0</v>
      </c>
      <c r="E604" s="125">
        <f>Lista!D603</f>
        <v>0</v>
      </c>
      <c r="F604" s="125">
        <f>Lista!E603</f>
        <v>0</v>
      </c>
      <c r="G604" s="125">
        <f>Lista!F603</f>
        <v>0</v>
      </c>
      <c r="H604" s="125">
        <f>Lista!G603</f>
        <v>0</v>
      </c>
      <c r="I604" s="125">
        <f>Lista!H603</f>
        <v>0</v>
      </c>
      <c r="J604" s="125">
        <f>Lista!I603</f>
        <v>0</v>
      </c>
      <c r="K604" s="125">
        <f>Lista!J603</f>
        <v>0</v>
      </c>
      <c r="L604" s="125">
        <f>Lista!K603</f>
        <v>0</v>
      </c>
      <c r="M604" s="125">
        <f>Lista!L603</f>
        <v>0</v>
      </c>
      <c r="N604" s="125">
        <f>Lista!M603</f>
        <v>0</v>
      </c>
      <c r="O604" s="125">
        <f>Lista!N603</f>
        <v>0</v>
      </c>
      <c r="P604" s="125">
        <f>Lista!O603</f>
        <v>0</v>
      </c>
      <c r="Q604" s="125">
        <f>Lista!P603</f>
        <v>0</v>
      </c>
      <c r="R604" s="125">
        <f>Lista!Q603</f>
        <v>0</v>
      </c>
      <c r="S604" s="125">
        <f>Lista!R603</f>
        <v>0</v>
      </c>
      <c r="T604" s="81"/>
      <c r="U604" s="81"/>
      <c r="V604" s="81"/>
      <c r="W604" s="81"/>
      <c r="X604" s="81"/>
      <c r="Y604" s="81"/>
      <c r="Z604" s="81"/>
      <c r="AA604" s="81"/>
      <c r="AB604" s="81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  <c r="BS604" s="81"/>
      <c r="BT604" s="81"/>
      <c r="BU604" s="81"/>
      <c r="BV604" s="81"/>
      <c r="BW604" s="81"/>
      <c r="BX604" s="81"/>
      <c r="BY604" s="81"/>
      <c r="BZ604" s="81"/>
      <c r="CA604" s="81"/>
      <c r="CB604" s="81"/>
      <c r="CC604" s="81"/>
      <c r="CD604" s="81"/>
      <c r="CE604" s="81"/>
      <c r="CF604" s="81"/>
      <c r="CG604" s="81"/>
      <c r="CH604" s="81"/>
      <c r="CI604" s="81"/>
      <c r="CJ604" s="81"/>
      <c r="CK604" s="81"/>
      <c r="CL604" s="81"/>
      <c r="CM604" s="81"/>
      <c r="CN604" s="81"/>
      <c r="CO604" s="81"/>
      <c r="CP604" s="81"/>
      <c r="CQ604" s="81"/>
      <c r="CR604" s="81"/>
      <c r="CS604" s="81"/>
      <c r="CT604" s="81"/>
      <c r="CU604" s="81"/>
      <c r="CV604" s="81"/>
      <c r="CW604" s="81"/>
      <c r="CX604" s="81"/>
      <c r="CY604" s="81"/>
      <c r="CZ604" s="81"/>
      <c r="DA604" s="81"/>
      <c r="DB604" s="81"/>
      <c r="DC604" s="81"/>
      <c r="DD604" s="81"/>
      <c r="DE604" s="81"/>
      <c r="DF604" s="81"/>
      <c r="DG604" s="81"/>
      <c r="DH604" s="81"/>
      <c r="DI604" s="81"/>
      <c r="DJ604" s="81"/>
      <c r="DK604" s="81"/>
      <c r="DL604" s="81"/>
      <c r="DM604" s="81"/>
      <c r="DN604" s="81"/>
      <c r="DO604" s="81"/>
      <c r="DP604" s="81"/>
      <c r="DQ604" s="81"/>
      <c r="DR604" s="81"/>
      <c r="DS604" s="81"/>
      <c r="DT604" s="81"/>
      <c r="DU604" s="81"/>
      <c r="DV604" s="81"/>
      <c r="DW604" s="121"/>
    </row>
    <row r="605" spans="1:127" x14ac:dyDescent="0.25">
      <c r="A605" s="2">
        <f>COUNTIF($D$2:D605,'Reporte de Nomina'!$E$2)</f>
        <v>0</v>
      </c>
      <c r="B605" s="125">
        <f>Lista!A604</f>
        <v>0</v>
      </c>
      <c r="C605" s="125">
        <f>Lista!B604</f>
        <v>0</v>
      </c>
      <c r="D605" s="125">
        <f>Lista!C604</f>
        <v>0</v>
      </c>
      <c r="E605" s="125">
        <f>Lista!D604</f>
        <v>0</v>
      </c>
      <c r="F605" s="125">
        <f>Lista!E604</f>
        <v>0</v>
      </c>
      <c r="G605" s="125">
        <f>Lista!F604</f>
        <v>0</v>
      </c>
      <c r="H605" s="125">
        <f>Lista!G604</f>
        <v>0</v>
      </c>
      <c r="I605" s="125">
        <f>Lista!H604</f>
        <v>0</v>
      </c>
      <c r="J605" s="125">
        <f>Lista!I604</f>
        <v>0</v>
      </c>
      <c r="K605" s="125">
        <f>Lista!J604</f>
        <v>0</v>
      </c>
      <c r="L605" s="125">
        <f>Lista!K604</f>
        <v>0</v>
      </c>
      <c r="M605" s="125">
        <f>Lista!L604</f>
        <v>0</v>
      </c>
      <c r="N605" s="125">
        <f>Lista!M604</f>
        <v>0</v>
      </c>
      <c r="O605" s="125">
        <f>Lista!N604</f>
        <v>0</v>
      </c>
      <c r="P605" s="125">
        <f>Lista!O604</f>
        <v>0</v>
      </c>
      <c r="Q605" s="125">
        <f>Lista!P604</f>
        <v>0</v>
      </c>
      <c r="R605" s="125">
        <f>Lista!Q604</f>
        <v>0</v>
      </c>
      <c r="S605" s="125">
        <f>Lista!R604</f>
        <v>0</v>
      </c>
      <c r="T605" s="81"/>
      <c r="U605" s="81"/>
      <c r="V605" s="81"/>
      <c r="W605" s="81"/>
      <c r="X605" s="81"/>
      <c r="Y605" s="81"/>
      <c r="Z605" s="81"/>
      <c r="AA605" s="81"/>
      <c r="AB605" s="81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  <c r="BS605" s="81"/>
      <c r="BT605" s="81"/>
      <c r="BU605" s="81"/>
      <c r="BV605" s="81"/>
      <c r="BW605" s="81"/>
      <c r="BX605" s="81"/>
      <c r="BY605" s="81"/>
      <c r="BZ605" s="81"/>
      <c r="CA605" s="81"/>
      <c r="CB605" s="81"/>
      <c r="CC605" s="81"/>
      <c r="CD605" s="81"/>
      <c r="CE605" s="81"/>
      <c r="CF605" s="81"/>
      <c r="CG605" s="81"/>
      <c r="CH605" s="81"/>
      <c r="CI605" s="81"/>
      <c r="CJ605" s="81"/>
      <c r="CK605" s="81"/>
      <c r="CL605" s="81"/>
      <c r="CM605" s="81"/>
      <c r="CN605" s="81"/>
      <c r="CO605" s="81"/>
      <c r="CP605" s="81"/>
      <c r="CQ605" s="81"/>
      <c r="CR605" s="81"/>
      <c r="CS605" s="81"/>
      <c r="CT605" s="81"/>
      <c r="CU605" s="81"/>
      <c r="CV605" s="81"/>
      <c r="CW605" s="81"/>
      <c r="CX605" s="81"/>
      <c r="CY605" s="81"/>
      <c r="CZ605" s="81"/>
      <c r="DA605" s="81"/>
      <c r="DB605" s="81"/>
      <c r="DC605" s="81"/>
      <c r="DD605" s="81"/>
      <c r="DE605" s="81"/>
      <c r="DF605" s="81"/>
      <c r="DG605" s="81"/>
      <c r="DH605" s="81"/>
      <c r="DI605" s="81"/>
      <c r="DJ605" s="81"/>
      <c r="DK605" s="81"/>
      <c r="DL605" s="81"/>
      <c r="DM605" s="81"/>
      <c r="DN605" s="81"/>
      <c r="DO605" s="81"/>
      <c r="DP605" s="81"/>
      <c r="DQ605" s="81"/>
      <c r="DR605" s="81"/>
      <c r="DS605" s="81"/>
      <c r="DT605" s="81"/>
      <c r="DU605" s="81"/>
      <c r="DV605" s="81"/>
      <c r="DW605" s="121"/>
    </row>
    <row r="606" spans="1:127" x14ac:dyDescent="0.25">
      <c r="A606" s="2">
        <f>COUNTIF($D$2:D606,'Reporte de Nomina'!$E$2)</f>
        <v>0</v>
      </c>
      <c r="B606" s="125">
        <f>Lista!A605</f>
        <v>0</v>
      </c>
      <c r="C606" s="125">
        <f>Lista!B605</f>
        <v>0</v>
      </c>
      <c r="D606" s="125">
        <f>Lista!C605</f>
        <v>0</v>
      </c>
      <c r="E606" s="125">
        <f>Lista!D605</f>
        <v>0</v>
      </c>
      <c r="F606" s="125">
        <f>Lista!E605</f>
        <v>0</v>
      </c>
      <c r="G606" s="125">
        <f>Lista!F605</f>
        <v>0</v>
      </c>
      <c r="H606" s="125">
        <f>Lista!G605</f>
        <v>0</v>
      </c>
      <c r="I606" s="125">
        <f>Lista!H605</f>
        <v>0</v>
      </c>
      <c r="J606" s="125">
        <f>Lista!I605</f>
        <v>0</v>
      </c>
      <c r="K606" s="125">
        <f>Lista!J605</f>
        <v>0</v>
      </c>
      <c r="L606" s="125">
        <f>Lista!K605</f>
        <v>0</v>
      </c>
      <c r="M606" s="125">
        <f>Lista!L605</f>
        <v>0</v>
      </c>
      <c r="N606" s="125">
        <f>Lista!M605</f>
        <v>0</v>
      </c>
      <c r="O606" s="125">
        <f>Lista!N605</f>
        <v>0</v>
      </c>
      <c r="P606" s="125">
        <f>Lista!O605</f>
        <v>0</v>
      </c>
      <c r="Q606" s="125">
        <f>Lista!P605</f>
        <v>0</v>
      </c>
      <c r="R606" s="125">
        <f>Lista!Q605</f>
        <v>0</v>
      </c>
      <c r="S606" s="125">
        <f>Lista!R605</f>
        <v>0</v>
      </c>
      <c r="T606" s="81"/>
      <c r="U606" s="81"/>
      <c r="V606" s="81"/>
      <c r="W606" s="81"/>
      <c r="X606" s="81"/>
      <c r="Y606" s="81"/>
      <c r="Z606" s="81"/>
      <c r="AA606" s="81"/>
      <c r="AB606" s="81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  <c r="BS606" s="81"/>
      <c r="BT606" s="81"/>
      <c r="BU606" s="81"/>
      <c r="BV606" s="81"/>
      <c r="BW606" s="81"/>
      <c r="BX606" s="81"/>
      <c r="BY606" s="81"/>
      <c r="BZ606" s="81"/>
      <c r="CA606" s="81"/>
      <c r="CB606" s="81"/>
      <c r="CC606" s="81"/>
      <c r="CD606" s="81"/>
      <c r="CE606" s="81"/>
      <c r="CF606" s="81"/>
      <c r="CG606" s="81"/>
      <c r="CH606" s="81"/>
      <c r="CI606" s="81"/>
      <c r="CJ606" s="81"/>
      <c r="CK606" s="81"/>
      <c r="CL606" s="81"/>
      <c r="CM606" s="81"/>
      <c r="CN606" s="81"/>
      <c r="CO606" s="81"/>
      <c r="CP606" s="81"/>
      <c r="CQ606" s="81"/>
      <c r="CR606" s="81"/>
      <c r="CS606" s="81"/>
      <c r="CT606" s="81"/>
      <c r="CU606" s="81"/>
      <c r="CV606" s="81"/>
      <c r="CW606" s="81"/>
      <c r="CX606" s="81"/>
      <c r="CY606" s="81"/>
      <c r="CZ606" s="81"/>
      <c r="DA606" s="81"/>
      <c r="DB606" s="81"/>
      <c r="DC606" s="81"/>
      <c r="DD606" s="81"/>
      <c r="DE606" s="81"/>
      <c r="DF606" s="81"/>
      <c r="DG606" s="81"/>
      <c r="DH606" s="81"/>
      <c r="DI606" s="81"/>
      <c r="DJ606" s="81"/>
      <c r="DK606" s="81"/>
      <c r="DL606" s="81"/>
      <c r="DM606" s="81"/>
      <c r="DN606" s="81"/>
      <c r="DO606" s="81"/>
      <c r="DP606" s="81"/>
      <c r="DQ606" s="81"/>
      <c r="DR606" s="81"/>
      <c r="DS606" s="81"/>
      <c r="DT606" s="81"/>
      <c r="DU606" s="81"/>
      <c r="DV606" s="81"/>
      <c r="DW606" s="121"/>
    </row>
    <row r="607" spans="1:127" x14ac:dyDescent="0.25">
      <c r="A607" s="2">
        <f>COUNTIF($D$2:D607,'Reporte de Nomina'!$E$2)</f>
        <v>0</v>
      </c>
      <c r="B607" s="125">
        <f>Lista!A606</f>
        <v>0</v>
      </c>
      <c r="C607" s="125">
        <f>Lista!B606</f>
        <v>0</v>
      </c>
      <c r="D607" s="125">
        <f>Lista!C606</f>
        <v>0</v>
      </c>
      <c r="E607" s="125">
        <f>Lista!D606</f>
        <v>0</v>
      </c>
      <c r="F607" s="125">
        <f>Lista!E606</f>
        <v>0</v>
      </c>
      <c r="G607" s="125">
        <f>Lista!F606</f>
        <v>0</v>
      </c>
      <c r="H607" s="125">
        <f>Lista!G606</f>
        <v>0</v>
      </c>
      <c r="I607" s="125">
        <f>Lista!H606</f>
        <v>0</v>
      </c>
      <c r="J607" s="125">
        <f>Lista!I606</f>
        <v>0</v>
      </c>
      <c r="K607" s="125">
        <f>Lista!J606</f>
        <v>0</v>
      </c>
      <c r="L607" s="125">
        <f>Lista!K606</f>
        <v>0</v>
      </c>
      <c r="M607" s="125">
        <f>Lista!L606</f>
        <v>0</v>
      </c>
      <c r="N607" s="125">
        <f>Lista!M606</f>
        <v>0</v>
      </c>
      <c r="O607" s="125">
        <f>Lista!N606</f>
        <v>0</v>
      </c>
      <c r="P607" s="125">
        <f>Lista!O606</f>
        <v>0</v>
      </c>
      <c r="Q607" s="125">
        <f>Lista!P606</f>
        <v>0</v>
      </c>
      <c r="R607" s="125">
        <f>Lista!Q606</f>
        <v>0</v>
      </c>
      <c r="S607" s="125">
        <f>Lista!R606</f>
        <v>0</v>
      </c>
      <c r="T607" s="81"/>
      <c r="U607" s="81"/>
      <c r="V607" s="81"/>
      <c r="W607" s="81"/>
      <c r="X607" s="81"/>
      <c r="Y607" s="81"/>
      <c r="Z607" s="81"/>
      <c r="AA607" s="81"/>
      <c r="AB607" s="81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  <c r="BS607" s="81"/>
      <c r="BT607" s="81"/>
      <c r="BU607" s="81"/>
      <c r="BV607" s="81"/>
      <c r="BW607" s="81"/>
      <c r="BX607" s="81"/>
      <c r="BY607" s="81"/>
      <c r="BZ607" s="81"/>
      <c r="CA607" s="81"/>
      <c r="CB607" s="81"/>
      <c r="CC607" s="81"/>
      <c r="CD607" s="81"/>
      <c r="CE607" s="81"/>
      <c r="CF607" s="81"/>
      <c r="CG607" s="81"/>
      <c r="CH607" s="81"/>
      <c r="CI607" s="81"/>
      <c r="CJ607" s="81"/>
      <c r="CK607" s="81"/>
      <c r="CL607" s="81"/>
      <c r="CM607" s="81"/>
      <c r="CN607" s="81"/>
      <c r="CO607" s="81"/>
      <c r="CP607" s="81"/>
      <c r="CQ607" s="81"/>
      <c r="CR607" s="81"/>
      <c r="CS607" s="81"/>
      <c r="CT607" s="81"/>
      <c r="CU607" s="81"/>
      <c r="CV607" s="81"/>
      <c r="CW607" s="81"/>
      <c r="CX607" s="81"/>
      <c r="CY607" s="81"/>
      <c r="CZ607" s="81"/>
      <c r="DA607" s="81"/>
      <c r="DB607" s="81"/>
      <c r="DC607" s="81"/>
      <c r="DD607" s="81"/>
      <c r="DE607" s="81"/>
      <c r="DF607" s="81"/>
      <c r="DG607" s="81"/>
      <c r="DH607" s="81"/>
      <c r="DI607" s="81"/>
      <c r="DJ607" s="81"/>
      <c r="DK607" s="81"/>
      <c r="DL607" s="81"/>
      <c r="DM607" s="81"/>
      <c r="DN607" s="81"/>
      <c r="DO607" s="81"/>
      <c r="DP607" s="81"/>
      <c r="DQ607" s="81"/>
      <c r="DR607" s="81"/>
      <c r="DS607" s="81"/>
      <c r="DT607" s="81"/>
      <c r="DU607" s="81"/>
      <c r="DV607" s="81"/>
      <c r="DW607" s="121"/>
    </row>
    <row r="608" spans="1:127" x14ac:dyDescent="0.25">
      <c r="A608" s="2">
        <f>COUNTIF($D$2:D608,'Reporte de Nomina'!$E$2)</f>
        <v>0</v>
      </c>
      <c r="B608" s="125">
        <f>Lista!A607</f>
        <v>0</v>
      </c>
      <c r="C608" s="125">
        <f>Lista!B607</f>
        <v>0</v>
      </c>
      <c r="D608" s="125">
        <f>Lista!C607</f>
        <v>0</v>
      </c>
      <c r="E608" s="125">
        <f>Lista!D607</f>
        <v>0</v>
      </c>
      <c r="F608" s="125">
        <f>Lista!E607</f>
        <v>0</v>
      </c>
      <c r="G608" s="125">
        <f>Lista!F607</f>
        <v>0</v>
      </c>
      <c r="H608" s="125">
        <f>Lista!G607</f>
        <v>0</v>
      </c>
      <c r="I608" s="125">
        <f>Lista!H607</f>
        <v>0</v>
      </c>
      <c r="J608" s="125">
        <f>Lista!I607</f>
        <v>0</v>
      </c>
      <c r="K608" s="125">
        <f>Lista!J607</f>
        <v>0</v>
      </c>
      <c r="L608" s="125">
        <f>Lista!K607</f>
        <v>0</v>
      </c>
      <c r="M608" s="125">
        <f>Lista!L607</f>
        <v>0</v>
      </c>
      <c r="N608" s="125">
        <f>Lista!M607</f>
        <v>0</v>
      </c>
      <c r="O608" s="125">
        <f>Lista!N607</f>
        <v>0</v>
      </c>
      <c r="P608" s="125">
        <f>Lista!O607</f>
        <v>0</v>
      </c>
      <c r="Q608" s="125">
        <f>Lista!P607</f>
        <v>0</v>
      </c>
      <c r="R608" s="125">
        <f>Lista!Q607</f>
        <v>0</v>
      </c>
      <c r="S608" s="125">
        <f>Lista!R607</f>
        <v>0</v>
      </c>
      <c r="T608" s="81"/>
      <c r="U608" s="81"/>
      <c r="V608" s="81"/>
      <c r="W608" s="81"/>
      <c r="X608" s="81"/>
      <c r="Y608" s="81"/>
      <c r="Z608" s="81"/>
      <c r="AA608" s="81"/>
      <c r="AB608" s="81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  <c r="BS608" s="81"/>
      <c r="BT608" s="81"/>
      <c r="BU608" s="81"/>
      <c r="BV608" s="81"/>
      <c r="BW608" s="81"/>
      <c r="BX608" s="81"/>
      <c r="BY608" s="81"/>
      <c r="BZ608" s="81"/>
      <c r="CA608" s="81"/>
      <c r="CB608" s="81"/>
      <c r="CC608" s="81"/>
      <c r="CD608" s="81"/>
      <c r="CE608" s="81"/>
      <c r="CF608" s="81"/>
      <c r="CG608" s="81"/>
      <c r="CH608" s="81"/>
      <c r="CI608" s="81"/>
      <c r="CJ608" s="81"/>
      <c r="CK608" s="81"/>
      <c r="CL608" s="81"/>
      <c r="CM608" s="81"/>
      <c r="CN608" s="81"/>
      <c r="CO608" s="81"/>
      <c r="CP608" s="81"/>
      <c r="CQ608" s="81"/>
      <c r="CR608" s="81"/>
      <c r="CS608" s="81"/>
      <c r="CT608" s="81"/>
      <c r="CU608" s="81"/>
      <c r="CV608" s="81"/>
      <c r="CW608" s="81"/>
      <c r="CX608" s="81"/>
      <c r="CY608" s="81"/>
      <c r="CZ608" s="81"/>
      <c r="DA608" s="81"/>
      <c r="DB608" s="81"/>
      <c r="DC608" s="81"/>
      <c r="DD608" s="81"/>
      <c r="DE608" s="81"/>
      <c r="DF608" s="81"/>
      <c r="DG608" s="81"/>
      <c r="DH608" s="81"/>
      <c r="DI608" s="81"/>
      <c r="DJ608" s="81"/>
      <c r="DK608" s="81"/>
      <c r="DL608" s="81"/>
      <c r="DM608" s="81"/>
      <c r="DN608" s="81"/>
      <c r="DO608" s="81"/>
      <c r="DP608" s="81"/>
      <c r="DQ608" s="81"/>
      <c r="DR608" s="81"/>
      <c r="DS608" s="81"/>
      <c r="DT608" s="81"/>
      <c r="DU608" s="81"/>
      <c r="DV608" s="81"/>
      <c r="DW608" s="121"/>
    </row>
    <row r="609" spans="1:127" x14ac:dyDescent="0.25">
      <c r="A609" s="2">
        <f>COUNTIF($D$2:D609,'Reporte de Nomina'!$E$2)</f>
        <v>0</v>
      </c>
      <c r="B609" s="125">
        <f>Lista!A608</f>
        <v>0</v>
      </c>
      <c r="C609" s="125">
        <f>Lista!B608</f>
        <v>0</v>
      </c>
      <c r="D609" s="125">
        <f>Lista!C608</f>
        <v>0</v>
      </c>
      <c r="E609" s="125">
        <f>Lista!D608</f>
        <v>0</v>
      </c>
      <c r="F609" s="125">
        <f>Lista!E608</f>
        <v>0</v>
      </c>
      <c r="G609" s="125">
        <f>Lista!F608</f>
        <v>0</v>
      </c>
      <c r="H609" s="125">
        <f>Lista!G608</f>
        <v>0</v>
      </c>
      <c r="I609" s="125">
        <f>Lista!H608</f>
        <v>0</v>
      </c>
      <c r="J609" s="125">
        <f>Lista!I608</f>
        <v>0</v>
      </c>
      <c r="K609" s="125">
        <f>Lista!J608</f>
        <v>0</v>
      </c>
      <c r="L609" s="125">
        <f>Lista!K608</f>
        <v>0</v>
      </c>
      <c r="M609" s="125">
        <f>Lista!L608</f>
        <v>0</v>
      </c>
      <c r="N609" s="125">
        <f>Lista!M608</f>
        <v>0</v>
      </c>
      <c r="O609" s="125">
        <f>Lista!N608</f>
        <v>0</v>
      </c>
      <c r="P609" s="125">
        <f>Lista!O608</f>
        <v>0</v>
      </c>
      <c r="Q609" s="125">
        <f>Lista!P608</f>
        <v>0</v>
      </c>
      <c r="R609" s="125">
        <f>Lista!Q608</f>
        <v>0</v>
      </c>
      <c r="S609" s="125">
        <f>Lista!R608</f>
        <v>0</v>
      </c>
      <c r="T609" s="81"/>
      <c r="U609" s="81"/>
      <c r="V609" s="81"/>
      <c r="W609" s="81"/>
      <c r="X609" s="81"/>
      <c r="Y609" s="81"/>
      <c r="Z609" s="81"/>
      <c r="AA609" s="81"/>
      <c r="AB609" s="81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  <c r="BS609" s="81"/>
      <c r="BT609" s="81"/>
      <c r="BU609" s="81"/>
      <c r="BV609" s="81"/>
      <c r="BW609" s="81"/>
      <c r="BX609" s="81"/>
      <c r="BY609" s="81"/>
      <c r="BZ609" s="81"/>
      <c r="CA609" s="81"/>
      <c r="CB609" s="81"/>
      <c r="CC609" s="81"/>
      <c r="CD609" s="81"/>
      <c r="CE609" s="81"/>
      <c r="CF609" s="81"/>
      <c r="CG609" s="81"/>
      <c r="CH609" s="81"/>
      <c r="CI609" s="81"/>
      <c r="CJ609" s="81"/>
      <c r="CK609" s="81"/>
      <c r="CL609" s="81"/>
      <c r="CM609" s="81"/>
      <c r="CN609" s="81"/>
      <c r="CO609" s="81"/>
      <c r="CP609" s="81"/>
      <c r="CQ609" s="81"/>
      <c r="CR609" s="81"/>
      <c r="CS609" s="81"/>
      <c r="CT609" s="81"/>
      <c r="CU609" s="81"/>
      <c r="CV609" s="81"/>
      <c r="CW609" s="81"/>
      <c r="CX609" s="81"/>
      <c r="CY609" s="81"/>
      <c r="CZ609" s="81"/>
      <c r="DA609" s="81"/>
      <c r="DB609" s="81"/>
      <c r="DC609" s="81"/>
      <c r="DD609" s="81"/>
      <c r="DE609" s="81"/>
      <c r="DF609" s="81"/>
      <c r="DG609" s="81"/>
      <c r="DH609" s="81"/>
      <c r="DI609" s="81"/>
      <c r="DJ609" s="81"/>
      <c r="DK609" s="81"/>
      <c r="DL609" s="81"/>
      <c r="DM609" s="81"/>
      <c r="DN609" s="81"/>
      <c r="DO609" s="81"/>
      <c r="DP609" s="81"/>
      <c r="DQ609" s="81"/>
      <c r="DR609" s="81"/>
      <c r="DS609" s="81"/>
      <c r="DT609" s="81"/>
      <c r="DU609" s="81"/>
      <c r="DV609" s="81"/>
      <c r="DW609" s="121"/>
    </row>
    <row r="610" spans="1:127" x14ac:dyDescent="0.25">
      <c r="A610" s="2">
        <f>COUNTIF($D$2:D610,'Reporte de Nomina'!$E$2)</f>
        <v>0</v>
      </c>
      <c r="B610" s="125">
        <f>Lista!A609</f>
        <v>0</v>
      </c>
      <c r="C610" s="125">
        <f>Lista!B609</f>
        <v>0</v>
      </c>
      <c r="D610" s="125">
        <f>Lista!C609</f>
        <v>0</v>
      </c>
      <c r="E610" s="125">
        <f>Lista!D609</f>
        <v>0</v>
      </c>
      <c r="F610" s="125">
        <f>Lista!E609</f>
        <v>0</v>
      </c>
      <c r="G610" s="125">
        <f>Lista!F609</f>
        <v>0</v>
      </c>
      <c r="H610" s="125">
        <f>Lista!G609</f>
        <v>0</v>
      </c>
      <c r="I610" s="125">
        <f>Lista!H609</f>
        <v>0</v>
      </c>
      <c r="J610" s="125">
        <f>Lista!I609</f>
        <v>0</v>
      </c>
      <c r="K610" s="125">
        <f>Lista!J609</f>
        <v>0</v>
      </c>
      <c r="L610" s="125">
        <f>Lista!K609</f>
        <v>0</v>
      </c>
      <c r="M610" s="125">
        <f>Lista!L609</f>
        <v>0</v>
      </c>
      <c r="N610" s="125">
        <f>Lista!M609</f>
        <v>0</v>
      </c>
      <c r="O610" s="125">
        <f>Lista!N609</f>
        <v>0</v>
      </c>
      <c r="P610" s="125">
        <f>Lista!O609</f>
        <v>0</v>
      </c>
      <c r="Q610" s="125">
        <f>Lista!P609</f>
        <v>0</v>
      </c>
      <c r="R610" s="125">
        <f>Lista!Q609</f>
        <v>0</v>
      </c>
      <c r="S610" s="125">
        <f>Lista!R609</f>
        <v>0</v>
      </c>
      <c r="T610" s="81"/>
      <c r="U610" s="81"/>
      <c r="V610" s="81"/>
      <c r="W610" s="81"/>
      <c r="X610" s="81"/>
      <c r="Y610" s="81"/>
      <c r="Z610" s="81"/>
      <c r="AA610" s="81"/>
      <c r="AB610" s="81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  <c r="BS610" s="81"/>
      <c r="BT610" s="81"/>
      <c r="BU610" s="81"/>
      <c r="BV610" s="81"/>
      <c r="BW610" s="81"/>
      <c r="BX610" s="81"/>
      <c r="BY610" s="81"/>
      <c r="BZ610" s="81"/>
      <c r="CA610" s="81"/>
      <c r="CB610" s="81"/>
      <c r="CC610" s="81"/>
      <c r="CD610" s="81"/>
      <c r="CE610" s="81"/>
      <c r="CF610" s="81"/>
      <c r="CG610" s="81"/>
      <c r="CH610" s="81"/>
      <c r="CI610" s="81"/>
      <c r="CJ610" s="81"/>
      <c r="CK610" s="81"/>
      <c r="CL610" s="81"/>
      <c r="CM610" s="81"/>
      <c r="CN610" s="81"/>
      <c r="CO610" s="81"/>
      <c r="CP610" s="81"/>
      <c r="CQ610" s="81"/>
      <c r="CR610" s="81"/>
      <c r="CS610" s="81"/>
      <c r="CT610" s="81"/>
      <c r="CU610" s="81"/>
      <c r="CV610" s="81"/>
      <c r="CW610" s="81"/>
      <c r="CX610" s="81"/>
      <c r="CY610" s="81"/>
      <c r="CZ610" s="81"/>
      <c r="DA610" s="81"/>
      <c r="DB610" s="81"/>
      <c r="DC610" s="81"/>
      <c r="DD610" s="81"/>
      <c r="DE610" s="81"/>
      <c r="DF610" s="81"/>
      <c r="DG610" s="81"/>
      <c r="DH610" s="81"/>
      <c r="DI610" s="81"/>
      <c r="DJ610" s="81"/>
      <c r="DK610" s="81"/>
      <c r="DL610" s="81"/>
      <c r="DM610" s="81"/>
      <c r="DN610" s="81"/>
      <c r="DO610" s="81"/>
      <c r="DP610" s="81"/>
      <c r="DQ610" s="81"/>
      <c r="DR610" s="81"/>
      <c r="DS610" s="81"/>
      <c r="DT610" s="81"/>
      <c r="DU610" s="81"/>
      <c r="DV610" s="81"/>
      <c r="DW610" s="121"/>
    </row>
    <row r="611" spans="1:127" x14ac:dyDescent="0.25">
      <c r="A611" s="2">
        <f>COUNTIF($D$2:D611,'Reporte de Nomina'!$E$2)</f>
        <v>0</v>
      </c>
      <c r="B611" s="125">
        <f>Lista!A610</f>
        <v>0</v>
      </c>
      <c r="C611" s="125">
        <f>Lista!B610</f>
        <v>0</v>
      </c>
      <c r="D611" s="125">
        <f>Lista!C610</f>
        <v>0</v>
      </c>
      <c r="E611" s="125">
        <f>Lista!D610</f>
        <v>0</v>
      </c>
      <c r="F611" s="125">
        <f>Lista!E610</f>
        <v>0</v>
      </c>
      <c r="G611" s="125">
        <f>Lista!F610</f>
        <v>0</v>
      </c>
      <c r="H611" s="125">
        <f>Lista!G610</f>
        <v>0</v>
      </c>
      <c r="I611" s="125">
        <f>Lista!H610</f>
        <v>0</v>
      </c>
      <c r="J611" s="125">
        <f>Lista!I610</f>
        <v>0</v>
      </c>
      <c r="K611" s="125">
        <f>Lista!J610</f>
        <v>0</v>
      </c>
      <c r="L611" s="125">
        <f>Lista!K610</f>
        <v>0</v>
      </c>
      <c r="M611" s="125">
        <f>Lista!L610</f>
        <v>0</v>
      </c>
      <c r="N611" s="125">
        <f>Lista!M610</f>
        <v>0</v>
      </c>
      <c r="O611" s="125">
        <f>Lista!N610</f>
        <v>0</v>
      </c>
      <c r="P611" s="125">
        <f>Lista!O610</f>
        <v>0</v>
      </c>
      <c r="Q611" s="125">
        <f>Lista!P610</f>
        <v>0</v>
      </c>
      <c r="R611" s="125">
        <f>Lista!Q610</f>
        <v>0</v>
      </c>
      <c r="S611" s="125">
        <f>Lista!R610</f>
        <v>0</v>
      </c>
      <c r="T611" s="81"/>
      <c r="U611" s="81"/>
      <c r="V611" s="81"/>
      <c r="W611" s="81"/>
      <c r="X611" s="81"/>
      <c r="Y611" s="81"/>
      <c r="Z611" s="81"/>
      <c r="AA611" s="81"/>
      <c r="AB611" s="81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  <c r="BS611" s="81"/>
      <c r="BT611" s="81"/>
      <c r="BU611" s="81"/>
      <c r="BV611" s="81"/>
      <c r="BW611" s="81"/>
      <c r="BX611" s="81"/>
      <c r="BY611" s="81"/>
      <c r="BZ611" s="81"/>
      <c r="CA611" s="81"/>
      <c r="CB611" s="81"/>
      <c r="CC611" s="81"/>
      <c r="CD611" s="81"/>
      <c r="CE611" s="81"/>
      <c r="CF611" s="81"/>
      <c r="CG611" s="81"/>
      <c r="CH611" s="81"/>
      <c r="CI611" s="81"/>
      <c r="CJ611" s="81"/>
      <c r="CK611" s="81"/>
      <c r="CL611" s="81"/>
      <c r="CM611" s="81"/>
      <c r="CN611" s="81"/>
      <c r="CO611" s="81"/>
      <c r="CP611" s="81"/>
      <c r="CQ611" s="81"/>
      <c r="CR611" s="81"/>
      <c r="CS611" s="81"/>
      <c r="CT611" s="81"/>
      <c r="CU611" s="81"/>
      <c r="CV611" s="81"/>
      <c r="CW611" s="81"/>
      <c r="CX611" s="81"/>
      <c r="CY611" s="81"/>
      <c r="CZ611" s="81"/>
      <c r="DA611" s="81"/>
      <c r="DB611" s="81"/>
      <c r="DC611" s="81"/>
      <c r="DD611" s="81"/>
      <c r="DE611" s="81"/>
      <c r="DF611" s="81"/>
      <c r="DG611" s="81"/>
      <c r="DH611" s="81"/>
      <c r="DI611" s="81"/>
      <c r="DJ611" s="81"/>
      <c r="DK611" s="81"/>
      <c r="DL611" s="81"/>
      <c r="DM611" s="81"/>
      <c r="DN611" s="81"/>
      <c r="DO611" s="81"/>
      <c r="DP611" s="81"/>
      <c r="DQ611" s="81"/>
      <c r="DR611" s="81"/>
      <c r="DS611" s="81"/>
      <c r="DT611" s="81"/>
      <c r="DU611" s="81"/>
      <c r="DV611" s="81"/>
      <c r="DW611" s="121"/>
    </row>
    <row r="612" spans="1:127" x14ac:dyDescent="0.25">
      <c r="A612" s="2">
        <f>COUNTIF($D$2:D612,'Reporte de Nomina'!$E$2)</f>
        <v>0</v>
      </c>
      <c r="B612" s="125">
        <f>Lista!A611</f>
        <v>0</v>
      </c>
      <c r="C612" s="125">
        <f>Lista!B611</f>
        <v>0</v>
      </c>
      <c r="D612" s="125">
        <f>Lista!C611</f>
        <v>0</v>
      </c>
      <c r="E612" s="125">
        <f>Lista!D611</f>
        <v>0</v>
      </c>
      <c r="F612" s="125">
        <f>Lista!E611</f>
        <v>0</v>
      </c>
      <c r="G612" s="125">
        <f>Lista!F611</f>
        <v>0</v>
      </c>
      <c r="H612" s="125">
        <f>Lista!G611</f>
        <v>0</v>
      </c>
      <c r="I612" s="125">
        <f>Lista!H611</f>
        <v>0</v>
      </c>
      <c r="J612" s="125">
        <f>Lista!I611</f>
        <v>0</v>
      </c>
      <c r="K612" s="125">
        <f>Lista!J611</f>
        <v>0</v>
      </c>
      <c r="L612" s="125">
        <f>Lista!K611</f>
        <v>0</v>
      </c>
      <c r="M612" s="125">
        <f>Lista!L611</f>
        <v>0</v>
      </c>
      <c r="N612" s="125">
        <f>Lista!M611</f>
        <v>0</v>
      </c>
      <c r="O612" s="125">
        <f>Lista!N611</f>
        <v>0</v>
      </c>
      <c r="P612" s="125">
        <f>Lista!O611</f>
        <v>0</v>
      </c>
      <c r="Q612" s="125">
        <f>Lista!P611</f>
        <v>0</v>
      </c>
      <c r="R612" s="125">
        <f>Lista!Q611</f>
        <v>0</v>
      </c>
      <c r="S612" s="125">
        <f>Lista!R611</f>
        <v>0</v>
      </c>
      <c r="T612" s="81"/>
      <c r="U612" s="81"/>
      <c r="V612" s="81"/>
      <c r="W612" s="81"/>
      <c r="X612" s="81"/>
      <c r="Y612" s="81"/>
      <c r="Z612" s="81"/>
      <c r="AA612" s="81"/>
      <c r="AB612" s="81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  <c r="BS612" s="81"/>
      <c r="BT612" s="81"/>
      <c r="BU612" s="81"/>
      <c r="BV612" s="81"/>
      <c r="BW612" s="81"/>
      <c r="BX612" s="81"/>
      <c r="BY612" s="81"/>
      <c r="BZ612" s="81"/>
      <c r="CA612" s="81"/>
      <c r="CB612" s="81"/>
      <c r="CC612" s="81"/>
      <c r="CD612" s="81"/>
      <c r="CE612" s="81"/>
      <c r="CF612" s="81"/>
      <c r="CG612" s="81"/>
      <c r="CH612" s="81"/>
      <c r="CI612" s="81"/>
      <c r="CJ612" s="81"/>
      <c r="CK612" s="81"/>
      <c r="CL612" s="81"/>
      <c r="CM612" s="81"/>
      <c r="CN612" s="81"/>
      <c r="CO612" s="81"/>
      <c r="CP612" s="81"/>
      <c r="CQ612" s="81"/>
      <c r="CR612" s="81"/>
      <c r="CS612" s="81"/>
      <c r="CT612" s="81"/>
      <c r="CU612" s="81"/>
      <c r="CV612" s="81"/>
      <c r="CW612" s="81"/>
      <c r="CX612" s="81"/>
      <c r="CY612" s="81"/>
      <c r="CZ612" s="81"/>
      <c r="DA612" s="81"/>
      <c r="DB612" s="81"/>
      <c r="DC612" s="81"/>
      <c r="DD612" s="81"/>
      <c r="DE612" s="81"/>
      <c r="DF612" s="81"/>
      <c r="DG612" s="81"/>
      <c r="DH612" s="81"/>
      <c r="DI612" s="81"/>
      <c r="DJ612" s="81"/>
      <c r="DK612" s="81"/>
      <c r="DL612" s="81"/>
      <c r="DM612" s="81"/>
      <c r="DN612" s="81"/>
      <c r="DO612" s="81"/>
      <c r="DP612" s="81"/>
      <c r="DQ612" s="81"/>
      <c r="DR612" s="81"/>
      <c r="DS612" s="81"/>
      <c r="DT612" s="81"/>
      <c r="DU612" s="81"/>
      <c r="DV612" s="81"/>
      <c r="DW612" s="121"/>
    </row>
    <row r="613" spans="1:127" x14ac:dyDescent="0.25">
      <c r="A613" s="2">
        <f>COUNTIF($D$2:D613,'Reporte de Nomina'!$E$2)</f>
        <v>0</v>
      </c>
      <c r="B613" s="125">
        <f>Lista!A612</f>
        <v>0</v>
      </c>
      <c r="C613" s="125">
        <f>Lista!B612</f>
        <v>0</v>
      </c>
      <c r="D613" s="125">
        <f>Lista!C612</f>
        <v>0</v>
      </c>
      <c r="E613" s="125">
        <f>Lista!D612</f>
        <v>0</v>
      </c>
      <c r="F613" s="125">
        <f>Lista!E612</f>
        <v>0</v>
      </c>
      <c r="G613" s="125">
        <f>Lista!F612</f>
        <v>0</v>
      </c>
      <c r="H613" s="125">
        <f>Lista!G612</f>
        <v>0</v>
      </c>
      <c r="I613" s="125">
        <f>Lista!H612</f>
        <v>0</v>
      </c>
      <c r="J613" s="125">
        <f>Lista!I612</f>
        <v>0</v>
      </c>
      <c r="K613" s="125">
        <f>Lista!J612</f>
        <v>0</v>
      </c>
      <c r="L613" s="125">
        <f>Lista!K612</f>
        <v>0</v>
      </c>
      <c r="M613" s="125">
        <f>Lista!L612</f>
        <v>0</v>
      </c>
      <c r="N613" s="125">
        <f>Lista!M612</f>
        <v>0</v>
      </c>
      <c r="O613" s="125">
        <f>Lista!N612</f>
        <v>0</v>
      </c>
      <c r="P613" s="125">
        <f>Lista!O612</f>
        <v>0</v>
      </c>
      <c r="Q613" s="125">
        <f>Lista!P612</f>
        <v>0</v>
      </c>
      <c r="R613" s="125">
        <f>Lista!Q612</f>
        <v>0</v>
      </c>
      <c r="S613" s="125">
        <f>Lista!R612</f>
        <v>0</v>
      </c>
      <c r="T613" s="81"/>
      <c r="U613" s="81"/>
      <c r="V613" s="81"/>
      <c r="W613" s="81"/>
      <c r="X613" s="81"/>
      <c r="Y613" s="81"/>
      <c r="Z613" s="81"/>
      <c r="AA613" s="81"/>
      <c r="AB613" s="81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  <c r="BS613" s="81"/>
      <c r="BT613" s="81"/>
      <c r="BU613" s="81"/>
      <c r="BV613" s="81"/>
      <c r="BW613" s="81"/>
      <c r="BX613" s="81"/>
      <c r="BY613" s="81"/>
      <c r="BZ613" s="81"/>
      <c r="CA613" s="81"/>
      <c r="CB613" s="81"/>
      <c r="CC613" s="81"/>
      <c r="CD613" s="81"/>
      <c r="CE613" s="81"/>
      <c r="CF613" s="81"/>
      <c r="CG613" s="81"/>
      <c r="CH613" s="81"/>
      <c r="CI613" s="81"/>
      <c r="CJ613" s="81"/>
      <c r="CK613" s="81"/>
      <c r="CL613" s="81"/>
      <c r="CM613" s="81"/>
      <c r="CN613" s="81"/>
      <c r="CO613" s="81"/>
      <c r="CP613" s="81"/>
      <c r="CQ613" s="81"/>
      <c r="CR613" s="81"/>
      <c r="CS613" s="81"/>
      <c r="CT613" s="81"/>
      <c r="CU613" s="81"/>
      <c r="CV613" s="81"/>
      <c r="CW613" s="81"/>
      <c r="CX613" s="81"/>
      <c r="CY613" s="81"/>
      <c r="CZ613" s="81"/>
      <c r="DA613" s="81"/>
      <c r="DB613" s="81"/>
      <c r="DC613" s="81"/>
      <c r="DD613" s="81"/>
      <c r="DE613" s="81"/>
      <c r="DF613" s="81"/>
      <c r="DG613" s="81"/>
      <c r="DH613" s="81"/>
      <c r="DI613" s="81"/>
      <c r="DJ613" s="81"/>
      <c r="DK613" s="81"/>
      <c r="DL613" s="81"/>
      <c r="DM613" s="81"/>
      <c r="DN613" s="81"/>
      <c r="DO613" s="81"/>
      <c r="DP613" s="81"/>
      <c r="DQ613" s="81"/>
      <c r="DR613" s="81"/>
      <c r="DS613" s="81"/>
      <c r="DT613" s="81"/>
      <c r="DU613" s="81"/>
      <c r="DV613" s="81"/>
      <c r="DW613" s="121"/>
    </row>
    <row r="614" spans="1:127" x14ac:dyDescent="0.25">
      <c r="A614" s="2">
        <f>COUNTIF($D$2:D614,'Reporte de Nomina'!$E$2)</f>
        <v>0</v>
      </c>
      <c r="B614" s="125">
        <f>Lista!A613</f>
        <v>0</v>
      </c>
      <c r="C614" s="125">
        <f>Lista!B613</f>
        <v>0</v>
      </c>
      <c r="D614" s="125">
        <f>Lista!C613</f>
        <v>0</v>
      </c>
      <c r="E614" s="125">
        <f>Lista!D613</f>
        <v>0</v>
      </c>
      <c r="F614" s="125">
        <f>Lista!E613</f>
        <v>0</v>
      </c>
      <c r="G614" s="125">
        <f>Lista!F613</f>
        <v>0</v>
      </c>
      <c r="H614" s="125">
        <f>Lista!G613</f>
        <v>0</v>
      </c>
      <c r="I614" s="125">
        <f>Lista!H613</f>
        <v>0</v>
      </c>
      <c r="J614" s="125">
        <f>Lista!I613</f>
        <v>0</v>
      </c>
      <c r="K614" s="125">
        <f>Lista!J613</f>
        <v>0</v>
      </c>
      <c r="L614" s="125">
        <f>Lista!K613</f>
        <v>0</v>
      </c>
      <c r="M614" s="125">
        <f>Lista!L613</f>
        <v>0</v>
      </c>
      <c r="N614" s="125">
        <f>Lista!M613</f>
        <v>0</v>
      </c>
      <c r="O614" s="125">
        <f>Lista!N613</f>
        <v>0</v>
      </c>
      <c r="P614" s="125">
        <f>Lista!O613</f>
        <v>0</v>
      </c>
      <c r="Q614" s="125">
        <f>Lista!P613</f>
        <v>0</v>
      </c>
      <c r="R614" s="125">
        <f>Lista!Q613</f>
        <v>0</v>
      </c>
      <c r="S614" s="125">
        <f>Lista!R613</f>
        <v>0</v>
      </c>
      <c r="T614" s="81"/>
      <c r="U614" s="81"/>
      <c r="V614" s="81"/>
      <c r="W614" s="81"/>
      <c r="X614" s="81"/>
      <c r="Y614" s="81"/>
      <c r="Z614" s="81"/>
      <c r="AA614" s="81"/>
      <c r="AB614" s="81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  <c r="BS614" s="81"/>
      <c r="BT614" s="81"/>
      <c r="BU614" s="81"/>
      <c r="BV614" s="81"/>
      <c r="BW614" s="81"/>
      <c r="BX614" s="81"/>
      <c r="BY614" s="81"/>
      <c r="BZ614" s="81"/>
      <c r="CA614" s="81"/>
      <c r="CB614" s="81"/>
      <c r="CC614" s="81"/>
      <c r="CD614" s="81"/>
      <c r="CE614" s="81"/>
      <c r="CF614" s="81"/>
      <c r="CG614" s="81"/>
      <c r="CH614" s="81"/>
      <c r="CI614" s="81"/>
      <c r="CJ614" s="81"/>
      <c r="CK614" s="81"/>
      <c r="CL614" s="81"/>
      <c r="CM614" s="81"/>
      <c r="CN614" s="81"/>
      <c r="CO614" s="81"/>
      <c r="CP614" s="81"/>
      <c r="CQ614" s="81"/>
      <c r="CR614" s="81"/>
      <c r="CS614" s="81"/>
      <c r="CT614" s="81"/>
      <c r="CU614" s="81"/>
      <c r="CV614" s="81"/>
      <c r="CW614" s="81"/>
      <c r="CX614" s="81"/>
      <c r="CY614" s="81"/>
      <c r="CZ614" s="81"/>
      <c r="DA614" s="81"/>
      <c r="DB614" s="81"/>
      <c r="DC614" s="81"/>
      <c r="DD614" s="81"/>
      <c r="DE614" s="81"/>
      <c r="DF614" s="81"/>
      <c r="DG614" s="81"/>
      <c r="DH614" s="81"/>
      <c r="DI614" s="81"/>
      <c r="DJ614" s="81"/>
      <c r="DK614" s="81"/>
      <c r="DL614" s="81"/>
      <c r="DM614" s="81"/>
      <c r="DN614" s="81"/>
      <c r="DO614" s="81"/>
      <c r="DP614" s="81"/>
      <c r="DQ614" s="81"/>
      <c r="DR614" s="81"/>
      <c r="DS614" s="81"/>
      <c r="DT614" s="81"/>
      <c r="DU614" s="81"/>
      <c r="DV614" s="81"/>
      <c r="DW614" s="121"/>
    </row>
    <row r="615" spans="1:127" x14ac:dyDescent="0.25">
      <c r="A615" s="2">
        <f>COUNTIF($D$2:D615,'Reporte de Nomina'!$E$2)</f>
        <v>0</v>
      </c>
      <c r="B615" s="125">
        <f>Lista!A614</f>
        <v>0</v>
      </c>
      <c r="C615" s="125">
        <f>Lista!B614</f>
        <v>0</v>
      </c>
      <c r="D615" s="125">
        <f>Lista!C614</f>
        <v>0</v>
      </c>
      <c r="E615" s="125">
        <f>Lista!D614</f>
        <v>0</v>
      </c>
      <c r="F615" s="125">
        <f>Lista!E614</f>
        <v>0</v>
      </c>
      <c r="G615" s="125">
        <f>Lista!F614</f>
        <v>0</v>
      </c>
      <c r="H615" s="125">
        <f>Lista!G614</f>
        <v>0</v>
      </c>
      <c r="I615" s="125">
        <f>Lista!H614</f>
        <v>0</v>
      </c>
      <c r="J615" s="125">
        <f>Lista!I614</f>
        <v>0</v>
      </c>
      <c r="K615" s="125">
        <f>Lista!J614</f>
        <v>0</v>
      </c>
      <c r="L615" s="125">
        <f>Lista!K614</f>
        <v>0</v>
      </c>
      <c r="M615" s="125">
        <f>Lista!L614</f>
        <v>0</v>
      </c>
      <c r="N615" s="125">
        <f>Lista!M614</f>
        <v>0</v>
      </c>
      <c r="O615" s="125">
        <f>Lista!N614</f>
        <v>0</v>
      </c>
      <c r="P615" s="125">
        <f>Lista!O614</f>
        <v>0</v>
      </c>
      <c r="Q615" s="125">
        <f>Lista!P614</f>
        <v>0</v>
      </c>
      <c r="R615" s="125">
        <f>Lista!Q614</f>
        <v>0</v>
      </c>
      <c r="S615" s="125">
        <f>Lista!R614</f>
        <v>0</v>
      </c>
      <c r="T615" s="81"/>
      <c r="U615" s="81"/>
      <c r="V615" s="81"/>
      <c r="W615" s="81"/>
      <c r="X615" s="81"/>
      <c r="Y615" s="81"/>
      <c r="Z615" s="81"/>
      <c r="AA615" s="81"/>
      <c r="AB615" s="81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  <c r="BS615" s="81"/>
      <c r="BT615" s="81"/>
      <c r="BU615" s="81"/>
      <c r="BV615" s="81"/>
      <c r="BW615" s="81"/>
      <c r="BX615" s="81"/>
      <c r="BY615" s="81"/>
      <c r="BZ615" s="81"/>
      <c r="CA615" s="81"/>
      <c r="CB615" s="81"/>
      <c r="CC615" s="81"/>
      <c r="CD615" s="81"/>
      <c r="CE615" s="81"/>
      <c r="CF615" s="81"/>
      <c r="CG615" s="81"/>
      <c r="CH615" s="81"/>
      <c r="CI615" s="81"/>
      <c r="CJ615" s="81"/>
      <c r="CK615" s="81"/>
      <c r="CL615" s="81"/>
      <c r="CM615" s="81"/>
      <c r="CN615" s="81"/>
      <c r="CO615" s="81"/>
      <c r="CP615" s="81"/>
      <c r="CQ615" s="81"/>
      <c r="CR615" s="81"/>
      <c r="CS615" s="81"/>
      <c r="CT615" s="81"/>
      <c r="CU615" s="81"/>
      <c r="CV615" s="81"/>
      <c r="CW615" s="81"/>
      <c r="CX615" s="81"/>
      <c r="CY615" s="81"/>
      <c r="CZ615" s="81"/>
      <c r="DA615" s="81"/>
      <c r="DB615" s="81"/>
      <c r="DC615" s="81"/>
      <c r="DD615" s="81"/>
      <c r="DE615" s="81"/>
      <c r="DF615" s="81"/>
      <c r="DG615" s="81"/>
      <c r="DH615" s="81"/>
      <c r="DI615" s="81"/>
      <c r="DJ615" s="81"/>
      <c r="DK615" s="81"/>
      <c r="DL615" s="81"/>
      <c r="DM615" s="81"/>
      <c r="DN615" s="81"/>
      <c r="DO615" s="81"/>
      <c r="DP615" s="81"/>
      <c r="DQ615" s="81"/>
      <c r="DR615" s="81"/>
      <c r="DS615" s="81"/>
      <c r="DT615" s="81"/>
      <c r="DU615" s="81"/>
      <c r="DV615" s="81"/>
      <c r="DW615" s="121"/>
    </row>
    <row r="616" spans="1:127" x14ac:dyDescent="0.25">
      <c r="A616" s="2">
        <f>COUNTIF($D$2:D616,'Reporte de Nomina'!$E$2)</f>
        <v>0</v>
      </c>
      <c r="B616" s="125">
        <f>Lista!A615</f>
        <v>0</v>
      </c>
      <c r="C616" s="125">
        <f>Lista!B615</f>
        <v>0</v>
      </c>
      <c r="D616" s="125">
        <f>Lista!C615</f>
        <v>0</v>
      </c>
      <c r="E616" s="125">
        <f>Lista!D615</f>
        <v>0</v>
      </c>
      <c r="F616" s="125">
        <f>Lista!E615</f>
        <v>0</v>
      </c>
      <c r="G616" s="125">
        <f>Lista!F615</f>
        <v>0</v>
      </c>
      <c r="H616" s="125">
        <f>Lista!G615</f>
        <v>0</v>
      </c>
      <c r="I616" s="125">
        <f>Lista!H615</f>
        <v>0</v>
      </c>
      <c r="J616" s="125">
        <f>Lista!I615</f>
        <v>0</v>
      </c>
      <c r="K616" s="125">
        <f>Lista!J615</f>
        <v>0</v>
      </c>
      <c r="L616" s="125">
        <f>Lista!K615</f>
        <v>0</v>
      </c>
      <c r="M616" s="125">
        <f>Lista!L615</f>
        <v>0</v>
      </c>
      <c r="N616" s="125">
        <f>Lista!M615</f>
        <v>0</v>
      </c>
      <c r="O616" s="125">
        <f>Lista!N615</f>
        <v>0</v>
      </c>
      <c r="P616" s="125">
        <f>Lista!O615</f>
        <v>0</v>
      </c>
      <c r="Q616" s="125">
        <f>Lista!P615</f>
        <v>0</v>
      </c>
      <c r="R616" s="125">
        <f>Lista!Q615</f>
        <v>0</v>
      </c>
      <c r="S616" s="125">
        <f>Lista!R615</f>
        <v>0</v>
      </c>
      <c r="T616" s="81"/>
      <c r="U616" s="81"/>
      <c r="V616" s="81"/>
      <c r="W616" s="81"/>
      <c r="X616" s="81"/>
      <c r="Y616" s="81"/>
      <c r="Z616" s="81"/>
      <c r="AA616" s="81"/>
      <c r="AB616" s="81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  <c r="BS616" s="81"/>
      <c r="BT616" s="81"/>
      <c r="BU616" s="81"/>
      <c r="BV616" s="81"/>
      <c r="BW616" s="81"/>
      <c r="BX616" s="81"/>
      <c r="BY616" s="81"/>
      <c r="BZ616" s="81"/>
      <c r="CA616" s="81"/>
      <c r="CB616" s="81"/>
      <c r="CC616" s="81"/>
      <c r="CD616" s="81"/>
      <c r="CE616" s="81"/>
      <c r="CF616" s="81"/>
      <c r="CG616" s="81"/>
      <c r="CH616" s="81"/>
      <c r="CI616" s="81"/>
      <c r="CJ616" s="81"/>
      <c r="CK616" s="81"/>
      <c r="CL616" s="81"/>
      <c r="CM616" s="81"/>
      <c r="CN616" s="81"/>
      <c r="CO616" s="81"/>
      <c r="CP616" s="81"/>
      <c r="CQ616" s="81"/>
      <c r="CR616" s="81"/>
      <c r="CS616" s="81"/>
      <c r="CT616" s="81"/>
      <c r="CU616" s="81"/>
      <c r="CV616" s="81"/>
      <c r="CW616" s="81"/>
      <c r="CX616" s="81"/>
      <c r="CY616" s="81"/>
      <c r="CZ616" s="81"/>
      <c r="DA616" s="81"/>
      <c r="DB616" s="81"/>
      <c r="DC616" s="81"/>
      <c r="DD616" s="81"/>
      <c r="DE616" s="81"/>
      <c r="DF616" s="81"/>
      <c r="DG616" s="81"/>
      <c r="DH616" s="81"/>
      <c r="DI616" s="81"/>
      <c r="DJ616" s="81"/>
      <c r="DK616" s="81"/>
      <c r="DL616" s="81"/>
      <c r="DM616" s="81"/>
      <c r="DN616" s="81"/>
      <c r="DO616" s="81"/>
      <c r="DP616" s="81"/>
      <c r="DQ616" s="81"/>
      <c r="DR616" s="81"/>
      <c r="DS616" s="81"/>
      <c r="DT616" s="81"/>
      <c r="DU616" s="81"/>
      <c r="DV616" s="81"/>
      <c r="DW616" s="121"/>
    </row>
    <row r="617" spans="1:127" x14ac:dyDescent="0.25">
      <c r="A617" s="2">
        <f>COUNTIF($D$2:D617,'Reporte de Nomina'!$E$2)</f>
        <v>0</v>
      </c>
      <c r="B617" s="125">
        <f>Lista!A616</f>
        <v>0</v>
      </c>
      <c r="C617" s="125">
        <f>Lista!B616</f>
        <v>0</v>
      </c>
      <c r="D617" s="125">
        <f>Lista!C616</f>
        <v>0</v>
      </c>
      <c r="E617" s="125">
        <f>Lista!D616</f>
        <v>0</v>
      </c>
      <c r="F617" s="125">
        <f>Lista!E616</f>
        <v>0</v>
      </c>
      <c r="G617" s="125">
        <f>Lista!F616</f>
        <v>0</v>
      </c>
      <c r="H617" s="125">
        <f>Lista!G616</f>
        <v>0</v>
      </c>
      <c r="I617" s="125">
        <f>Lista!H616</f>
        <v>0</v>
      </c>
      <c r="J617" s="125">
        <f>Lista!I616</f>
        <v>0</v>
      </c>
      <c r="K617" s="125">
        <f>Lista!J616</f>
        <v>0</v>
      </c>
      <c r="L617" s="125">
        <f>Lista!K616</f>
        <v>0</v>
      </c>
      <c r="M617" s="125">
        <f>Lista!L616</f>
        <v>0</v>
      </c>
      <c r="N617" s="125">
        <f>Lista!M616</f>
        <v>0</v>
      </c>
      <c r="O617" s="125">
        <f>Lista!N616</f>
        <v>0</v>
      </c>
      <c r="P617" s="125">
        <f>Lista!O616</f>
        <v>0</v>
      </c>
      <c r="Q617" s="125">
        <f>Lista!P616</f>
        <v>0</v>
      </c>
      <c r="R617" s="125">
        <f>Lista!Q616</f>
        <v>0</v>
      </c>
      <c r="S617" s="125">
        <f>Lista!R616</f>
        <v>0</v>
      </c>
      <c r="T617" s="81"/>
      <c r="U617" s="81"/>
      <c r="V617" s="81"/>
      <c r="W617" s="81"/>
      <c r="X617" s="81"/>
      <c r="Y617" s="81"/>
      <c r="Z617" s="81"/>
      <c r="AA617" s="81"/>
      <c r="AB617" s="81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  <c r="BS617" s="81"/>
      <c r="BT617" s="81"/>
      <c r="BU617" s="81"/>
      <c r="BV617" s="81"/>
      <c r="BW617" s="81"/>
      <c r="BX617" s="81"/>
      <c r="BY617" s="81"/>
      <c r="BZ617" s="81"/>
      <c r="CA617" s="81"/>
      <c r="CB617" s="81"/>
      <c r="CC617" s="81"/>
      <c r="CD617" s="81"/>
      <c r="CE617" s="81"/>
      <c r="CF617" s="81"/>
      <c r="CG617" s="81"/>
      <c r="CH617" s="81"/>
      <c r="CI617" s="81"/>
      <c r="CJ617" s="81"/>
      <c r="CK617" s="81"/>
      <c r="CL617" s="81"/>
      <c r="CM617" s="81"/>
      <c r="CN617" s="81"/>
      <c r="CO617" s="81"/>
      <c r="CP617" s="81"/>
      <c r="CQ617" s="81"/>
      <c r="CR617" s="81"/>
      <c r="CS617" s="81"/>
      <c r="CT617" s="81"/>
      <c r="CU617" s="81"/>
      <c r="CV617" s="81"/>
      <c r="CW617" s="81"/>
      <c r="CX617" s="81"/>
      <c r="CY617" s="81"/>
      <c r="CZ617" s="81"/>
      <c r="DA617" s="81"/>
      <c r="DB617" s="81"/>
      <c r="DC617" s="81"/>
      <c r="DD617" s="81"/>
      <c r="DE617" s="81"/>
      <c r="DF617" s="81"/>
      <c r="DG617" s="81"/>
      <c r="DH617" s="81"/>
      <c r="DI617" s="81"/>
      <c r="DJ617" s="81"/>
      <c r="DK617" s="81"/>
      <c r="DL617" s="81"/>
      <c r="DM617" s="81"/>
      <c r="DN617" s="81"/>
      <c r="DO617" s="81"/>
      <c r="DP617" s="81"/>
      <c r="DQ617" s="81"/>
      <c r="DR617" s="81"/>
      <c r="DS617" s="81"/>
      <c r="DT617" s="81"/>
      <c r="DU617" s="81"/>
      <c r="DV617" s="81"/>
      <c r="DW617" s="121"/>
    </row>
    <row r="618" spans="1:127" x14ac:dyDescent="0.25">
      <c r="A618" s="2">
        <f>COUNTIF($D$2:D618,'Reporte de Nomina'!$E$2)</f>
        <v>0</v>
      </c>
      <c r="B618" s="125">
        <f>Lista!A617</f>
        <v>0</v>
      </c>
      <c r="C618" s="125">
        <f>Lista!B617</f>
        <v>0</v>
      </c>
      <c r="D618" s="125">
        <f>Lista!C617</f>
        <v>0</v>
      </c>
      <c r="E618" s="125">
        <f>Lista!D617</f>
        <v>0</v>
      </c>
      <c r="F618" s="125">
        <f>Lista!E617</f>
        <v>0</v>
      </c>
      <c r="G618" s="125">
        <f>Lista!F617</f>
        <v>0</v>
      </c>
      <c r="H618" s="125">
        <f>Lista!G617</f>
        <v>0</v>
      </c>
      <c r="I618" s="125">
        <f>Lista!H617</f>
        <v>0</v>
      </c>
      <c r="J618" s="125">
        <f>Lista!I617</f>
        <v>0</v>
      </c>
      <c r="K618" s="125">
        <f>Lista!J617</f>
        <v>0</v>
      </c>
      <c r="L618" s="125">
        <f>Lista!K617</f>
        <v>0</v>
      </c>
      <c r="M618" s="125">
        <f>Lista!L617</f>
        <v>0</v>
      </c>
      <c r="N618" s="125">
        <f>Lista!M617</f>
        <v>0</v>
      </c>
      <c r="O618" s="125">
        <f>Lista!N617</f>
        <v>0</v>
      </c>
      <c r="P618" s="125">
        <f>Lista!O617</f>
        <v>0</v>
      </c>
      <c r="Q618" s="125">
        <f>Lista!P617</f>
        <v>0</v>
      </c>
      <c r="R618" s="125">
        <f>Lista!Q617</f>
        <v>0</v>
      </c>
      <c r="S618" s="125">
        <f>Lista!R617</f>
        <v>0</v>
      </c>
      <c r="T618" s="81"/>
      <c r="U618" s="81"/>
      <c r="V618" s="81"/>
      <c r="W618" s="81"/>
      <c r="X618" s="81"/>
      <c r="Y618" s="81"/>
      <c r="Z618" s="81"/>
      <c r="AA618" s="81"/>
      <c r="AB618" s="81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  <c r="BS618" s="81"/>
      <c r="BT618" s="81"/>
      <c r="BU618" s="81"/>
      <c r="BV618" s="81"/>
      <c r="BW618" s="81"/>
      <c r="BX618" s="81"/>
      <c r="BY618" s="81"/>
      <c r="BZ618" s="81"/>
      <c r="CA618" s="81"/>
      <c r="CB618" s="81"/>
      <c r="CC618" s="81"/>
      <c r="CD618" s="81"/>
      <c r="CE618" s="81"/>
      <c r="CF618" s="81"/>
      <c r="CG618" s="81"/>
      <c r="CH618" s="81"/>
      <c r="CI618" s="81"/>
      <c r="CJ618" s="81"/>
      <c r="CK618" s="81"/>
      <c r="CL618" s="81"/>
      <c r="CM618" s="81"/>
      <c r="CN618" s="81"/>
      <c r="CO618" s="81"/>
      <c r="CP618" s="81"/>
      <c r="CQ618" s="81"/>
      <c r="CR618" s="81"/>
      <c r="CS618" s="81"/>
      <c r="CT618" s="81"/>
      <c r="CU618" s="81"/>
      <c r="CV618" s="81"/>
      <c r="CW618" s="81"/>
      <c r="CX618" s="81"/>
      <c r="CY618" s="81"/>
      <c r="CZ618" s="81"/>
      <c r="DA618" s="81"/>
      <c r="DB618" s="81"/>
      <c r="DC618" s="81"/>
      <c r="DD618" s="81"/>
      <c r="DE618" s="81"/>
      <c r="DF618" s="81"/>
      <c r="DG618" s="81"/>
      <c r="DH618" s="81"/>
      <c r="DI618" s="81"/>
      <c r="DJ618" s="81"/>
      <c r="DK618" s="81"/>
      <c r="DL618" s="81"/>
      <c r="DM618" s="81"/>
      <c r="DN618" s="81"/>
      <c r="DO618" s="81"/>
      <c r="DP618" s="81"/>
      <c r="DQ618" s="81"/>
      <c r="DR618" s="81"/>
      <c r="DS618" s="81"/>
      <c r="DT618" s="81"/>
      <c r="DU618" s="81"/>
      <c r="DV618" s="81"/>
      <c r="DW618" s="121"/>
    </row>
    <row r="619" spans="1:127" x14ac:dyDescent="0.25">
      <c r="A619" s="2">
        <f>COUNTIF($D$2:D619,'Reporte de Nomina'!$E$2)</f>
        <v>0</v>
      </c>
      <c r="B619" s="125">
        <f>Lista!A618</f>
        <v>0</v>
      </c>
      <c r="C619" s="125">
        <f>Lista!B618</f>
        <v>0</v>
      </c>
      <c r="D619" s="125">
        <f>Lista!C618</f>
        <v>0</v>
      </c>
      <c r="E619" s="125">
        <f>Lista!D618</f>
        <v>0</v>
      </c>
      <c r="F619" s="125">
        <f>Lista!E618</f>
        <v>0</v>
      </c>
      <c r="G619" s="125">
        <f>Lista!F618</f>
        <v>0</v>
      </c>
      <c r="H619" s="125">
        <f>Lista!G618</f>
        <v>0</v>
      </c>
      <c r="I619" s="125">
        <f>Lista!H618</f>
        <v>0</v>
      </c>
      <c r="J619" s="125">
        <f>Lista!I618</f>
        <v>0</v>
      </c>
      <c r="K619" s="125">
        <f>Lista!J618</f>
        <v>0</v>
      </c>
      <c r="L619" s="125">
        <f>Lista!K618</f>
        <v>0</v>
      </c>
      <c r="M619" s="125">
        <f>Lista!L618</f>
        <v>0</v>
      </c>
      <c r="N619" s="125">
        <f>Lista!M618</f>
        <v>0</v>
      </c>
      <c r="O619" s="125">
        <f>Lista!N618</f>
        <v>0</v>
      </c>
      <c r="P619" s="125">
        <f>Lista!O618</f>
        <v>0</v>
      </c>
      <c r="Q619" s="125">
        <f>Lista!P618</f>
        <v>0</v>
      </c>
      <c r="R619" s="125">
        <f>Lista!Q618</f>
        <v>0</v>
      </c>
      <c r="S619" s="125">
        <f>Lista!R618</f>
        <v>0</v>
      </c>
      <c r="T619" s="81"/>
      <c r="U619" s="81"/>
      <c r="V619" s="81"/>
      <c r="W619" s="81"/>
      <c r="X619" s="81"/>
      <c r="Y619" s="81"/>
      <c r="Z619" s="81"/>
      <c r="AA619" s="81"/>
      <c r="AB619" s="81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  <c r="BS619" s="81"/>
      <c r="BT619" s="81"/>
      <c r="BU619" s="81"/>
      <c r="BV619" s="81"/>
      <c r="BW619" s="81"/>
      <c r="BX619" s="81"/>
      <c r="BY619" s="81"/>
      <c r="BZ619" s="81"/>
      <c r="CA619" s="81"/>
      <c r="CB619" s="81"/>
      <c r="CC619" s="81"/>
      <c r="CD619" s="81"/>
      <c r="CE619" s="81"/>
      <c r="CF619" s="81"/>
      <c r="CG619" s="81"/>
      <c r="CH619" s="81"/>
      <c r="CI619" s="81"/>
      <c r="CJ619" s="81"/>
      <c r="CK619" s="81"/>
      <c r="CL619" s="81"/>
      <c r="CM619" s="81"/>
      <c r="CN619" s="81"/>
      <c r="CO619" s="81"/>
      <c r="CP619" s="81"/>
      <c r="CQ619" s="81"/>
      <c r="CR619" s="81"/>
      <c r="CS619" s="81"/>
      <c r="CT619" s="81"/>
      <c r="CU619" s="81"/>
      <c r="CV619" s="81"/>
      <c r="CW619" s="81"/>
      <c r="CX619" s="81"/>
      <c r="CY619" s="81"/>
      <c r="CZ619" s="81"/>
      <c r="DA619" s="81"/>
      <c r="DB619" s="81"/>
      <c r="DC619" s="81"/>
      <c r="DD619" s="81"/>
      <c r="DE619" s="81"/>
      <c r="DF619" s="81"/>
      <c r="DG619" s="81"/>
      <c r="DH619" s="81"/>
      <c r="DI619" s="81"/>
      <c r="DJ619" s="81"/>
      <c r="DK619" s="81"/>
      <c r="DL619" s="81"/>
      <c r="DM619" s="81"/>
      <c r="DN619" s="81"/>
      <c r="DO619" s="81"/>
      <c r="DP619" s="81"/>
      <c r="DQ619" s="81"/>
      <c r="DR619" s="81"/>
      <c r="DS619" s="81"/>
      <c r="DT619" s="81"/>
      <c r="DU619" s="81"/>
      <c r="DV619" s="81"/>
      <c r="DW619" s="121"/>
    </row>
    <row r="620" spans="1:127" x14ac:dyDescent="0.25">
      <c r="A620" s="2">
        <f>COUNTIF($D$2:D620,'Reporte de Nomina'!$E$2)</f>
        <v>0</v>
      </c>
      <c r="B620" s="125">
        <f>Lista!A619</f>
        <v>0</v>
      </c>
      <c r="C620" s="125">
        <f>Lista!B619</f>
        <v>0</v>
      </c>
      <c r="D620" s="125">
        <f>Lista!C619</f>
        <v>0</v>
      </c>
      <c r="E620" s="125">
        <f>Lista!D619</f>
        <v>0</v>
      </c>
      <c r="F620" s="125">
        <f>Lista!E619</f>
        <v>0</v>
      </c>
      <c r="G620" s="125">
        <f>Lista!F619</f>
        <v>0</v>
      </c>
      <c r="H620" s="125">
        <f>Lista!G619</f>
        <v>0</v>
      </c>
      <c r="I620" s="125">
        <f>Lista!H619</f>
        <v>0</v>
      </c>
      <c r="J620" s="125">
        <f>Lista!I619</f>
        <v>0</v>
      </c>
      <c r="K620" s="125">
        <f>Lista!J619</f>
        <v>0</v>
      </c>
      <c r="L620" s="125">
        <f>Lista!K619</f>
        <v>0</v>
      </c>
      <c r="M620" s="125">
        <f>Lista!L619</f>
        <v>0</v>
      </c>
      <c r="N620" s="125">
        <f>Lista!M619</f>
        <v>0</v>
      </c>
      <c r="O620" s="125">
        <f>Lista!N619</f>
        <v>0</v>
      </c>
      <c r="P620" s="125">
        <f>Lista!O619</f>
        <v>0</v>
      </c>
      <c r="Q620" s="125">
        <f>Lista!P619</f>
        <v>0</v>
      </c>
      <c r="R620" s="125">
        <f>Lista!Q619</f>
        <v>0</v>
      </c>
      <c r="S620" s="125">
        <f>Lista!R619</f>
        <v>0</v>
      </c>
      <c r="T620" s="81"/>
      <c r="U620" s="81"/>
      <c r="V620" s="81"/>
      <c r="W620" s="81"/>
      <c r="X620" s="81"/>
      <c r="Y620" s="81"/>
      <c r="Z620" s="81"/>
      <c r="AA620" s="81"/>
      <c r="AB620" s="81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  <c r="BS620" s="81"/>
      <c r="BT620" s="81"/>
      <c r="BU620" s="81"/>
      <c r="BV620" s="81"/>
      <c r="BW620" s="81"/>
      <c r="BX620" s="81"/>
      <c r="BY620" s="81"/>
      <c r="BZ620" s="81"/>
      <c r="CA620" s="81"/>
      <c r="CB620" s="81"/>
      <c r="CC620" s="81"/>
      <c r="CD620" s="81"/>
      <c r="CE620" s="81"/>
      <c r="CF620" s="81"/>
      <c r="CG620" s="81"/>
      <c r="CH620" s="81"/>
      <c r="CI620" s="81"/>
      <c r="CJ620" s="81"/>
      <c r="CK620" s="81"/>
      <c r="CL620" s="81"/>
      <c r="CM620" s="81"/>
      <c r="CN620" s="81"/>
      <c r="CO620" s="81"/>
      <c r="CP620" s="81"/>
      <c r="CQ620" s="81"/>
      <c r="CR620" s="81"/>
      <c r="CS620" s="81"/>
      <c r="CT620" s="81"/>
      <c r="CU620" s="81"/>
      <c r="CV620" s="81"/>
      <c r="CW620" s="81"/>
      <c r="CX620" s="81"/>
      <c r="CY620" s="81"/>
      <c r="CZ620" s="81"/>
      <c r="DA620" s="81"/>
      <c r="DB620" s="81"/>
      <c r="DC620" s="81"/>
      <c r="DD620" s="81"/>
      <c r="DE620" s="81"/>
      <c r="DF620" s="81"/>
      <c r="DG620" s="81"/>
      <c r="DH620" s="81"/>
      <c r="DI620" s="81"/>
      <c r="DJ620" s="81"/>
      <c r="DK620" s="81"/>
      <c r="DL620" s="81"/>
      <c r="DM620" s="81"/>
      <c r="DN620" s="81"/>
      <c r="DO620" s="81"/>
      <c r="DP620" s="81"/>
      <c r="DQ620" s="81"/>
      <c r="DR620" s="81"/>
      <c r="DS620" s="81"/>
      <c r="DT620" s="81"/>
      <c r="DU620" s="81"/>
      <c r="DV620" s="81"/>
      <c r="DW620" s="121"/>
    </row>
    <row r="621" spans="1:127" x14ac:dyDescent="0.25">
      <c r="A621" s="2">
        <f>COUNTIF($D$2:D621,'Reporte de Nomina'!$E$2)</f>
        <v>0</v>
      </c>
      <c r="B621" s="125">
        <f>Lista!A620</f>
        <v>0</v>
      </c>
      <c r="C621" s="125">
        <f>Lista!B620</f>
        <v>0</v>
      </c>
      <c r="D621" s="125">
        <f>Lista!C620</f>
        <v>0</v>
      </c>
      <c r="E621" s="125">
        <f>Lista!D620</f>
        <v>0</v>
      </c>
      <c r="F621" s="125">
        <f>Lista!E620</f>
        <v>0</v>
      </c>
      <c r="G621" s="125">
        <f>Lista!F620</f>
        <v>0</v>
      </c>
      <c r="H621" s="125">
        <f>Lista!G620</f>
        <v>0</v>
      </c>
      <c r="I621" s="125">
        <f>Lista!H620</f>
        <v>0</v>
      </c>
      <c r="J621" s="125">
        <f>Lista!I620</f>
        <v>0</v>
      </c>
      <c r="K621" s="125">
        <f>Lista!J620</f>
        <v>0</v>
      </c>
      <c r="L621" s="125">
        <f>Lista!K620</f>
        <v>0</v>
      </c>
      <c r="M621" s="125">
        <f>Lista!L620</f>
        <v>0</v>
      </c>
      <c r="N621" s="125">
        <f>Lista!M620</f>
        <v>0</v>
      </c>
      <c r="O621" s="125">
        <f>Lista!N620</f>
        <v>0</v>
      </c>
      <c r="P621" s="125">
        <f>Lista!O620</f>
        <v>0</v>
      </c>
      <c r="Q621" s="125">
        <f>Lista!P620</f>
        <v>0</v>
      </c>
      <c r="R621" s="125">
        <f>Lista!Q620</f>
        <v>0</v>
      </c>
      <c r="S621" s="125">
        <f>Lista!R620</f>
        <v>0</v>
      </c>
      <c r="T621" s="81"/>
      <c r="U621" s="81"/>
      <c r="V621" s="81"/>
      <c r="W621" s="81"/>
      <c r="X621" s="81"/>
      <c r="Y621" s="81"/>
      <c r="Z621" s="81"/>
      <c r="AA621" s="81"/>
      <c r="AB621" s="81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  <c r="BS621" s="81"/>
      <c r="BT621" s="81"/>
      <c r="BU621" s="81"/>
      <c r="BV621" s="81"/>
      <c r="BW621" s="81"/>
      <c r="BX621" s="81"/>
      <c r="BY621" s="81"/>
      <c r="BZ621" s="81"/>
      <c r="CA621" s="81"/>
      <c r="CB621" s="81"/>
      <c r="CC621" s="81"/>
      <c r="CD621" s="81"/>
      <c r="CE621" s="81"/>
      <c r="CF621" s="81"/>
      <c r="CG621" s="81"/>
      <c r="CH621" s="81"/>
      <c r="CI621" s="81"/>
      <c r="CJ621" s="81"/>
      <c r="CK621" s="81"/>
      <c r="CL621" s="81"/>
      <c r="CM621" s="81"/>
      <c r="CN621" s="81"/>
      <c r="CO621" s="81"/>
      <c r="CP621" s="81"/>
      <c r="CQ621" s="81"/>
      <c r="CR621" s="81"/>
      <c r="CS621" s="81"/>
      <c r="CT621" s="81"/>
      <c r="CU621" s="81"/>
      <c r="CV621" s="81"/>
      <c r="CW621" s="81"/>
      <c r="CX621" s="81"/>
      <c r="CY621" s="81"/>
      <c r="CZ621" s="81"/>
      <c r="DA621" s="81"/>
      <c r="DB621" s="81"/>
      <c r="DC621" s="81"/>
      <c r="DD621" s="81"/>
      <c r="DE621" s="81"/>
      <c r="DF621" s="81"/>
      <c r="DG621" s="81"/>
      <c r="DH621" s="81"/>
      <c r="DI621" s="81"/>
      <c r="DJ621" s="81"/>
      <c r="DK621" s="81"/>
      <c r="DL621" s="81"/>
      <c r="DM621" s="81"/>
      <c r="DN621" s="81"/>
      <c r="DO621" s="81"/>
      <c r="DP621" s="81"/>
      <c r="DQ621" s="81"/>
      <c r="DR621" s="81"/>
      <c r="DS621" s="81"/>
      <c r="DT621" s="81"/>
      <c r="DU621" s="81"/>
      <c r="DV621" s="81"/>
      <c r="DW621" s="121"/>
    </row>
    <row r="622" spans="1:127" x14ac:dyDescent="0.25">
      <c r="A622" s="2">
        <f>COUNTIF($D$2:D622,'Reporte de Nomina'!$E$2)</f>
        <v>0</v>
      </c>
      <c r="B622" s="125">
        <f>Lista!A621</f>
        <v>0</v>
      </c>
      <c r="C622" s="125">
        <f>Lista!B621</f>
        <v>0</v>
      </c>
      <c r="D622" s="125">
        <f>Lista!C621</f>
        <v>0</v>
      </c>
      <c r="E622" s="125">
        <f>Lista!D621</f>
        <v>0</v>
      </c>
      <c r="F622" s="125">
        <f>Lista!E621</f>
        <v>0</v>
      </c>
      <c r="G622" s="125">
        <f>Lista!F621</f>
        <v>0</v>
      </c>
      <c r="H622" s="125">
        <f>Lista!G621</f>
        <v>0</v>
      </c>
      <c r="I622" s="125">
        <f>Lista!H621</f>
        <v>0</v>
      </c>
      <c r="J622" s="125">
        <f>Lista!I621</f>
        <v>0</v>
      </c>
      <c r="K622" s="125">
        <f>Lista!J621</f>
        <v>0</v>
      </c>
      <c r="L622" s="125">
        <f>Lista!K621</f>
        <v>0</v>
      </c>
      <c r="M622" s="125">
        <f>Lista!L621</f>
        <v>0</v>
      </c>
      <c r="N622" s="125">
        <f>Lista!M621</f>
        <v>0</v>
      </c>
      <c r="O622" s="125">
        <f>Lista!N621</f>
        <v>0</v>
      </c>
      <c r="P622" s="125">
        <f>Lista!O621</f>
        <v>0</v>
      </c>
      <c r="Q622" s="125">
        <f>Lista!P621</f>
        <v>0</v>
      </c>
      <c r="R622" s="125">
        <f>Lista!Q621</f>
        <v>0</v>
      </c>
      <c r="S622" s="125">
        <f>Lista!R621</f>
        <v>0</v>
      </c>
      <c r="T622" s="81"/>
      <c r="U622" s="81"/>
      <c r="V622" s="81"/>
      <c r="W622" s="81"/>
      <c r="X622" s="81"/>
      <c r="Y622" s="81"/>
      <c r="Z622" s="81"/>
      <c r="AA622" s="81"/>
      <c r="AB622" s="81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  <c r="BS622" s="81"/>
      <c r="BT622" s="81"/>
      <c r="BU622" s="81"/>
      <c r="BV622" s="81"/>
      <c r="BW622" s="81"/>
      <c r="BX622" s="81"/>
      <c r="BY622" s="81"/>
      <c r="BZ622" s="81"/>
      <c r="CA622" s="81"/>
      <c r="CB622" s="81"/>
      <c r="CC622" s="81"/>
      <c r="CD622" s="81"/>
      <c r="CE622" s="81"/>
      <c r="CF622" s="81"/>
      <c r="CG622" s="81"/>
      <c r="CH622" s="81"/>
      <c r="CI622" s="81"/>
      <c r="CJ622" s="81"/>
      <c r="CK622" s="81"/>
      <c r="CL622" s="81"/>
      <c r="CM622" s="81"/>
      <c r="CN622" s="81"/>
      <c r="CO622" s="81"/>
      <c r="CP622" s="81"/>
      <c r="CQ622" s="81"/>
      <c r="CR622" s="81"/>
      <c r="CS622" s="81"/>
      <c r="CT622" s="81"/>
      <c r="CU622" s="81"/>
      <c r="CV622" s="81"/>
      <c r="CW622" s="81"/>
      <c r="CX622" s="81"/>
      <c r="CY622" s="81"/>
      <c r="CZ622" s="81"/>
      <c r="DA622" s="81"/>
      <c r="DB622" s="81"/>
      <c r="DC622" s="81"/>
      <c r="DD622" s="81"/>
      <c r="DE622" s="81"/>
      <c r="DF622" s="81"/>
      <c r="DG622" s="81"/>
      <c r="DH622" s="81"/>
      <c r="DI622" s="81"/>
      <c r="DJ622" s="81"/>
      <c r="DK622" s="81"/>
      <c r="DL622" s="81"/>
      <c r="DM622" s="81"/>
      <c r="DN622" s="81"/>
      <c r="DO622" s="81"/>
      <c r="DP622" s="81"/>
      <c r="DQ622" s="81"/>
      <c r="DR622" s="81"/>
      <c r="DS622" s="81"/>
      <c r="DT622" s="81"/>
      <c r="DU622" s="81"/>
      <c r="DV622" s="81"/>
      <c r="DW622" s="121"/>
    </row>
    <row r="623" spans="1:127" x14ac:dyDescent="0.25">
      <c r="A623" s="2">
        <f>COUNTIF($D$2:D623,'Reporte de Nomina'!$E$2)</f>
        <v>0</v>
      </c>
      <c r="B623" s="125">
        <f>Lista!A622</f>
        <v>0</v>
      </c>
      <c r="C623" s="125">
        <f>Lista!B622</f>
        <v>0</v>
      </c>
      <c r="D623" s="125">
        <f>Lista!C622</f>
        <v>0</v>
      </c>
      <c r="E623" s="125">
        <f>Lista!D622</f>
        <v>0</v>
      </c>
      <c r="F623" s="125">
        <f>Lista!E622</f>
        <v>0</v>
      </c>
      <c r="G623" s="125">
        <f>Lista!F622</f>
        <v>0</v>
      </c>
      <c r="H623" s="125">
        <f>Lista!G622</f>
        <v>0</v>
      </c>
      <c r="I623" s="125">
        <f>Lista!H622</f>
        <v>0</v>
      </c>
      <c r="J623" s="125">
        <f>Lista!I622</f>
        <v>0</v>
      </c>
      <c r="K623" s="125">
        <f>Lista!J622</f>
        <v>0</v>
      </c>
      <c r="L623" s="125">
        <f>Lista!K622</f>
        <v>0</v>
      </c>
      <c r="M623" s="125">
        <f>Lista!L622</f>
        <v>0</v>
      </c>
      <c r="N623" s="125">
        <f>Lista!M622</f>
        <v>0</v>
      </c>
      <c r="O623" s="125">
        <f>Lista!N622</f>
        <v>0</v>
      </c>
      <c r="P623" s="125">
        <f>Lista!O622</f>
        <v>0</v>
      </c>
      <c r="Q623" s="125">
        <f>Lista!P622</f>
        <v>0</v>
      </c>
      <c r="R623" s="125">
        <f>Lista!Q622</f>
        <v>0</v>
      </c>
      <c r="S623" s="125">
        <f>Lista!R622</f>
        <v>0</v>
      </c>
      <c r="T623" s="81"/>
      <c r="U623" s="81"/>
      <c r="V623" s="81"/>
      <c r="W623" s="81"/>
      <c r="X623" s="81"/>
      <c r="Y623" s="81"/>
      <c r="Z623" s="81"/>
      <c r="AA623" s="81"/>
      <c r="AB623" s="81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  <c r="BS623" s="81"/>
      <c r="BT623" s="81"/>
      <c r="BU623" s="81"/>
      <c r="BV623" s="81"/>
      <c r="BW623" s="81"/>
      <c r="BX623" s="81"/>
      <c r="BY623" s="81"/>
      <c r="BZ623" s="81"/>
      <c r="CA623" s="81"/>
      <c r="CB623" s="81"/>
      <c r="CC623" s="81"/>
      <c r="CD623" s="81"/>
      <c r="CE623" s="81"/>
      <c r="CF623" s="81"/>
      <c r="CG623" s="81"/>
      <c r="CH623" s="81"/>
      <c r="CI623" s="81"/>
      <c r="CJ623" s="81"/>
      <c r="CK623" s="81"/>
      <c r="CL623" s="81"/>
      <c r="CM623" s="81"/>
      <c r="CN623" s="81"/>
      <c r="CO623" s="81"/>
      <c r="CP623" s="81"/>
      <c r="CQ623" s="81"/>
      <c r="CR623" s="81"/>
      <c r="CS623" s="81"/>
      <c r="CT623" s="81"/>
      <c r="CU623" s="81"/>
      <c r="CV623" s="81"/>
      <c r="CW623" s="81"/>
      <c r="CX623" s="81"/>
      <c r="CY623" s="81"/>
      <c r="CZ623" s="81"/>
      <c r="DA623" s="81"/>
      <c r="DB623" s="81"/>
      <c r="DC623" s="81"/>
      <c r="DD623" s="81"/>
      <c r="DE623" s="81"/>
      <c r="DF623" s="81"/>
      <c r="DG623" s="81"/>
      <c r="DH623" s="81"/>
      <c r="DI623" s="81"/>
      <c r="DJ623" s="81"/>
      <c r="DK623" s="81"/>
      <c r="DL623" s="81"/>
      <c r="DM623" s="81"/>
      <c r="DN623" s="81"/>
      <c r="DO623" s="81"/>
      <c r="DP623" s="81"/>
      <c r="DQ623" s="81"/>
      <c r="DR623" s="81"/>
      <c r="DS623" s="81"/>
      <c r="DT623" s="81"/>
      <c r="DU623" s="81"/>
      <c r="DV623" s="81"/>
      <c r="DW623" s="121"/>
    </row>
    <row r="624" spans="1:127" x14ac:dyDescent="0.25">
      <c r="A624" s="2">
        <f>COUNTIF($D$2:D624,'Reporte de Nomina'!$E$2)</f>
        <v>0</v>
      </c>
      <c r="B624" s="125">
        <f>Lista!A623</f>
        <v>0</v>
      </c>
      <c r="C624" s="125">
        <f>Lista!B623</f>
        <v>0</v>
      </c>
      <c r="D624" s="125">
        <f>Lista!C623</f>
        <v>0</v>
      </c>
      <c r="E624" s="125">
        <f>Lista!D623</f>
        <v>0</v>
      </c>
      <c r="F624" s="125">
        <f>Lista!E623</f>
        <v>0</v>
      </c>
      <c r="G624" s="125">
        <f>Lista!F623</f>
        <v>0</v>
      </c>
      <c r="H624" s="125">
        <f>Lista!G623</f>
        <v>0</v>
      </c>
      <c r="I624" s="125">
        <f>Lista!H623</f>
        <v>0</v>
      </c>
      <c r="J624" s="125">
        <f>Lista!I623</f>
        <v>0</v>
      </c>
      <c r="K624" s="125">
        <f>Lista!J623</f>
        <v>0</v>
      </c>
      <c r="L624" s="125">
        <f>Lista!K623</f>
        <v>0</v>
      </c>
      <c r="M624" s="125">
        <f>Lista!L623</f>
        <v>0</v>
      </c>
      <c r="N624" s="125">
        <f>Lista!M623</f>
        <v>0</v>
      </c>
      <c r="O624" s="125">
        <f>Lista!N623</f>
        <v>0</v>
      </c>
      <c r="P624" s="125">
        <f>Lista!O623</f>
        <v>0</v>
      </c>
      <c r="Q624" s="125">
        <f>Lista!P623</f>
        <v>0</v>
      </c>
      <c r="R624" s="125">
        <f>Lista!Q623</f>
        <v>0</v>
      </c>
      <c r="S624" s="125">
        <f>Lista!R623</f>
        <v>0</v>
      </c>
      <c r="T624" s="81"/>
      <c r="U624" s="81"/>
      <c r="V624" s="81"/>
      <c r="W624" s="81"/>
      <c r="X624" s="81"/>
      <c r="Y624" s="81"/>
      <c r="Z624" s="81"/>
      <c r="AA624" s="81"/>
      <c r="AB624" s="81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  <c r="BS624" s="81"/>
      <c r="BT624" s="81"/>
      <c r="BU624" s="81"/>
      <c r="BV624" s="81"/>
      <c r="BW624" s="81"/>
      <c r="BX624" s="81"/>
      <c r="BY624" s="81"/>
      <c r="BZ624" s="81"/>
      <c r="CA624" s="81"/>
      <c r="CB624" s="81"/>
      <c r="CC624" s="81"/>
      <c r="CD624" s="81"/>
      <c r="CE624" s="81"/>
      <c r="CF624" s="81"/>
      <c r="CG624" s="81"/>
      <c r="CH624" s="81"/>
      <c r="CI624" s="81"/>
      <c r="CJ624" s="81"/>
      <c r="CK624" s="81"/>
      <c r="CL624" s="81"/>
      <c r="CM624" s="81"/>
      <c r="CN624" s="81"/>
      <c r="CO624" s="81"/>
      <c r="CP624" s="81"/>
      <c r="CQ624" s="81"/>
      <c r="CR624" s="81"/>
      <c r="CS624" s="81"/>
      <c r="CT624" s="81"/>
      <c r="CU624" s="81"/>
      <c r="CV624" s="81"/>
      <c r="CW624" s="81"/>
      <c r="CX624" s="81"/>
      <c r="CY624" s="81"/>
      <c r="CZ624" s="81"/>
      <c r="DA624" s="81"/>
      <c r="DB624" s="81"/>
      <c r="DC624" s="81"/>
      <c r="DD624" s="81"/>
      <c r="DE624" s="81"/>
      <c r="DF624" s="81"/>
      <c r="DG624" s="81"/>
      <c r="DH624" s="81"/>
      <c r="DI624" s="81"/>
      <c r="DJ624" s="81"/>
      <c r="DK624" s="81"/>
      <c r="DL624" s="81"/>
      <c r="DM624" s="81"/>
      <c r="DN624" s="81"/>
      <c r="DO624" s="81"/>
      <c r="DP624" s="81"/>
      <c r="DQ624" s="81"/>
      <c r="DR624" s="81"/>
      <c r="DS624" s="81"/>
      <c r="DT624" s="81"/>
      <c r="DU624" s="81"/>
      <c r="DV624" s="81"/>
      <c r="DW624" s="121"/>
    </row>
    <row r="625" spans="1:127" x14ac:dyDescent="0.25">
      <c r="A625" s="2">
        <f>COUNTIF($D$2:D625,'Reporte de Nomina'!$E$2)</f>
        <v>0</v>
      </c>
      <c r="B625" s="125">
        <f>Lista!A624</f>
        <v>0</v>
      </c>
      <c r="C625" s="125">
        <f>Lista!B624</f>
        <v>0</v>
      </c>
      <c r="D625" s="125">
        <f>Lista!C624</f>
        <v>0</v>
      </c>
      <c r="E625" s="125">
        <f>Lista!D624</f>
        <v>0</v>
      </c>
      <c r="F625" s="125">
        <f>Lista!E624</f>
        <v>0</v>
      </c>
      <c r="G625" s="125">
        <f>Lista!F624</f>
        <v>0</v>
      </c>
      <c r="H625" s="125">
        <f>Lista!G624</f>
        <v>0</v>
      </c>
      <c r="I625" s="125">
        <f>Lista!H624</f>
        <v>0</v>
      </c>
      <c r="J625" s="125">
        <f>Lista!I624</f>
        <v>0</v>
      </c>
      <c r="K625" s="125">
        <f>Lista!J624</f>
        <v>0</v>
      </c>
      <c r="L625" s="125">
        <f>Lista!K624</f>
        <v>0</v>
      </c>
      <c r="M625" s="125">
        <f>Lista!L624</f>
        <v>0</v>
      </c>
      <c r="N625" s="125">
        <f>Lista!M624</f>
        <v>0</v>
      </c>
      <c r="O625" s="125">
        <f>Lista!N624</f>
        <v>0</v>
      </c>
      <c r="P625" s="125">
        <f>Lista!O624</f>
        <v>0</v>
      </c>
      <c r="Q625" s="125">
        <f>Lista!P624</f>
        <v>0</v>
      </c>
      <c r="R625" s="125">
        <f>Lista!Q624</f>
        <v>0</v>
      </c>
      <c r="S625" s="125">
        <f>Lista!R624</f>
        <v>0</v>
      </c>
      <c r="T625" s="81"/>
      <c r="U625" s="81"/>
      <c r="V625" s="81"/>
      <c r="W625" s="81"/>
      <c r="X625" s="81"/>
      <c r="Y625" s="81"/>
      <c r="Z625" s="81"/>
      <c r="AA625" s="81"/>
      <c r="AB625" s="81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  <c r="BS625" s="81"/>
      <c r="BT625" s="81"/>
      <c r="BU625" s="81"/>
      <c r="BV625" s="81"/>
      <c r="BW625" s="81"/>
      <c r="BX625" s="81"/>
      <c r="BY625" s="81"/>
      <c r="BZ625" s="81"/>
      <c r="CA625" s="81"/>
      <c r="CB625" s="81"/>
      <c r="CC625" s="81"/>
      <c r="CD625" s="81"/>
      <c r="CE625" s="81"/>
      <c r="CF625" s="81"/>
      <c r="CG625" s="81"/>
      <c r="CH625" s="81"/>
      <c r="CI625" s="81"/>
      <c r="CJ625" s="81"/>
      <c r="CK625" s="81"/>
      <c r="CL625" s="81"/>
      <c r="CM625" s="81"/>
      <c r="CN625" s="81"/>
      <c r="CO625" s="81"/>
      <c r="CP625" s="81"/>
      <c r="CQ625" s="81"/>
      <c r="CR625" s="81"/>
      <c r="CS625" s="81"/>
      <c r="CT625" s="81"/>
      <c r="CU625" s="81"/>
      <c r="CV625" s="81"/>
      <c r="CW625" s="81"/>
      <c r="CX625" s="81"/>
      <c r="CY625" s="81"/>
      <c r="CZ625" s="81"/>
      <c r="DA625" s="81"/>
      <c r="DB625" s="81"/>
      <c r="DC625" s="81"/>
      <c r="DD625" s="81"/>
      <c r="DE625" s="81"/>
      <c r="DF625" s="81"/>
      <c r="DG625" s="81"/>
      <c r="DH625" s="81"/>
      <c r="DI625" s="81"/>
      <c r="DJ625" s="81"/>
      <c r="DK625" s="81"/>
      <c r="DL625" s="81"/>
      <c r="DM625" s="81"/>
      <c r="DN625" s="81"/>
      <c r="DO625" s="81"/>
      <c r="DP625" s="81"/>
      <c r="DQ625" s="81"/>
      <c r="DR625" s="81"/>
      <c r="DS625" s="81"/>
      <c r="DT625" s="81"/>
      <c r="DU625" s="81"/>
      <c r="DV625" s="81"/>
      <c r="DW625" s="121"/>
    </row>
    <row r="626" spans="1:127" x14ac:dyDescent="0.25">
      <c r="A626" s="2">
        <f>COUNTIF($D$2:D626,'Reporte de Nomina'!$E$2)</f>
        <v>0</v>
      </c>
      <c r="B626" s="125">
        <f>Lista!A625</f>
        <v>0</v>
      </c>
      <c r="C626" s="125">
        <f>Lista!B625</f>
        <v>0</v>
      </c>
      <c r="D626" s="125">
        <f>Lista!C625</f>
        <v>0</v>
      </c>
      <c r="E626" s="125">
        <f>Lista!D625</f>
        <v>0</v>
      </c>
      <c r="F626" s="125">
        <f>Lista!E625</f>
        <v>0</v>
      </c>
      <c r="G626" s="125">
        <f>Lista!F625</f>
        <v>0</v>
      </c>
      <c r="H626" s="125">
        <f>Lista!G625</f>
        <v>0</v>
      </c>
      <c r="I626" s="125">
        <f>Lista!H625</f>
        <v>0</v>
      </c>
      <c r="J626" s="125">
        <f>Lista!I625</f>
        <v>0</v>
      </c>
      <c r="K626" s="125">
        <f>Lista!J625</f>
        <v>0</v>
      </c>
      <c r="L626" s="125">
        <f>Lista!K625</f>
        <v>0</v>
      </c>
      <c r="M626" s="125">
        <f>Lista!L625</f>
        <v>0</v>
      </c>
      <c r="N626" s="125">
        <f>Lista!M625</f>
        <v>0</v>
      </c>
      <c r="O626" s="125">
        <f>Lista!N625</f>
        <v>0</v>
      </c>
      <c r="P626" s="125">
        <f>Lista!O625</f>
        <v>0</v>
      </c>
      <c r="Q626" s="125">
        <f>Lista!P625</f>
        <v>0</v>
      </c>
      <c r="R626" s="125">
        <f>Lista!Q625</f>
        <v>0</v>
      </c>
      <c r="S626" s="125">
        <f>Lista!R625</f>
        <v>0</v>
      </c>
      <c r="T626" s="81"/>
      <c r="U626" s="81"/>
      <c r="V626" s="81"/>
      <c r="W626" s="81"/>
      <c r="X626" s="81"/>
      <c r="Y626" s="81"/>
      <c r="Z626" s="81"/>
      <c r="AA626" s="81"/>
      <c r="AB626" s="81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  <c r="BS626" s="81"/>
      <c r="BT626" s="81"/>
      <c r="BU626" s="81"/>
      <c r="BV626" s="81"/>
      <c r="BW626" s="81"/>
      <c r="BX626" s="81"/>
      <c r="BY626" s="81"/>
      <c r="BZ626" s="81"/>
      <c r="CA626" s="81"/>
      <c r="CB626" s="81"/>
      <c r="CC626" s="81"/>
      <c r="CD626" s="81"/>
      <c r="CE626" s="81"/>
      <c r="CF626" s="81"/>
      <c r="CG626" s="81"/>
      <c r="CH626" s="81"/>
      <c r="CI626" s="81"/>
      <c r="CJ626" s="81"/>
      <c r="CK626" s="81"/>
      <c r="CL626" s="81"/>
      <c r="CM626" s="81"/>
      <c r="CN626" s="81"/>
      <c r="CO626" s="81"/>
      <c r="CP626" s="81"/>
      <c r="CQ626" s="81"/>
      <c r="CR626" s="81"/>
      <c r="CS626" s="81"/>
      <c r="CT626" s="81"/>
      <c r="CU626" s="81"/>
      <c r="CV626" s="81"/>
      <c r="CW626" s="81"/>
      <c r="CX626" s="81"/>
      <c r="CY626" s="81"/>
      <c r="CZ626" s="81"/>
      <c r="DA626" s="81"/>
      <c r="DB626" s="81"/>
      <c r="DC626" s="81"/>
      <c r="DD626" s="81"/>
      <c r="DE626" s="81"/>
      <c r="DF626" s="81"/>
      <c r="DG626" s="81"/>
      <c r="DH626" s="81"/>
      <c r="DI626" s="81"/>
      <c r="DJ626" s="81"/>
      <c r="DK626" s="81"/>
      <c r="DL626" s="81"/>
      <c r="DM626" s="81"/>
      <c r="DN626" s="81"/>
      <c r="DO626" s="81"/>
      <c r="DP626" s="81"/>
      <c r="DQ626" s="81"/>
      <c r="DR626" s="81"/>
      <c r="DS626" s="81"/>
      <c r="DT626" s="81"/>
      <c r="DU626" s="81"/>
      <c r="DV626" s="81"/>
      <c r="DW626" s="121"/>
    </row>
    <row r="627" spans="1:127" x14ac:dyDescent="0.25">
      <c r="A627" s="2">
        <f>COUNTIF($D$2:D627,'Reporte de Nomina'!$E$2)</f>
        <v>0</v>
      </c>
      <c r="B627" s="125">
        <f>Lista!A626</f>
        <v>0</v>
      </c>
      <c r="C627" s="125">
        <f>Lista!B626</f>
        <v>0</v>
      </c>
      <c r="D627" s="125">
        <f>Lista!C626</f>
        <v>0</v>
      </c>
      <c r="E627" s="125">
        <f>Lista!D626</f>
        <v>0</v>
      </c>
      <c r="F627" s="125">
        <f>Lista!E626</f>
        <v>0</v>
      </c>
      <c r="G627" s="125">
        <f>Lista!F626</f>
        <v>0</v>
      </c>
      <c r="H627" s="125">
        <f>Lista!G626</f>
        <v>0</v>
      </c>
      <c r="I627" s="125">
        <f>Lista!H626</f>
        <v>0</v>
      </c>
      <c r="J627" s="125">
        <f>Lista!I626</f>
        <v>0</v>
      </c>
      <c r="K627" s="125">
        <f>Lista!J626</f>
        <v>0</v>
      </c>
      <c r="L627" s="125">
        <f>Lista!K626</f>
        <v>0</v>
      </c>
      <c r="M627" s="125">
        <f>Lista!L626</f>
        <v>0</v>
      </c>
      <c r="N627" s="125">
        <f>Lista!M626</f>
        <v>0</v>
      </c>
      <c r="O627" s="125">
        <f>Lista!N626</f>
        <v>0</v>
      </c>
      <c r="P627" s="125">
        <f>Lista!O626</f>
        <v>0</v>
      </c>
      <c r="Q627" s="125">
        <f>Lista!P626</f>
        <v>0</v>
      </c>
      <c r="R627" s="125">
        <f>Lista!Q626</f>
        <v>0</v>
      </c>
      <c r="S627" s="125">
        <f>Lista!R626</f>
        <v>0</v>
      </c>
      <c r="T627" s="81"/>
      <c r="U627" s="81"/>
      <c r="V627" s="81"/>
      <c r="W627" s="81"/>
      <c r="X627" s="81"/>
      <c r="Y627" s="81"/>
      <c r="Z627" s="81"/>
      <c r="AA627" s="81"/>
      <c r="AB627" s="81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  <c r="BS627" s="81"/>
      <c r="BT627" s="81"/>
      <c r="BU627" s="81"/>
      <c r="BV627" s="81"/>
      <c r="BW627" s="81"/>
      <c r="BX627" s="81"/>
      <c r="BY627" s="81"/>
      <c r="BZ627" s="81"/>
      <c r="CA627" s="81"/>
      <c r="CB627" s="81"/>
      <c r="CC627" s="81"/>
      <c r="CD627" s="81"/>
      <c r="CE627" s="81"/>
      <c r="CF627" s="81"/>
      <c r="CG627" s="81"/>
      <c r="CH627" s="81"/>
      <c r="CI627" s="81"/>
      <c r="CJ627" s="81"/>
      <c r="CK627" s="81"/>
      <c r="CL627" s="81"/>
      <c r="CM627" s="81"/>
      <c r="CN627" s="81"/>
      <c r="CO627" s="81"/>
      <c r="CP627" s="81"/>
      <c r="CQ627" s="81"/>
      <c r="CR627" s="81"/>
      <c r="CS627" s="81"/>
      <c r="CT627" s="81"/>
      <c r="CU627" s="81"/>
      <c r="CV627" s="81"/>
      <c r="CW627" s="81"/>
      <c r="CX627" s="81"/>
      <c r="CY627" s="81"/>
      <c r="CZ627" s="81"/>
      <c r="DA627" s="81"/>
      <c r="DB627" s="81"/>
      <c r="DC627" s="81"/>
      <c r="DD627" s="81"/>
      <c r="DE627" s="81"/>
      <c r="DF627" s="81"/>
      <c r="DG627" s="81"/>
      <c r="DH627" s="81"/>
      <c r="DI627" s="81"/>
      <c r="DJ627" s="81"/>
      <c r="DK627" s="81"/>
      <c r="DL627" s="81"/>
      <c r="DM627" s="81"/>
      <c r="DN627" s="81"/>
      <c r="DO627" s="81"/>
      <c r="DP627" s="81"/>
      <c r="DQ627" s="81"/>
      <c r="DR627" s="81"/>
      <c r="DS627" s="81"/>
      <c r="DT627" s="81"/>
      <c r="DU627" s="81"/>
      <c r="DV627" s="81"/>
      <c r="DW627" s="121"/>
    </row>
    <row r="628" spans="1:127" x14ac:dyDescent="0.25">
      <c r="A628" s="2">
        <f>COUNTIF($D$2:D628,'Reporte de Nomina'!$E$2)</f>
        <v>0</v>
      </c>
      <c r="B628" s="125">
        <f>Lista!A627</f>
        <v>0</v>
      </c>
      <c r="C628" s="125">
        <f>Lista!B627</f>
        <v>0</v>
      </c>
      <c r="D628" s="125">
        <f>Lista!C627</f>
        <v>0</v>
      </c>
      <c r="E628" s="125">
        <f>Lista!D627</f>
        <v>0</v>
      </c>
      <c r="F628" s="125">
        <f>Lista!E627</f>
        <v>0</v>
      </c>
      <c r="G628" s="125">
        <f>Lista!F627</f>
        <v>0</v>
      </c>
      <c r="H628" s="125">
        <f>Lista!G627</f>
        <v>0</v>
      </c>
      <c r="I628" s="125">
        <f>Lista!H627</f>
        <v>0</v>
      </c>
      <c r="J628" s="125">
        <f>Lista!I627</f>
        <v>0</v>
      </c>
      <c r="K628" s="125">
        <f>Lista!J627</f>
        <v>0</v>
      </c>
      <c r="L628" s="125">
        <f>Lista!K627</f>
        <v>0</v>
      </c>
      <c r="M628" s="125">
        <f>Lista!L627</f>
        <v>0</v>
      </c>
      <c r="N628" s="125">
        <f>Lista!M627</f>
        <v>0</v>
      </c>
      <c r="O628" s="125">
        <f>Lista!N627</f>
        <v>0</v>
      </c>
      <c r="P628" s="125">
        <f>Lista!O627</f>
        <v>0</v>
      </c>
      <c r="Q628" s="125">
        <f>Lista!P627</f>
        <v>0</v>
      </c>
      <c r="R628" s="125">
        <f>Lista!Q627</f>
        <v>0</v>
      </c>
      <c r="S628" s="125">
        <f>Lista!R627</f>
        <v>0</v>
      </c>
      <c r="T628" s="81"/>
      <c r="U628" s="81"/>
      <c r="V628" s="81"/>
      <c r="W628" s="81"/>
      <c r="X628" s="81"/>
      <c r="Y628" s="81"/>
      <c r="Z628" s="81"/>
      <c r="AA628" s="81"/>
      <c r="AB628" s="81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  <c r="BS628" s="81"/>
      <c r="BT628" s="81"/>
      <c r="BU628" s="81"/>
      <c r="BV628" s="81"/>
      <c r="BW628" s="81"/>
      <c r="BX628" s="81"/>
      <c r="BY628" s="81"/>
      <c r="BZ628" s="81"/>
      <c r="CA628" s="81"/>
      <c r="CB628" s="81"/>
      <c r="CC628" s="81"/>
      <c r="CD628" s="81"/>
      <c r="CE628" s="81"/>
      <c r="CF628" s="81"/>
      <c r="CG628" s="81"/>
      <c r="CH628" s="81"/>
      <c r="CI628" s="81"/>
      <c r="CJ628" s="81"/>
      <c r="CK628" s="81"/>
      <c r="CL628" s="81"/>
      <c r="CM628" s="81"/>
      <c r="CN628" s="81"/>
      <c r="CO628" s="81"/>
      <c r="CP628" s="81"/>
      <c r="CQ628" s="81"/>
      <c r="CR628" s="81"/>
      <c r="CS628" s="81"/>
      <c r="CT628" s="81"/>
      <c r="CU628" s="81"/>
      <c r="CV628" s="81"/>
      <c r="CW628" s="81"/>
      <c r="CX628" s="81"/>
      <c r="CY628" s="81"/>
      <c r="CZ628" s="81"/>
      <c r="DA628" s="81"/>
      <c r="DB628" s="81"/>
      <c r="DC628" s="81"/>
      <c r="DD628" s="81"/>
      <c r="DE628" s="81"/>
      <c r="DF628" s="81"/>
      <c r="DG628" s="81"/>
      <c r="DH628" s="81"/>
      <c r="DI628" s="81"/>
      <c r="DJ628" s="81"/>
      <c r="DK628" s="81"/>
      <c r="DL628" s="81"/>
      <c r="DM628" s="81"/>
      <c r="DN628" s="81"/>
      <c r="DO628" s="81"/>
      <c r="DP628" s="81"/>
      <c r="DQ628" s="81"/>
      <c r="DR628" s="81"/>
      <c r="DS628" s="81"/>
      <c r="DT628" s="81"/>
      <c r="DU628" s="81"/>
      <c r="DV628" s="81"/>
      <c r="DW628" s="121"/>
    </row>
    <row r="629" spans="1:127" x14ac:dyDescent="0.25">
      <c r="A629" s="2">
        <f>COUNTIF($D$2:D629,'Reporte de Nomina'!$E$2)</f>
        <v>0</v>
      </c>
      <c r="B629" s="125">
        <f>Lista!A628</f>
        <v>0</v>
      </c>
      <c r="C629" s="125">
        <f>Lista!B628</f>
        <v>0</v>
      </c>
      <c r="D629" s="125">
        <f>Lista!C628</f>
        <v>0</v>
      </c>
      <c r="E629" s="125">
        <f>Lista!D628</f>
        <v>0</v>
      </c>
      <c r="F629" s="125">
        <f>Lista!E628</f>
        <v>0</v>
      </c>
      <c r="G629" s="125">
        <f>Lista!F628</f>
        <v>0</v>
      </c>
      <c r="H629" s="125">
        <f>Lista!G628</f>
        <v>0</v>
      </c>
      <c r="I629" s="125">
        <f>Lista!H628</f>
        <v>0</v>
      </c>
      <c r="J629" s="125">
        <f>Lista!I628</f>
        <v>0</v>
      </c>
      <c r="K629" s="125">
        <f>Lista!J628</f>
        <v>0</v>
      </c>
      <c r="L629" s="125">
        <f>Lista!K628</f>
        <v>0</v>
      </c>
      <c r="M629" s="125">
        <f>Lista!L628</f>
        <v>0</v>
      </c>
      <c r="N629" s="125">
        <f>Lista!M628</f>
        <v>0</v>
      </c>
      <c r="O629" s="125">
        <f>Lista!N628</f>
        <v>0</v>
      </c>
      <c r="P629" s="125">
        <f>Lista!O628</f>
        <v>0</v>
      </c>
      <c r="Q629" s="125">
        <f>Lista!P628</f>
        <v>0</v>
      </c>
      <c r="R629" s="125">
        <f>Lista!Q628</f>
        <v>0</v>
      </c>
      <c r="S629" s="125">
        <f>Lista!R628</f>
        <v>0</v>
      </c>
      <c r="T629" s="81"/>
      <c r="U629" s="81"/>
      <c r="V629" s="81"/>
      <c r="W629" s="81"/>
      <c r="X629" s="81"/>
      <c r="Y629" s="81"/>
      <c r="Z629" s="81"/>
      <c r="AA629" s="81"/>
      <c r="AB629" s="81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  <c r="BS629" s="81"/>
      <c r="BT629" s="81"/>
      <c r="BU629" s="81"/>
      <c r="BV629" s="81"/>
      <c r="BW629" s="81"/>
      <c r="BX629" s="81"/>
      <c r="BY629" s="81"/>
      <c r="BZ629" s="81"/>
      <c r="CA629" s="81"/>
      <c r="CB629" s="81"/>
      <c r="CC629" s="81"/>
      <c r="CD629" s="81"/>
      <c r="CE629" s="81"/>
      <c r="CF629" s="81"/>
      <c r="CG629" s="81"/>
      <c r="CH629" s="81"/>
      <c r="CI629" s="81"/>
      <c r="CJ629" s="81"/>
      <c r="CK629" s="81"/>
      <c r="CL629" s="81"/>
      <c r="CM629" s="81"/>
      <c r="CN629" s="81"/>
      <c r="CO629" s="81"/>
      <c r="CP629" s="81"/>
      <c r="CQ629" s="81"/>
      <c r="CR629" s="81"/>
      <c r="CS629" s="81"/>
      <c r="CT629" s="81"/>
      <c r="CU629" s="81"/>
      <c r="CV629" s="81"/>
      <c r="CW629" s="81"/>
      <c r="CX629" s="81"/>
      <c r="CY629" s="81"/>
      <c r="CZ629" s="81"/>
      <c r="DA629" s="81"/>
      <c r="DB629" s="81"/>
      <c r="DC629" s="81"/>
      <c r="DD629" s="81"/>
      <c r="DE629" s="81"/>
      <c r="DF629" s="81"/>
      <c r="DG629" s="81"/>
      <c r="DH629" s="81"/>
      <c r="DI629" s="81"/>
      <c r="DJ629" s="81"/>
      <c r="DK629" s="81"/>
      <c r="DL629" s="81"/>
      <c r="DM629" s="81"/>
      <c r="DN629" s="81"/>
      <c r="DO629" s="81"/>
      <c r="DP629" s="81"/>
      <c r="DQ629" s="81"/>
      <c r="DR629" s="81"/>
      <c r="DS629" s="81"/>
      <c r="DT629" s="81"/>
      <c r="DU629" s="81"/>
      <c r="DV629" s="81"/>
      <c r="DW629" s="121"/>
    </row>
    <row r="630" spans="1:127" x14ac:dyDescent="0.25">
      <c r="A630" s="2">
        <f>COUNTIF($D$2:D630,'Reporte de Nomina'!$E$2)</f>
        <v>0</v>
      </c>
      <c r="B630" s="125">
        <f>Lista!A629</f>
        <v>0</v>
      </c>
      <c r="C630" s="125">
        <f>Lista!B629</f>
        <v>0</v>
      </c>
      <c r="D630" s="125">
        <f>Lista!C629</f>
        <v>0</v>
      </c>
      <c r="E630" s="125">
        <f>Lista!D629</f>
        <v>0</v>
      </c>
      <c r="F630" s="125">
        <f>Lista!E629</f>
        <v>0</v>
      </c>
      <c r="G630" s="125">
        <f>Lista!F629</f>
        <v>0</v>
      </c>
      <c r="H630" s="125">
        <f>Lista!G629</f>
        <v>0</v>
      </c>
      <c r="I630" s="125">
        <f>Lista!H629</f>
        <v>0</v>
      </c>
      <c r="J630" s="125">
        <f>Lista!I629</f>
        <v>0</v>
      </c>
      <c r="K630" s="125">
        <f>Lista!J629</f>
        <v>0</v>
      </c>
      <c r="L630" s="125">
        <f>Lista!K629</f>
        <v>0</v>
      </c>
      <c r="M630" s="125">
        <f>Lista!L629</f>
        <v>0</v>
      </c>
      <c r="N630" s="125">
        <f>Lista!M629</f>
        <v>0</v>
      </c>
      <c r="O630" s="125">
        <f>Lista!N629</f>
        <v>0</v>
      </c>
      <c r="P630" s="125">
        <f>Lista!O629</f>
        <v>0</v>
      </c>
      <c r="Q630" s="125">
        <f>Lista!P629</f>
        <v>0</v>
      </c>
      <c r="R630" s="125">
        <f>Lista!Q629</f>
        <v>0</v>
      </c>
      <c r="S630" s="125">
        <f>Lista!R629</f>
        <v>0</v>
      </c>
      <c r="T630" s="81"/>
      <c r="U630" s="81"/>
      <c r="V630" s="81"/>
      <c r="W630" s="81"/>
      <c r="X630" s="81"/>
      <c r="Y630" s="81"/>
      <c r="Z630" s="81"/>
      <c r="AA630" s="81"/>
      <c r="AB630" s="81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  <c r="BS630" s="81"/>
      <c r="BT630" s="81"/>
      <c r="BU630" s="81"/>
      <c r="BV630" s="81"/>
      <c r="BW630" s="81"/>
      <c r="BX630" s="81"/>
      <c r="BY630" s="81"/>
      <c r="BZ630" s="81"/>
      <c r="CA630" s="81"/>
      <c r="CB630" s="81"/>
      <c r="CC630" s="81"/>
      <c r="CD630" s="81"/>
      <c r="CE630" s="81"/>
      <c r="CF630" s="81"/>
      <c r="CG630" s="81"/>
      <c r="CH630" s="81"/>
      <c r="CI630" s="81"/>
      <c r="CJ630" s="81"/>
      <c r="CK630" s="81"/>
      <c r="CL630" s="81"/>
      <c r="CM630" s="81"/>
      <c r="CN630" s="81"/>
      <c r="CO630" s="81"/>
      <c r="CP630" s="81"/>
      <c r="CQ630" s="81"/>
      <c r="CR630" s="81"/>
      <c r="CS630" s="81"/>
      <c r="CT630" s="81"/>
      <c r="CU630" s="81"/>
      <c r="CV630" s="81"/>
      <c r="CW630" s="81"/>
      <c r="CX630" s="81"/>
      <c r="CY630" s="81"/>
      <c r="CZ630" s="81"/>
      <c r="DA630" s="81"/>
      <c r="DB630" s="81"/>
      <c r="DC630" s="81"/>
      <c r="DD630" s="81"/>
      <c r="DE630" s="81"/>
      <c r="DF630" s="81"/>
      <c r="DG630" s="81"/>
      <c r="DH630" s="81"/>
      <c r="DI630" s="81"/>
      <c r="DJ630" s="81"/>
      <c r="DK630" s="81"/>
      <c r="DL630" s="81"/>
      <c r="DM630" s="81"/>
      <c r="DN630" s="81"/>
      <c r="DO630" s="81"/>
      <c r="DP630" s="81"/>
      <c r="DQ630" s="81"/>
      <c r="DR630" s="81"/>
      <c r="DS630" s="81"/>
      <c r="DT630" s="81"/>
      <c r="DU630" s="81"/>
      <c r="DV630" s="81"/>
      <c r="DW630" s="121"/>
    </row>
    <row r="631" spans="1:127" x14ac:dyDescent="0.25">
      <c r="A631" s="2">
        <f>COUNTIF($D$2:D631,'Reporte de Nomina'!$E$2)</f>
        <v>0</v>
      </c>
      <c r="B631" s="125">
        <f>Lista!A630</f>
        <v>0</v>
      </c>
      <c r="C631" s="125">
        <f>Lista!B630</f>
        <v>0</v>
      </c>
      <c r="D631" s="125">
        <f>Lista!C630</f>
        <v>0</v>
      </c>
      <c r="E631" s="125">
        <f>Lista!D630</f>
        <v>0</v>
      </c>
      <c r="F631" s="125">
        <f>Lista!E630</f>
        <v>0</v>
      </c>
      <c r="G631" s="125">
        <f>Lista!F630</f>
        <v>0</v>
      </c>
      <c r="H631" s="125">
        <f>Lista!G630</f>
        <v>0</v>
      </c>
      <c r="I631" s="125">
        <f>Lista!H630</f>
        <v>0</v>
      </c>
      <c r="J631" s="125">
        <f>Lista!I630</f>
        <v>0</v>
      </c>
      <c r="K631" s="125">
        <f>Lista!J630</f>
        <v>0</v>
      </c>
      <c r="L631" s="125">
        <f>Lista!K630</f>
        <v>0</v>
      </c>
      <c r="M631" s="125">
        <f>Lista!L630</f>
        <v>0</v>
      </c>
      <c r="N631" s="125">
        <f>Lista!M630</f>
        <v>0</v>
      </c>
      <c r="O631" s="125">
        <f>Lista!N630</f>
        <v>0</v>
      </c>
      <c r="P631" s="125">
        <f>Lista!O630</f>
        <v>0</v>
      </c>
      <c r="Q631" s="125">
        <f>Lista!P630</f>
        <v>0</v>
      </c>
      <c r="R631" s="125">
        <f>Lista!Q630</f>
        <v>0</v>
      </c>
      <c r="S631" s="125">
        <f>Lista!R630</f>
        <v>0</v>
      </c>
      <c r="T631" s="81"/>
      <c r="U631" s="81"/>
      <c r="V631" s="81"/>
      <c r="W631" s="81"/>
      <c r="X631" s="81"/>
      <c r="Y631" s="81"/>
      <c r="Z631" s="81"/>
      <c r="AA631" s="81"/>
      <c r="AB631" s="81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  <c r="BS631" s="81"/>
      <c r="BT631" s="81"/>
      <c r="BU631" s="81"/>
      <c r="BV631" s="81"/>
      <c r="BW631" s="81"/>
      <c r="BX631" s="81"/>
      <c r="BY631" s="81"/>
      <c r="BZ631" s="81"/>
      <c r="CA631" s="81"/>
      <c r="CB631" s="81"/>
      <c r="CC631" s="81"/>
      <c r="CD631" s="81"/>
      <c r="CE631" s="81"/>
      <c r="CF631" s="81"/>
      <c r="CG631" s="81"/>
      <c r="CH631" s="81"/>
      <c r="CI631" s="81"/>
      <c r="CJ631" s="81"/>
      <c r="CK631" s="81"/>
      <c r="CL631" s="81"/>
      <c r="CM631" s="81"/>
      <c r="CN631" s="81"/>
      <c r="CO631" s="81"/>
      <c r="CP631" s="81"/>
      <c r="CQ631" s="81"/>
      <c r="CR631" s="81"/>
      <c r="CS631" s="81"/>
      <c r="CT631" s="81"/>
      <c r="CU631" s="81"/>
      <c r="CV631" s="81"/>
      <c r="CW631" s="81"/>
      <c r="CX631" s="81"/>
      <c r="CY631" s="81"/>
      <c r="CZ631" s="81"/>
      <c r="DA631" s="81"/>
      <c r="DB631" s="81"/>
      <c r="DC631" s="81"/>
      <c r="DD631" s="81"/>
      <c r="DE631" s="81"/>
      <c r="DF631" s="81"/>
      <c r="DG631" s="81"/>
      <c r="DH631" s="81"/>
      <c r="DI631" s="81"/>
      <c r="DJ631" s="81"/>
      <c r="DK631" s="81"/>
      <c r="DL631" s="81"/>
      <c r="DM631" s="81"/>
      <c r="DN631" s="81"/>
      <c r="DO631" s="81"/>
      <c r="DP631" s="81"/>
      <c r="DQ631" s="81"/>
      <c r="DR631" s="81"/>
      <c r="DS631" s="81"/>
      <c r="DT631" s="81"/>
      <c r="DU631" s="81"/>
      <c r="DV631" s="81"/>
      <c r="DW631" s="121"/>
    </row>
    <row r="632" spans="1:127" x14ac:dyDescent="0.25">
      <c r="A632" s="2">
        <f>COUNTIF($D$2:D632,'Reporte de Nomina'!$E$2)</f>
        <v>0</v>
      </c>
      <c r="B632" s="125">
        <f>Lista!A631</f>
        <v>0</v>
      </c>
      <c r="C632" s="125">
        <f>Lista!B631</f>
        <v>0</v>
      </c>
      <c r="D632" s="125">
        <f>Lista!C631</f>
        <v>0</v>
      </c>
      <c r="E632" s="125">
        <f>Lista!D631</f>
        <v>0</v>
      </c>
      <c r="F632" s="125">
        <f>Lista!E631</f>
        <v>0</v>
      </c>
      <c r="G632" s="125">
        <f>Lista!F631</f>
        <v>0</v>
      </c>
      <c r="H632" s="125">
        <f>Lista!G631</f>
        <v>0</v>
      </c>
      <c r="I632" s="125">
        <f>Lista!H631</f>
        <v>0</v>
      </c>
      <c r="J632" s="125">
        <f>Lista!I631</f>
        <v>0</v>
      </c>
      <c r="K632" s="125">
        <f>Lista!J631</f>
        <v>0</v>
      </c>
      <c r="L632" s="125">
        <f>Lista!K631</f>
        <v>0</v>
      </c>
      <c r="M632" s="125">
        <f>Lista!L631</f>
        <v>0</v>
      </c>
      <c r="N632" s="125">
        <f>Lista!M631</f>
        <v>0</v>
      </c>
      <c r="O632" s="125">
        <f>Lista!N631</f>
        <v>0</v>
      </c>
      <c r="P632" s="125">
        <f>Lista!O631</f>
        <v>0</v>
      </c>
      <c r="Q632" s="125">
        <f>Lista!P631</f>
        <v>0</v>
      </c>
      <c r="R632" s="125">
        <f>Lista!Q631</f>
        <v>0</v>
      </c>
      <c r="S632" s="125">
        <f>Lista!R631</f>
        <v>0</v>
      </c>
      <c r="T632" s="81"/>
      <c r="U632" s="81"/>
      <c r="V632" s="81"/>
      <c r="W632" s="81"/>
      <c r="X632" s="81"/>
      <c r="Y632" s="81"/>
      <c r="Z632" s="81"/>
      <c r="AA632" s="81"/>
      <c r="AB632" s="81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  <c r="BS632" s="81"/>
      <c r="BT632" s="81"/>
      <c r="BU632" s="81"/>
      <c r="BV632" s="81"/>
      <c r="BW632" s="81"/>
      <c r="BX632" s="81"/>
      <c r="BY632" s="81"/>
      <c r="BZ632" s="81"/>
      <c r="CA632" s="81"/>
      <c r="CB632" s="81"/>
      <c r="CC632" s="81"/>
      <c r="CD632" s="81"/>
      <c r="CE632" s="81"/>
      <c r="CF632" s="81"/>
      <c r="CG632" s="81"/>
      <c r="CH632" s="81"/>
      <c r="CI632" s="81"/>
      <c r="CJ632" s="81"/>
      <c r="CK632" s="81"/>
      <c r="CL632" s="81"/>
      <c r="CM632" s="81"/>
      <c r="CN632" s="81"/>
      <c r="CO632" s="81"/>
      <c r="CP632" s="81"/>
      <c r="CQ632" s="81"/>
      <c r="CR632" s="81"/>
      <c r="CS632" s="81"/>
      <c r="CT632" s="81"/>
      <c r="CU632" s="81"/>
      <c r="CV632" s="81"/>
      <c r="CW632" s="81"/>
      <c r="CX632" s="81"/>
      <c r="CY632" s="81"/>
      <c r="CZ632" s="81"/>
      <c r="DA632" s="81"/>
      <c r="DB632" s="81"/>
      <c r="DC632" s="81"/>
      <c r="DD632" s="81"/>
      <c r="DE632" s="81"/>
      <c r="DF632" s="81"/>
      <c r="DG632" s="81"/>
      <c r="DH632" s="81"/>
      <c r="DI632" s="81"/>
      <c r="DJ632" s="81"/>
      <c r="DK632" s="81"/>
      <c r="DL632" s="81"/>
      <c r="DM632" s="81"/>
      <c r="DN632" s="81"/>
      <c r="DO632" s="81"/>
      <c r="DP632" s="81"/>
      <c r="DQ632" s="81"/>
      <c r="DR632" s="81"/>
      <c r="DS632" s="81"/>
      <c r="DT632" s="81"/>
      <c r="DU632" s="81"/>
      <c r="DV632" s="81"/>
      <c r="DW632" s="121"/>
    </row>
    <row r="633" spans="1:127" x14ac:dyDescent="0.25">
      <c r="A633" s="2">
        <f>COUNTIF($D$2:D633,'Reporte de Nomina'!$E$2)</f>
        <v>0</v>
      </c>
      <c r="B633" s="125">
        <f>Lista!A632</f>
        <v>0</v>
      </c>
      <c r="C633" s="125">
        <f>Lista!B632</f>
        <v>0</v>
      </c>
      <c r="D633" s="125">
        <f>Lista!C632</f>
        <v>0</v>
      </c>
      <c r="E633" s="125">
        <f>Lista!D632</f>
        <v>0</v>
      </c>
      <c r="F633" s="125">
        <f>Lista!E632</f>
        <v>0</v>
      </c>
      <c r="G633" s="125">
        <f>Lista!F632</f>
        <v>0</v>
      </c>
      <c r="H633" s="125">
        <f>Lista!G632</f>
        <v>0</v>
      </c>
      <c r="I633" s="125">
        <f>Lista!H632</f>
        <v>0</v>
      </c>
      <c r="J633" s="125">
        <f>Lista!I632</f>
        <v>0</v>
      </c>
      <c r="K633" s="125">
        <f>Lista!J632</f>
        <v>0</v>
      </c>
      <c r="L633" s="125">
        <f>Lista!K632</f>
        <v>0</v>
      </c>
      <c r="M633" s="125">
        <f>Lista!L632</f>
        <v>0</v>
      </c>
      <c r="N633" s="125">
        <f>Lista!M632</f>
        <v>0</v>
      </c>
      <c r="O633" s="125">
        <f>Lista!N632</f>
        <v>0</v>
      </c>
      <c r="P633" s="125">
        <f>Lista!O632</f>
        <v>0</v>
      </c>
      <c r="Q633" s="125">
        <f>Lista!P632</f>
        <v>0</v>
      </c>
      <c r="R633" s="125">
        <f>Lista!Q632</f>
        <v>0</v>
      </c>
      <c r="S633" s="125">
        <f>Lista!R632</f>
        <v>0</v>
      </c>
      <c r="T633" s="81"/>
      <c r="U633" s="81"/>
      <c r="V633" s="81"/>
      <c r="W633" s="81"/>
      <c r="X633" s="81"/>
      <c r="Y633" s="81"/>
      <c r="Z633" s="81"/>
      <c r="AA633" s="81"/>
      <c r="AB633" s="81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  <c r="BS633" s="81"/>
      <c r="BT633" s="81"/>
      <c r="BU633" s="81"/>
      <c r="BV633" s="81"/>
      <c r="BW633" s="81"/>
      <c r="BX633" s="81"/>
      <c r="BY633" s="81"/>
      <c r="BZ633" s="81"/>
      <c r="CA633" s="81"/>
      <c r="CB633" s="81"/>
      <c r="CC633" s="81"/>
      <c r="CD633" s="81"/>
      <c r="CE633" s="81"/>
      <c r="CF633" s="81"/>
      <c r="CG633" s="81"/>
      <c r="CH633" s="81"/>
      <c r="CI633" s="81"/>
      <c r="CJ633" s="81"/>
      <c r="CK633" s="81"/>
      <c r="CL633" s="81"/>
      <c r="CM633" s="81"/>
      <c r="CN633" s="81"/>
      <c r="CO633" s="81"/>
      <c r="CP633" s="81"/>
      <c r="CQ633" s="81"/>
      <c r="CR633" s="81"/>
      <c r="CS633" s="81"/>
      <c r="CT633" s="81"/>
      <c r="CU633" s="81"/>
      <c r="CV633" s="81"/>
      <c r="CW633" s="81"/>
      <c r="CX633" s="81"/>
      <c r="CY633" s="81"/>
      <c r="CZ633" s="81"/>
      <c r="DA633" s="81"/>
      <c r="DB633" s="81"/>
      <c r="DC633" s="81"/>
      <c r="DD633" s="81"/>
      <c r="DE633" s="81"/>
      <c r="DF633" s="81"/>
      <c r="DG633" s="81"/>
      <c r="DH633" s="81"/>
      <c r="DI633" s="81"/>
      <c r="DJ633" s="81"/>
      <c r="DK633" s="81"/>
      <c r="DL633" s="81"/>
      <c r="DM633" s="81"/>
      <c r="DN633" s="81"/>
      <c r="DO633" s="81"/>
      <c r="DP633" s="81"/>
      <c r="DQ633" s="81"/>
      <c r="DR633" s="81"/>
      <c r="DS633" s="81"/>
      <c r="DT633" s="81"/>
      <c r="DU633" s="81"/>
      <c r="DV633" s="81"/>
      <c r="DW633" s="121"/>
    </row>
    <row r="634" spans="1:127" x14ac:dyDescent="0.25">
      <c r="A634" s="2">
        <f>COUNTIF($D$2:D634,'Reporte de Nomina'!$E$2)</f>
        <v>0</v>
      </c>
      <c r="B634" s="125">
        <f>Lista!A633</f>
        <v>0</v>
      </c>
      <c r="C634" s="125">
        <f>Lista!B633</f>
        <v>0</v>
      </c>
      <c r="D634" s="125">
        <f>Lista!C633</f>
        <v>0</v>
      </c>
      <c r="E634" s="125">
        <f>Lista!D633</f>
        <v>0</v>
      </c>
      <c r="F634" s="125">
        <f>Lista!E633</f>
        <v>0</v>
      </c>
      <c r="G634" s="125">
        <f>Lista!F633</f>
        <v>0</v>
      </c>
      <c r="H634" s="125">
        <f>Lista!G633</f>
        <v>0</v>
      </c>
      <c r="I634" s="125">
        <f>Lista!H633</f>
        <v>0</v>
      </c>
      <c r="J634" s="125">
        <f>Lista!I633</f>
        <v>0</v>
      </c>
      <c r="K634" s="125">
        <f>Lista!J633</f>
        <v>0</v>
      </c>
      <c r="L634" s="125">
        <f>Lista!K633</f>
        <v>0</v>
      </c>
      <c r="M634" s="125">
        <f>Lista!L633</f>
        <v>0</v>
      </c>
      <c r="N634" s="125">
        <f>Lista!M633</f>
        <v>0</v>
      </c>
      <c r="O634" s="125">
        <f>Lista!N633</f>
        <v>0</v>
      </c>
      <c r="P634" s="125">
        <f>Lista!O633</f>
        <v>0</v>
      </c>
      <c r="Q634" s="125">
        <f>Lista!P633</f>
        <v>0</v>
      </c>
      <c r="R634" s="125">
        <f>Lista!Q633</f>
        <v>0</v>
      </c>
      <c r="S634" s="125">
        <f>Lista!R633</f>
        <v>0</v>
      </c>
      <c r="T634" s="81"/>
      <c r="U634" s="81"/>
      <c r="V634" s="81"/>
      <c r="W634" s="81"/>
      <c r="X634" s="81"/>
      <c r="Y634" s="81"/>
      <c r="Z634" s="81"/>
      <c r="AA634" s="81"/>
      <c r="AB634" s="81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  <c r="BS634" s="81"/>
      <c r="BT634" s="81"/>
      <c r="BU634" s="81"/>
      <c r="BV634" s="81"/>
      <c r="BW634" s="81"/>
      <c r="BX634" s="81"/>
      <c r="BY634" s="81"/>
      <c r="BZ634" s="81"/>
      <c r="CA634" s="81"/>
      <c r="CB634" s="81"/>
      <c r="CC634" s="81"/>
      <c r="CD634" s="81"/>
      <c r="CE634" s="81"/>
      <c r="CF634" s="81"/>
      <c r="CG634" s="81"/>
      <c r="CH634" s="81"/>
      <c r="CI634" s="81"/>
      <c r="CJ634" s="81"/>
      <c r="CK634" s="81"/>
      <c r="CL634" s="81"/>
      <c r="CM634" s="81"/>
      <c r="CN634" s="81"/>
      <c r="CO634" s="81"/>
      <c r="CP634" s="81"/>
      <c r="CQ634" s="81"/>
      <c r="CR634" s="81"/>
      <c r="CS634" s="81"/>
      <c r="CT634" s="81"/>
      <c r="CU634" s="81"/>
      <c r="CV634" s="81"/>
      <c r="CW634" s="81"/>
      <c r="CX634" s="81"/>
      <c r="CY634" s="81"/>
      <c r="CZ634" s="81"/>
      <c r="DA634" s="81"/>
      <c r="DB634" s="81"/>
      <c r="DC634" s="81"/>
      <c r="DD634" s="81"/>
      <c r="DE634" s="81"/>
      <c r="DF634" s="81"/>
      <c r="DG634" s="81"/>
      <c r="DH634" s="81"/>
      <c r="DI634" s="81"/>
      <c r="DJ634" s="81"/>
      <c r="DK634" s="81"/>
      <c r="DL634" s="81"/>
      <c r="DM634" s="81"/>
      <c r="DN634" s="81"/>
      <c r="DO634" s="81"/>
      <c r="DP634" s="81"/>
      <c r="DQ634" s="81"/>
      <c r="DR634" s="81"/>
      <c r="DS634" s="81"/>
      <c r="DT634" s="81"/>
      <c r="DU634" s="81"/>
      <c r="DV634" s="81"/>
      <c r="DW634" s="121"/>
    </row>
    <row r="635" spans="1:127" x14ac:dyDescent="0.25">
      <c r="A635" s="2">
        <f>COUNTIF($D$2:D635,'Reporte de Nomina'!$E$2)</f>
        <v>0</v>
      </c>
      <c r="B635" s="125">
        <f>Lista!A634</f>
        <v>0</v>
      </c>
      <c r="C635" s="125">
        <f>Lista!B634</f>
        <v>0</v>
      </c>
      <c r="D635" s="125">
        <f>Lista!C634</f>
        <v>0</v>
      </c>
      <c r="E635" s="125">
        <f>Lista!D634</f>
        <v>0</v>
      </c>
      <c r="F635" s="125">
        <f>Lista!E634</f>
        <v>0</v>
      </c>
      <c r="G635" s="125">
        <f>Lista!F634</f>
        <v>0</v>
      </c>
      <c r="H635" s="125">
        <f>Lista!G634</f>
        <v>0</v>
      </c>
      <c r="I635" s="125">
        <f>Lista!H634</f>
        <v>0</v>
      </c>
      <c r="J635" s="125">
        <f>Lista!I634</f>
        <v>0</v>
      </c>
      <c r="K635" s="125">
        <f>Lista!J634</f>
        <v>0</v>
      </c>
      <c r="L635" s="125">
        <f>Lista!K634</f>
        <v>0</v>
      </c>
      <c r="M635" s="125">
        <f>Lista!L634</f>
        <v>0</v>
      </c>
      <c r="N635" s="125">
        <f>Lista!M634</f>
        <v>0</v>
      </c>
      <c r="O635" s="125">
        <f>Lista!N634</f>
        <v>0</v>
      </c>
      <c r="P635" s="125">
        <f>Lista!O634</f>
        <v>0</v>
      </c>
      <c r="Q635" s="125">
        <f>Lista!P634</f>
        <v>0</v>
      </c>
      <c r="R635" s="125">
        <f>Lista!Q634</f>
        <v>0</v>
      </c>
      <c r="S635" s="125">
        <f>Lista!R634</f>
        <v>0</v>
      </c>
      <c r="T635" s="81"/>
      <c r="U635" s="81"/>
      <c r="V635" s="81"/>
      <c r="W635" s="81"/>
      <c r="X635" s="81"/>
      <c r="Y635" s="81"/>
      <c r="Z635" s="81"/>
      <c r="AA635" s="81"/>
      <c r="AB635" s="81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  <c r="BS635" s="81"/>
      <c r="BT635" s="81"/>
      <c r="BU635" s="81"/>
      <c r="BV635" s="81"/>
      <c r="BW635" s="81"/>
      <c r="BX635" s="81"/>
      <c r="BY635" s="81"/>
      <c r="BZ635" s="81"/>
      <c r="CA635" s="81"/>
      <c r="CB635" s="81"/>
      <c r="CC635" s="81"/>
      <c r="CD635" s="81"/>
      <c r="CE635" s="81"/>
      <c r="CF635" s="81"/>
      <c r="CG635" s="81"/>
      <c r="CH635" s="81"/>
      <c r="CI635" s="81"/>
      <c r="CJ635" s="81"/>
      <c r="CK635" s="81"/>
      <c r="CL635" s="81"/>
      <c r="CM635" s="81"/>
      <c r="CN635" s="81"/>
      <c r="CO635" s="81"/>
      <c r="CP635" s="81"/>
      <c r="CQ635" s="81"/>
      <c r="CR635" s="81"/>
      <c r="CS635" s="81"/>
      <c r="CT635" s="81"/>
      <c r="CU635" s="81"/>
      <c r="CV635" s="81"/>
      <c r="CW635" s="81"/>
      <c r="CX635" s="81"/>
      <c r="CY635" s="81"/>
      <c r="CZ635" s="81"/>
      <c r="DA635" s="81"/>
      <c r="DB635" s="81"/>
      <c r="DC635" s="81"/>
      <c r="DD635" s="81"/>
      <c r="DE635" s="81"/>
      <c r="DF635" s="81"/>
      <c r="DG635" s="81"/>
      <c r="DH635" s="81"/>
      <c r="DI635" s="81"/>
      <c r="DJ635" s="81"/>
      <c r="DK635" s="81"/>
      <c r="DL635" s="81"/>
      <c r="DM635" s="81"/>
      <c r="DN635" s="81"/>
      <c r="DO635" s="81"/>
      <c r="DP635" s="81"/>
      <c r="DQ635" s="81"/>
      <c r="DR635" s="81"/>
      <c r="DS635" s="81"/>
      <c r="DT635" s="81"/>
      <c r="DU635" s="81"/>
      <c r="DV635" s="81"/>
      <c r="DW635" s="121"/>
    </row>
    <row r="636" spans="1:127" x14ac:dyDescent="0.25">
      <c r="A636" s="2">
        <f>COUNTIF($D$2:D636,'Reporte de Nomina'!$E$2)</f>
        <v>0</v>
      </c>
      <c r="B636" s="125">
        <f>Lista!A635</f>
        <v>0</v>
      </c>
      <c r="C636" s="125">
        <f>Lista!B635</f>
        <v>0</v>
      </c>
      <c r="D636" s="125">
        <f>Lista!C635</f>
        <v>0</v>
      </c>
      <c r="E636" s="125">
        <f>Lista!D635</f>
        <v>0</v>
      </c>
      <c r="F636" s="125">
        <f>Lista!E635</f>
        <v>0</v>
      </c>
      <c r="G636" s="125">
        <f>Lista!F635</f>
        <v>0</v>
      </c>
      <c r="H636" s="125">
        <f>Lista!G635</f>
        <v>0</v>
      </c>
      <c r="I636" s="125">
        <f>Lista!H635</f>
        <v>0</v>
      </c>
      <c r="J636" s="125">
        <f>Lista!I635</f>
        <v>0</v>
      </c>
      <c r="K636" s="125">
        <f>Lista!J635</f>
        <v>0</v>
      </c>
      <c r="L636" s="125">
        <f>Lista!K635</f>
        <v>0</v>
      </c>
      <c r="M636" s="125">
        <f>Lista!L635</f>
        <v>0</v>
      </c>
      <c r="N636" s="125">
        <f>Lista!M635</f>
        <v>0</v>
      </c>
      <c r="O636" s="125">
        <f>Lista!N635</f>
        <v>0</v>
      </c>
      <c r="P636" s="125">
        <f>Lista!O635</f>
        <v>0</v>
      </c>
      <c r="Q636" s="125">
        <f>Lista!P635</f>
        <v>0</v>
      </c>
      <c r="R636" s="125">
        <f>Lista!Q635</f>
        <v>0</v>
      </c>
      <c r="S636" s="125">
        <f>Lista!R635</f>
        <v>0</v>
      </c>
      <c r="T636" s="81"/>
      <c r="U636" s="81"/>
      <c r="V636" s="81"/>
      <c r="W636" s="81"/>
      <c r="X636" s="81"/>
      <c r="Y636" s="81"/>
      <c r="Z636" s="81"/>
      <c r="AA636" s="81"/>
      <c r="AB636" s="81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  <c r="BS636" s="81"/>
      <c r="BT636" s="81"/>
      <c r="BU636" s="81"/>
      <c r="BV636" s="81"/>
      <c r="BW636" s="81"/>
      <c r="BX636" s="81"/>
      <c r="BY636" s="81"/>
      <c r="BZ636" s="81"/>
      <c r="CA636" s="81"/>
      <c r="CB636" s="81"/>
      <c r="CC636" s="81"/>
      <c r="CD636" s="81"/>
      <c r="CE636" s="81"/>
      <c r="CF636" s="81"/>
      <c r="CG636" s="81"/>
      <c r="CH636" s="81"/>
      <c r="CI636" s="81"/>
      <c r="CJ636" s="81"/>
      <c r="CK636" s="81"/>
      <c r="CL636" s="81"/>
      <c r="CM636" s="81"/>
      <c r="CN636" s="81"/>
      <c r="CO636" s="81"/>
      <c r="CP636" s="81"/>
      <c r="CQ636" s="81"/>
      <c r="CR636" s="81"/>
      <c r="CS636" s="81"/>
      <c r="CT636" s="81"/>
      <c r="CU636" s="81"/>
      <c r="CV636" s="81"/>
      <c r="CW636" s="81"/>
      <c r="CX636" s="81"/>
      <c r="CY636" s="81"/>
      <c r="CZ636" s="81"/>
      <c r="DA636" s="81"/>
      <c r="DB636" s="81"/>
      <c r="DC636" s="81"/>
      <c r="DD636" s="81"/>
      <c r="DE636" s="81"/>
      <c r="DF636" s="81"/>
      <c r="DG636" s="81"/>
      <c r="DH636" s="81"/>
      <c r="DI636" s="81"/>
      <c r="DJ636" s="81"/>
      <c r="DK636" s="81"/>
      <c r="DL636" s="81"/>
      <c r="DM636" s="81"/>
      <c r="DN636" s="81"/>
      <c r="DO636" s="81"/>
      <c r="DP636" s="81"/>
      <c r="DQ636" s="81"/>
      <c r="DR636" s="81"/>
      <c r="DS636" s="81"/>
      <c r="DT636" s="81"/>
      <c r="DU636" s="81"/>
      <c r="DV636" s="81"/>
      <c r="DW636" s="121"/>
    </row>
    <row r="637" spans="1:127" x14ac:dyDescent="0.25">
      <c r="A637" s="2">
        <f>COUNTIF($D$2:D637,'Reporte de Nomina'!$E$2)</f>
        <v>0</v>
      </c>
      <c r="B637" s="125">
        <f>Lista!A636</f>
        <v>0</v>
      </c>
      <c r="C637" s="125">
        <f>Lista!B636</f>
        <v>0</v>
      </c>
      <c r="D637" s="125">
        <f>Lista!C636</f>
        <v>0</v>
      </c>
      <c r="E637" s="125">
        <f>Lista!D636</f>
        <v>0</v>
      </c>
      <c r="F637" s="125">
        <f>Lista!E636</f>
        <v>0</v>
      </c>
      <c r="G637" s="125">
        <f>Lista!F636</f>
        <v>0</v>
      </c>
      <c r="H637" s="125">
        <f>Lista!G636</f>
        <v>0</v>
      </c>
      <c r="I637" s="125">
        <f>Lista!H636</f>
        <v>0</v>
      </c>
      <c r="J637" s="125">
        <f>Lista!I636</f>
        <v>0</v>
      </c>
      <c r="K637" s="125">
        <f>Lista!J636</f>
        <v>0</v>
      </c>
      <c r="L637" s="125">
        <f>Lista!K636</f>
        <v>0</v>
      </c>
      <c r="M637" s="125">
        <f>Lista!L636</f>
        <v>0</v>
      </c>
      <c r="N637" s="125">
        <f>Lista!M636</f>
        <v>0</v>
      </c>
      <c r="O637" s="125">
        <f>Lista!N636</f>
        <v>0</v>
      </c>
      <c r="P637" s="125">
        <f>Lista!O636</f>
        <v>0</v>
      </c>
      <c r="Q637" s="125">
        <f>Lista!P636</f>
        <v>0</v>
      </c>
      <c r="R637" s="125">
        <f>Lista!Q636</f>
        <v>0</v>
      </c>
      <c r="S637" s="125">
        <f>Lista!R636</f>
        <v>0</v>
      </c>
      <c r="T637" s="81"/>
      <c r="U637" s="81"/>
      <c r="V637" s="81"/>
      <c r="W637" s="81"/>
      <c r="X637" s="81"/>
      <c r="Y637" s="81"/>
      <c r="Z637" s="81"/>
      <c r="AA637" s="81"/>
      <c r="AB637" s="81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  <c r="BS637" s="81"/>
      <c r="BT637" s="81"/>
      <c r="BU637" s="81"/>
      <c r="BV637" s="81"/>
      <c r="BW637" s="81"/>
      <c r="BX637" s="81"/>
      <c r="BY637" s="81"/>
      <c r="BZ637" s="81"/>
      <c r="CA637" s="81"/>
      <c r="CB637" s="81"/>
      <c r="CC637" s="81"/>
      <c r="CD637" s="81"/>
      <c r="CE637" s="81"/>
      <c r="CF637" s="81"/>
      <c r="CG637" s="81"/>
      <c r="CH637" s="81"/>
      <c r="CI637" s="81"/>
      <c r="CJ637" s="81"/>
      <c r="CK637" s="81"/>
      <c r="CL637" s="81"/>
      <c r="CM637" s="81"/>
      <c r="CN637" s="81"/>
      <c r="CO637" s="81"/>
      <c r="CP637" s="81"/>
      <c r="CQ637" s="81"/>
      <c r="CR637" s="81"/>
      <c r="CS637" s="81"/>
      <c r="CT637" s="81"/>
      <c r="CU637" s="81"/>
      <c r="CV637" s="81"/>
      <c r="CW637" s="81"/>
      <c r="CX637" s="81"/>
      <c r="CY637" s="81"/>
      <c r="CZ637" s="81"/>
      <c r="DA637" s="81"/>
      <c r="DB637" s="81"/>
      <c r="DC637" s="81"/>
      <c r="DD637" s="81"/>
      <c r="DE637" s="81"/>
      <c r="DF637" s="81"/>
      <c r="DG637" s="81"/>
      <c r="DH637" s="81"/>
      <c r="DI637" s="81"/>
      <c r="DJ637" s="81"/>
      <c r="DK637" s="81"/>
      <c r="DL637" s="81"/>
      <c r="DM637" s="81"/>
      <c r="DN637" s="81"/>
      <c r="DO637" s="81"/>
      <c r="DP637" s="81"/>
      <c r="DQ637" s="81"/>
      <c r="DR637" s="81"/>
      <c r="DS637" s="81"/>
      <c r="DT637" s="81"/>
      <c r="DU637" s="81"/>
      <c r="DV637" s="81"/>
      <c r="DW637" s="121"/>
    </row>
    <row r="638" spans="1:127" x14ac:dyDescent="0.25">
      <c r="A638" s="2">
        <f>COUNTIF($D$2:D638,'Reporte de Nomina'!$E$2)</f>
        <v>0</v>
      </c>
      <c r="B638" s="125">
        <f>Lista!A637</f>
        <v>0</v>
      </c>
      <c r="C638" s="125">
        <f>Lista!B637</f>
        <v>0</v>
      </c>
      <c r="D638" s="125">
        <f>Lista!C637</f>
        <v>0</v>
      </c>
      <c r="E638" s="125">
        <f>Lista!D637</f>
        <v>0</v>
      </c>
      <c r="F638" s="125">
        <f>Lista!E637</f>
        <v>0</v>
      </c>
      <c r="G638" s="125">
        <f>Lista!F637</f>
        <v>0</v>
      </c>
      <c r="H638" s="125">
        <f>Lista!G637</f>
        <v>0</v>
      </c>
      <c r="I638" s="125">
        <f>Lista!H637</f>
        <v>0</v>
      </c>
      <c r="J638" s="125">
        <f>Lista!I637</f>
        <v>0</v>
      </c>
      <c r="K638" s="125">
        <f>Lista!J637</f>
        <v>0</v>
      </c>
      <c r="L638" s="125">
        <f>Lista!K637</f>
        <v>0</v>
      </c>
      <c r="M638" s="125">
        <f>Lista!L637</f>
        <v>0</v>
      </c>
      <c r="N638" s="125">
        <f>Lista!M637</f>
        <v>0</v>
      </c>
      <c r="O638" s="125">
        <f>Lista!N637</f>
        <v>0</v>
      </c>
      <c r="P638" s="125">
        <f>Lista!O637</f>
        <v>0</v>
      </c>
      <c r="Q638" s="125">
        <f>Lista!P637</f>
        <v>0</v>
      </c>
      <c r="R638" s="125">
        <f>Lista!Q637</f>
        <v>0</v>
      </c>
      <c r="S638" s="125">
        <f>Lista!R637</f>
        <v>0</v>
      </c>
      <c r="T638" s="81"/>
      <c r="U638" s="81"/>
      <c r="V638" s="81"/>
      <c r="W638" s="81"/>
      <c r="X638" s="81"/>
      <c r="Y638" s="81"/>
      <c r="Z638" s="81"/>
      <c r="AA638" s="81"/>
      <c r="AB638" s="81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  <c r="BS638" s="81"/>
      <c r="BT638" s="81"/>
      <c r="BU638" s="81"/>
      <c r="BV638" s="81"/>
      <c r="BW638" s="81"/>
      <c r="BX638" s="81"/>
      <c r="BY638" s="81"/>
      <c r="BZ638" s="81"/>
      <c r="CA638" s="81"/>
      <c r="CB638" s="81"/>
      <c r="CC638" s="81"/>
      <c r="CD638" s="81"/>
      <c r="CE638" s="81"/>
      <c r="CF638" s="81"/>
      <c r="CG638" s="81"/>
      <c r="CH638" s="81"/>
      <c r="CI638" s="81"/>
      <c r="CJ638" s="81"/>
      <c r="CK638" s="81"/>
      <c r="CL638" s="81"/>
      <c r="CM638" s="81"/>
      <c r="CN638" s="81"/>
      <c r="CO638" s="81"/>
      <c r="CP638" s="81"/>
      <c r="CQ638" s="81"/>
      <c r="CR638" s="81"/>
      <c r="CS638" s="81"/>
      <c r="CT638" s="81"/>
      <c r="CU638" s="81"/>
      <c r="CV638" s="81"/>
      <c r="CW638" s="81"/>
      <c r="CX638" s="81"/>
      <c r="CY638" s="81"/>
      <c r="CZ638" s="81"/>
      <c r="DA638" s="81"/>
      <c r="DB638" s="81"/>
      <c r="DC638" s="81"/>
      <c r="DD638" s="81"/>
      <c r="DE638" s="81"/>
      <c r="DF638" s="81"/>
      <c r="DG638" s="81"/>
      <c r="DH638" s="81"/>
      <c r="DI638" s="81"/>
      <c r="DJ638" s="81"/>
      <c r="DK638" s="81"/>
      <c r="DL638" s="81"/>
      <c r="DM638" s="81"/>
      <c r="DN638" s="81"/>
      <c r="DO638" s="81"/>
      <c r="DP638" s="81"/>
      <c r="DQ638" s="81"/>
      <c r="DR638" s="81"/>
      <c r="DS638" s="81"/>
      <c r="DT638" s="81"/>
      <c r="DU638" s="81"/>
      <c r="DV638" s="81"/>
      <c r="DW638" s="121"/>
    </row>
    <row r="639" spans="1:127" x14ac:dyDescent="0.25">
      <c r="A639" s="2">
        <f>COUNTIF($D$2:D639,'Reporte de Nomina'!$E$2)</f>
        <v>0</v>
      </c>
      <c r="B639" s="125">
        <f>Lista!A638</f>
        <v>0</v>
      </c>
      <c r="C639" s="125">
        <f>Lista!B638</f>
        <v>0</v>
      </c>
      <c r="D639" s="125">
        <f>Lista!C638</f>
        <v>0</v>
      </c>
      <c r="E639" s="125">
        <f>Lista!D638</f>
        <v>0</v>
      </c>
      <c r="F639" s="125">
        <f>Lista!E638</f>
        <v>0</v>
      </c>
      <c r="G639" s="125">
        <f>Lista!F638</f>
        <v>0</v>
      </c>
      <c r="H639" s="125">
        <f>Lista!G638</f>
        <v>0</v>
      </c>
      <c r="I639" s="125">
        <f>Lista!H638</f>
        <v>0</v>
      </c>
      <c r="J639" s="125">
        <f>Lista!I638</f>
        <v>0</v>
      </c>
      <c r="K639" s="125">
        <f>Lista!J638</f>
        <v>0</v>
      </c>
      <c r="L639" s="125">
        <f>Lista!K638</f>
        <v>0</v>
      </c>
      <c r="M639" s="125">
        <f>Lista!L638</f>
        <v>0</v>
      </c>
      <c r="N639" s="125">
        <f>Lista!M638</f>
        <v>0</v>
      </c>
      <c r="O639" s="125">
        <f>Lista!N638</f>
        <v>0</v>
      </c>
      <c r="P639" s="125">
        <f>Lista!O638</f>
        <v>0</v>
      </c>
      <c r="Q639" s="125">
        <f>Lista!P638</f>
        <v>0</v>
      </c>
      <c r="R639" s="125">
        <f>Lista!Q638</f>
        <v>0</v>
      </c>
      <c r="S639" s="125">
        <f>Lista!R638</f>
        <v>0</v>
      </c>
      <c r="T639" s="81"/>
      <c r="U639" s="81"/>
      <c r="V639" s="81"/>
      <c r="W639" s="81"/>
      <c r="X639" s="81"/>
      <c r="Y639" s="81"/>
      <c r="Z639" s="81"/>
      <c r="AA639" s="81"/>
      <c r="AB639" s="81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  <c r="BS639" s="81"/>
      <c r="BT639" s="81"/>
      <c r="BU639" s="81"/>
      <c r="BV639" s="81"/>
      <c r="BW639" s="81"/>
      <c r="BX639" s="81"/>
      <c r="BY639" s="81"/>
      <c r="BZ639" s="81"/>
      <c r="CA639" s="81"/>
      <c r="CB639" s="81"/>
      <c r="CC639" s="81"/>
      <c r="CD639" s="81"/>
      <c r="CE639" s="81"/>
      <c r="CF639" s="81"/>
      <c r="CG639" s="81"/>
      <c r="CH639" s="81"/>
      <c r="CI639" s="81"/>
      <c r="CJ639" s="81"/>
      <c r="CK639" s="81"/>
      <c r="CL639" s="81"/>
      <c r="CM639" s="81"/>
      <c r="CN639" s="81"/>
      <c r="CO639" s="81"/>
      <c r="CP639" s="81"/>
      <c r="CQ639" s="81"/>
      <c r="CR639" s="81"/>
      <c r="CS639" s="81"/>
      <c r="CT639" s="81"/>
      <c r="CU639" s="81"/>
      <c r="CV639" s="81"/>
      <c r="CW639" s="81"/>
      <c r="CX639" s="81"/>
      <c r="CY639" s="81"/>
      <c r="CZ639" s="81"/>
      <c r="DA639" s="81"/>
      <c r="DB639" s="81"/>
      <c r="DC639" s="81"/>
      <c r="DD639" s="81"/>
      <c r="DE639" s="81"/>
      <c r="DF639" s="81"/>
      <c r="DG639" s="81"/>
      <c r="DH639" s="81"/>
      <c r="DI639" s="81"/>
      <c r="DJ639" s="81"/>
      <c r="DK639" s="81"/>
      <c r="DL639" s="81"/>
      <c r="DM639" s="81"/>
      <c r="DN639" s="81"/>
      <c r="DO639" s="81"/>
      <c r="DP639" s="81"/>
      <c r="DQ639" s="81"/>
      <c r="DR639" s="81"/>
      <c r="DS639" s="81"/>
      <c r="DT639" s="81"/>
      <c r="DU639" s="81"/>
      <c r="DV639" s="81"/>
      <c r="DW639" s="121"/>
    </row>
    <row r="640" spans="1:127" x14ac:dyDescent="0.25">
      <c r="A640" s="2">
        <f>COUNTIF($D$2:D640,'Reporte de Nomina'!$E$2)</f>
        <v>0</v>
      </c>
      <c r="B640" s="125">
        <f>Lista!A639</f>
        <v>0</v>
      </c>
      <c r="C640" s="125">
        <f>Lista!B639</f>
        <v>0</v>
      </c>
      <c r="D640" s="125">
        <f>Lista!C639</f>
        <v>0</v>
      </c>
      <c r="E640" s="125">
        <f>Lista!D639</f>
        <v>0</v>
      </c>
      <c r="F640" s="125">
        <f>Lista!E639</f>
        <v>0</v>
      </c>
      <c r="G640" s="125">
        <f>Lista!F639</f>
        <v>0</v>
      </c>
      <c r="H640" s="125">
        <f>Lista!G639</f>
        <v>0</v>
      </c>
      <c r="I640" s="125">
        <f>Lista!H639</f>
        <v>0</v>
      </c>
      <c r="J640" s="125">
        <f>Lista!I639</f>
        <v>0</v>
      </c>
      <c r="K640" s="125">
        <f>Lista!J639</f>
        <v>0</v>
      </c>
      <c r="L640" s="125">
        <f>Lista!K639</f>
        <v>0</v>
      </c>
      <c r="M640" s="125">
        <f>Lista!L639</f>
        <v>0</v>
      </c>
      <c r="N640" s="125">
        <f>Lista!M639</f>
        <v>0</v>
      </c>
      <c r="O640" s="125">
        <f>Lista!N639</f>
        <v>0</v>
      </c>
      <c r="P640" s="125">
        <f>Lista!O639</f>
        <v>0</v>
      </c>
      <c r="Q640" s="125">
        <f>Lista!P639</f>
        <v>0</v>
      </c>
      <c r="R640" s="125">
        <f>Lista!Q639</f>
        <v>0</v>
      </c>
      <c r="S640" s="125">
        <f>Lista!R639</f>
        <v>0</v>
      </c>
      <c r="T640" s="81"/>
      <c r="U640" s="81"/>
      <c r="V640" s="81"/>
      <c r="W640" s="81"/>
      <c r="X640" s="81"/>
      <c r="Y640" s="81"/>
      <c r="Z640" s="81"/>
      <c r="AA640" s="81"/>
      <c r="AB640" s="81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  <c r="BS640" s="81"/>
      <c r="BT640" s="81"/>
      <c r="BU640" s="81"/>
      <c r="BV640" s="81"/>
      <c r="BW640" s="81"/>
      <c r="BX640" s="81"/>
      <c r="BY640" s="81"/>
      <c r="BZ640" s="81"/>
      <c r="CA640" s="81"/>
      <c r="CB640" s="81"/>
      <c r="CC640" s="81"/>
      <c r="CD640" s="81"/>
      <c r="CE640" s="81"/>
      <c r="CF640" s="81"/>
      <c r="CG640" s="81"/>
      <c r="CH640" s="81"/>
      <c r="CI640" s="81"/>
      <c r="CJ640" s="81"/>
      <c r="CK640" s="81"/>
      <c r="CL640" s="81"/>
      <c r="CM640" s="81"/>
      <c r="CN640" s="81"/>
      <c r="CO640" s="81"/>
      <c r="CP640" s="81"/>
      <c r="CQ640" s="81"/>
      <c r="CR640" s="81"/>
      <c r="CS640" s="81"/>
      <c r="CT640" s="81"/>
      <c r="CU640" s="81"/>
      <c r="CV640" s="81"/>
      <c r="CW640" s="81"/>
      <c r="CX640" s="81"/>
      <c r="CY640" s="81"/>
      <c r="CZ640" s="81"/>
      <c r="DA640" s="81"/>
      <c r="DB640" s="81"/>
      <c r="DC640" s="81"/>
      <c r="DD640" s="81"/>
      <c r="DE640" s="81"/>
      <c r="DF640" s="81"/>
      <c r="DG640" s="81"/>
      <c r="DH640" s="81"/>
      <c r="DI640" s="81"/>
      <c r="DJ640" s="81"/>
      <c r="DK640" s="81"/>
      <c r="DL640" s="81"/>
      <c r="DM640" s="81"/>
      <c r="DN640" s="81"/>
      <c r="DO640" s="81"/>
      <c r="DP640" s="81"/>
      <c r="DQ640" s="81"/>
      <c r="DR640" s="81"/>
      <c r="DS640" s="81"/>
      <c r="DT640" s="81"/>
      <c r="DU640" s="81"/>
      <c r="DV640" s="81"/>
      <c r="DW640" s="121"/>
    </row>
    <row r="641" spans="1:127" x14ac:dyDescent="0.25">
      <c r="A641" s="2">
        <f>COUNTIF($D$2:D641,'Reporte de Nomina'!$E$2)</f>
        <v>0</v>
      </c>
      <c r="B641" s="125">
        <f>Lista!A640</f>
        <v>0</v>
      </c>
      <c r="C641" s="125">
        <f>Lista!B640</f>
        <v>0</v>
      </c>
      <c r="D641" s="125">
        <f>Lista!C640</f>
        <v>0</v>
      </c>
      <c r="E641" s="125">
        <f>Lista!D640</f>
        <v>0</v>
      </c>
      <c r="F641" s="125">
        <f>Lista!E640</f>
        <v>0</v>
      </c>
      <c r="G641" s="125">
        <f>Lista!F640</f>
        <v>0</v>
      </c>
      <c r="H641" s="125">
        <f>Lista!G640</f>
        <v>0</v>
      </c>
      <c r="I641" s="125">
        <f>Lista!H640</f>
        <v>0</v>
      </c>
      <c r="J641" s="125">
        <f>Lista!I640</f>
        <v>0</v>
      </c>
      <c r="K641" s="125">
        <f>Lista!J640</f>
        <v>0</v>
      </c>
      <c r="L641" s="125">
        <f>Lista!K640</f>
        <v>0</v>
      </c>
      <c r="M641" s="125">
        <f>Lista!L640</f>
        <v>0</v>
      </c>
      <c r="N641" s="125">
        <f>Lista!M640</f>
        <v>0</v>
      </c>
      <c r="O641" s="125">
        <f>Lista!N640</f>
        <v>0</v>
      </c>
      <c r="P641" s="125">
        <f>Lista!O640</f>
        <v>0</v>
      </c>
      <c r="Q641" s="125">
        <f>Lista!P640</f>
        <v>0</v>
      </c>
      <c r="R641" s="125">
        <f>Lista!Q640</f>
        <v>0</v>
      </c>
      <c r="S641" s="125">
        <f>Lista!R640</f>
        <v>0</v>
      </c>
      <c r="T641" s="81"/>
      <c r="U641" s="81"/>
      <c r="V641" s="81"/>
      <c r="W641" s="81"/>
      <c r="X641" s="81"/>
      <c r="Y641" s="81"/>
      <c r="Z641" s="81"/>
      <c r="AA641" s="81"/>
      <c r="AB641" s="81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  <c r="BS641" s="81"/>
      <c r="BT641" s="81"/>
      <c r="BU641" s="81"/>
      <c r="BV641" s="81"/>
      <c r="BW641" s="81"/>
      <c r="BX641" s="81"/>
      <c r="BY641" s="81"/>
      <c r="BZ641" s="81"/>
      <c r="CA641" s="81"/>
      <c r="CB641" s="81"/>
      <c r="CC641" s="81"/>
      <c r="CD641" s="81"/>
      <c r="CE641" s="81"/>
      <c r="CF641" s="81"/>
      <c r="CG641" s="81"/>
      <c r="CH641" s="81"/>
      <c r="CI641" s="81"/>
      <c r="CJ641" s="81"/>
      <c r="CK641" s="81"/>
      <c r="CL641" s="81"/>
      <c r="CM641" s="81"/>
      <c r="CN641" s="81"/>
      <c r="CO641" s="81"/>
      <c r="CP641" s="81"/>
      <c r="CQ641" s="81"/>
      <c r="CR641" s="81"/>
      <c r="CS641" s="81"/>
      <c r="CT641" s="81"/>
      <c r="CU641" s="81"/>
      <c r="CV641" s="81"/>
      <c r="CW641" s="81"/>
      <c r="CX641" s="81"/>
      <c r="CY641" s="81"/>
      <c r="CZ641" s="81"/>
      <c r="DA641" s="81"/>
      <c r="DB641" s="81"/>
      <c r="DC641" s="81"/>
      <c r="DD641" s="81"/>
      <c r="DE641" s="81"/>
      <c r="DF641" s="81"/>
      <c r="DG641" s="81"/>
      <c r="DH641" s="81"/>
      <c r="DI641" s="81"/>
      <c r="DJ641" s="81"/>
      <c r="DK641" s="81"/>
      <c r="DL641" s="81"/>
      <c r="DM641" s="81"/>
      <c r="DN641" s="81"/>
      <c r="DO641" s="81"/>
      <c r="DP641" s="81"/>
      <c r="DQ641" s="81"/>
      <c r="DR641" s="81"/>
      <c r="DS641" s="81"/>
      <c r="DT641" s="81"/>
      <c r="DU641" s="81"/>
      <c r="DV641" s="81"/>
      <c r="DW641" s="121"/>
    </row>
    <row r="642" spans="1:127" x14ac:dyDescent="0.25">
      <c r="A642" s="2">
        <f>COUNTIF($D$2:D642,'Reporte de Nomina'!$E$2)</f>
        <v>0</v>
      </c>
      <c r="B642" s="125">
        <f>Lista!A641</f>
        <v>0</v>
      </c>
      <c r="C642" s="125">
        <f>Lista!B641</f>
        <v>0</v>
      </c>
      <c r="D642" s="125">
        <f>Lista!C641</f>
        <v>0</v>
      </c>
      <c r="E642" s="125">
        <f>Lista!D641</f>
        <v>0</v>
      </c>
      <c r="F642" s="125">
        <f>Lista!E641</f>
        <v>0</v>
      </c>
      <c r="G642" s="125">
        <f>Lista!F641</f>
        <v>0</v>
      </c>
      <c r="H642" s="125">
        <f>Lista!G641</f>
        <v>0</v>
      </c>
      <c r="I642" s="125">
        <f>Lista!H641</f>
        <v>0</v>
      </c>
      <c r="J642" s="125">
        <f>Lista!I641</f>
        <v>0</v>
      </c>
      <c r="K642" s="125">
        <f>Lista!J641</f>
        <v>0</v>
      </c>
      <c r="L642" s="125">
        <f>Lista!K641</f>
        <v>0</v>
      </c>
      <c r="M642" s="125">
        <f>Lista!L641</f>
        <v>0</v>
      </c>
      <c r="N642" s="125">
        <f>Lista!M641</f>
        <v>0</v>
      </c>
      <c r="O642" s="125">
        <f>Lista!N641</f>
        <v>0</v>
      </c>
      <c r="P642" s="125">
        <f>Lista!O641</f>
        <v>0</v>
      </c>
      <c r="Q642" s="125">
        <f>Lista!P641</f>
        <v>0</v>
      </c>
      <c r="R642" s="125">
        <f>Lista!Q641</f>
        <v>0</v>
      </c>
      <c r="S642" s="125">
        <f>Lista!R641</f>
        <v>0</v>
      </c>
      <c r="T642" s="81"/>
      <c r="U642" s="81"/>
      <c r="V642" s="81"/>
      <c r="W642" s="81"/>
      <c r="X642" s="81"/>
      <c r="Y642" s="81"/>
      <c r="Z642" s="81"/>
      <c r="AA642" s="81"/>
      <c r="AB642" s="81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  <c r="BS642" s="81"/>
      <c r="BT642" s="81"/>
      <c r="BU642" s="81"/>
      <c r="BV642" s="81"/>
      <c r="BW642" s="81"/>
      <c r="BX642" s="81"/>
      <c r="BY642" s="81"/>
      <c r="BZ642" s="81"/>
      <c r="CA642" s="81"/>
      <c r="CB642" s="81"/>
      <c r="CC642" s="81"/>
      <c r="CD642" s="81"/>
      <c r="CE642" s="81"/>
      <c r="CF642" s="81"/>
      <c r="CG642" s="81"/>
      <c r="CH642" s="81"/>
      <c r="CI642" s="81"/>
      <c r="CJ642" s="81"/>
      <c r="CK642" s="81"/>
      <c r="CL642" s="81"/>
      <c r="CM642" s="81"/>
      <c r="CN642" s="81"/>
      <c r="CO642" s="81"/>
      <c r="CP642" s="81"/>
      <c r="CQ642" s="81"/>
      <c r="CR642" s="81"/>
      <c r="CS642" s="81"/>
      <c r="CT642" s="81"/>
      <c r="CU642" s="81"/>
      <c r="CV642" s="81"/>
      <c r="CW642" s="81"/>
      <c r="CX642" s="81"/>
      <c r="CY642" s="81"/>
      <c r="CZ642" s="81"/>
      <c r="DA642" s="81"/>
      <c r="DB642" s="81"/>
      <c r="DC642" s="81"/>
      <c r="DD642" s="81"/>
      <c r="DE642" s="81"/>
      <c r="DF642" s="81"/>
      <c r="DG642" s="81"/>
      <c r="DH642" s="81"/>
      <c r="DI642" s="81"/>
      <c r="DJ642" s="81"/>
      <c r="DK642" s="81"/>
      <c r="DL642" s="81"/>
      <c r="DM642" s="81"/>
      <c r="DN642" s="81"/>
      <c r="DO642" s="81"/>
      <c r="DP642" s="81"/>
      <c r="DQ642" s="81"/>
      <c r="DR642" s="81"/>
      <c r="DS642" s="81"/>
      <c r="DT642" s="81"/>
      <c r="DU642" s="81"/>
      <c r="DV642" s="81"/>
      <c r="DW642" s="121"/>
    </row>
    <row r="643" spans="1:127" x14ac:dyDescent="0.25">
      <c r="A643" s="2">
        <f>COUNTIF($D$2:D643,'Reporte de Nomina'!$E$2)</f>
        <v>0</v>
      </c>
      <c r="B643" s="125">
        <f>Lista!A642</f>
        <v>0</v>
      </c>
      <c r="C643" s="125">
        <f>Lista!B642</f>
        <v>0</v>
      </c>
      <c r="D643" s="125">
        <f>Lista!C642</f>
        <v>0</v>
      </c>
      <c r="E643" s="125">
        <f>Lista!D642</f>
        <v>0</v>
      </c>
      <c r="F643" s="125">
        <f>Lista!E642</f>
        <v>0</v>
      </c>
      <c r="G643" s="125">
        <f>Lista!F642</f>
        <v>0</v>
      </c>
      <c r="H643" s="125">
        <f>Lista!G642</f>
        <v>0</v>
      </c>
      <c r="I643" s="125">
        <f>Lista!H642</f>
        <v>0</v>
      </c>
      <c r="J643" s="125">
        <f>Lista!I642</f>
        <v>0</v>
      </c>
      <c r="K643" s="125">
        <f>Lista!J642</f>
        <v>0</v>
      </c>
      <c r="L643" s="125">
        <f>Lista!K642</f>
        <v>0</v>
      </c>
      <c r="M643" s="125">
        <f>Lista!L642</f>
        <v>0</v>
      </c>
      <c r="N643" s="125">
        <f>Lista!M642</f>
        <v>0</v>
      </c>
      <c r="O643" s="125">
        <f>Lista!N642</f>
        <v>0</v>
      </c>
      <c r="P643" s="125">
        <f>Lista!O642</f>
        <v>0</v>
      </c>
      <c r="Q643" s="125">
        <f>Lista!P642</f>
        <v>0</v>
      </c>
      <c r="R643" s="125">
        <f>Lista!Q642</f>
        <v>0</v>
      </c>
      <c r="S643" s="125">
        <f>Lista!R642</f>
        <v>0</v>
      </c>
      <c r="T643" s="81"/>
      <c r="U643" s="81"/>
      <c r="V643" s="81"/>
      <c r="W643" s="81"/>
      <c r="X643" s="81"/>
      <c r="Y643" s="81"/>
      <c r="Z643" s="81"/>
      <c r="AA643" s="81"/>
      <c r="AB643" s="81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  <c r="BS643" s="81"/>
      <c r="BT643" s="81"/>
      <c r="BU643" s="81"/>
      <c r="BV643" s="81"/>
      <c r="BW643" s="81"/>
      <c r="BX643" s="81"/>
      <c r="BY643" s="81"/>
      <c r="BZ643" s="81"/>
      <c r="CA643" s="81"/>
      <c r="CB643" s="81"/>
      <c r="CC643" s="81"/>
      <c r="CD643" s="81"/>
      <c r="CE643" s="81"/>
      <c r="CF643" s="81"/>
      <c r="CG643" s="81"/>
      <c r="CH643" s="81"/>
      <c r="CI643" s="81"/>
      <c r="CJ643" s="81"/>
      <c r="CK643" s="81"/>
      <c r="CL643" s="81"/>
      <c r="CM643" s="81"/>
      <c r="CN643" s="81"/>
      <c r="CO643" s="81"/>
      <c r="CP643" s="81"/>
      <c r="CQ643" s="81"/>
      <c r="CR643" s="81"/>
      <c r="CS643" s="81"/>
      <c r="CT643" s="81"/>
      <c r="CU643" s="81"/>
      <c r="CV643" s="81"/>
      <c r="CW643" s="81"/>
      <c r="CX643" s="81"/>
      <c r="CY643" s="81"/>
      <c r="CZ643" s="81"/>
      <c r="DA643" s="81"/>
      <c r="DB643" s="81"/>
      <c r="DC643" s="81"/>
      <c r="DD643" s="81"/>
      <c r="DE643" s="81"/>
      <c r="DF643" s="81"/>
      <c r="DG643" s="81"/>
      <c r="DH643" s="81"/>
      <c r="DI643" s="81"/>
      <c r="DJ643" s="81"/>
      <c r="DK643" s="81"/>
      <c r="DL643" s="81"/>
      <c r="DM643" s="81"/>
      <c r="DN643" s="81"/>
      <c r="DO643" s="81"/>
      <c r="DP643" s="81"/>
      <c r="DQ643" s="81"/>
      <c r="DR643" s="81"/>
      <c r="DS643" s="81"/>
      <c r="DT643" s="81"/>
      <c r="DU643" s="81"/>
      <c r="DV643" s="81"/>
      <c r="DW643" s="121"/>
    </row>
    <row r="644" spans="1:127" x14ac:dyDescent="0.25">
      <c r="A644" s="2">
        <f>COUNTIF($D$2:D644,'Reporte de Nomina'!$E$2)</f>
        <v>0</v>
      </c>
      <c r="B644" s="125">
        <f>Lista!A643</f>
        <v>0</v>
      </c>
      <c r="C644" s="125">
        <f>Lista!B643</f>
        <v>0</v>
      </c>
      <c r="D644" s="125">
        <f>Lista!C643</f>
        <v>0</v>
      </c>
      <c r="E644" s="125">
        <f>Lista!D643</f>
        <v>0</v>
      </c>
      <c r="F644" s="125">
        <f>Lista!E643</f>
        <v>0</v>
      </c>
      <c r="G644" s="125">
        <f>Lista!F643</f>
        <v>0</v>
      </c>
      <c r="H644" s="125">
        <f>Lista!G643</f>
        <v>0</v>
      </c>
      <c r="I644" s="125">
        <f>Lista!H643</f>
        <v>0</v>
      </c>
      <c r="J644" s="125">
        <f>Lista!I643</f>
        <v>0</v>
      </c>
      <c r="K644" s="125">
        <f>Lista!J643</f>
        <v>0</v>
      </c>
      <c r="L644" s="125">
        <f>Lista!K643</f>
        <v>0</v>
      </c>
      <c r="M644" s="125">
        <f>Lista!L643</f>
        <v>0</v>
      </c>
      <c r="N644" s="125">
        <f>Lista!M643</f>
        <v>0</v>
      </c>
      <c r="O644" s="125">
        <f>Lista!N643</f>
        <v>0</v>
      </c>
      <c r="P644" s="125">
        <f>Lista!O643</f>
        <v>0</v>
      </c>
      <c r="Q644" s="125">
        <f>Lista!P643</f>
        <v>0</v>
      </c>
      <c r="R644" s="125">
        <f>Lista!Q643</f>
        <v>0</v>
      </c>
      <c r="S644" s="125">
        <f>Lista!R643</f>
        <v>0</v>
      </c>
      <c r="T644" s="81"/>
      <c r="U644" s="81"/>
      <c r="V644" s="81"/>
      <c r="W644" s="81"/>
      <c r="X644" s="81"/>
      <c r="Y644" s="81"/>
      <c r="Z644" s="81"/>
      <c r="AA644" s="81"/>
      <c r="AB644" s="81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  <c r="BS644" s="81"/>
      <c r="BT644" s="81"/>
      <c r="BU644" s="81"/>
      <c r="BV644" s="81"/>
      <c r="BW644" s="81"/>
      <c r="BX644" s="81"/>
      <c r="BY644" s="81"/>
      <c r="BZ644" s="81"/>
      <c r="CA644" s="81"/>
      <c r="CB644" s="81"/>
      <c r="CC644" s="81"/>
      <c r="CD644" s="81"/>
      <c r="CE644" s="81"/>
      <c r="CF644" s="81"/>
      <c r="CG644" s="81"/>
      <c r="CH644" s="81"/>
      <c r="CI644" s="81"/>
      <c r="CJ644" s="81"/>
      <c r="CK644" s="81"/>
      <c r="CL644" s="81"/>
      <c r="CM644" s="81"/>
      <c r="CN644" s="81"/>
      <c r="CO644" s="81"/>
      <c r="CP644" s="81"/>
      <c r="CQ644" s="81"/>
      <c r="CR644" s="81"/>
      <c r="CS644" s="81"/>
      <c r="CT644" s="81"/>
      <c r="CU644" s="81"/>
      <c r="CV644" s="81"/>
      <c r="CW644" s="81"/>
      <c r="CX644" s="81"/>
      <c r="CY644" s="81"/>
      <c r="CZ644" s="81"/>
      <c r="DA644" s="81"/>
      <c r="DB644" s="81"/>
      <c r="DC644" s="81"/>
      <c r="DD644" s="81"/>
      <c r="DE644" s="81"/>
      <c r="DF644" s="81"/>
      <c r="DG644" s="81"/>
      <c r="DH644" s="81"/>
      <c r="DI644" s="81"/>
      <c r="DJ644" s="81"/>
      <c r="DK644" s="81"/>
      <c r="DL644" s="81"/>
      <c r="DM644" s="81"/>
      <c r="DN644" s="81"/>
      <c r="DO644" s="81"/>
      <c r="DP644" s="81"/>
      <c r="DQ644" s="81"/>
      <c r="DR644" s="81"/>
      <c r="DS644" s="81"/>
      <c r="DT644" s="81"/>
      <c r="DU644" s="81"/>
      <c r="DV644" s="81"/>
      <c r="DW644" s="121"/>
    </row>
    <row r="645" spans="1:127" x14ac:dyDescent="0.25">
      <c r="A645" s="2">
        <f>COUNTIF($D$2:D645,'Reporte de Nomina'!$E$2)</f>
        <v>0</v>
      </c>
      <c r="B645" s="125">
        <f>Lista!A644</f>
        <v>0</v>
      </c>
      <c r="C645" s="125">
        <f>Lista!B644</f>
        <v>0</v>
      </c>
      <c r="D645" s="125">
        <f>Lista!C644</f>
        <v>0</v>
      </c>
      <c r="E645" s="125">
        <f>Lista!D644</f>
        <v>0</v>
      </c>
      <c r="F645" s="125">
        <f>Lista!E644</f>
        <v>0</v>
      </c>
      <c r="G645" s="125">
        <f>Lista!F644</f>
        <v>0</v>
      </c>
      <c r="H645" s="125">
        <f>Lista!G644</f>
        <v>0</v>
      </c>
      <c r="I645" s="125">
        <f>Lista!H644</f>
        <v>0</v>
      </c>
      <c r="J645" s="125">
        <f>Lista!I644</f>
        <v>0</v>
      </c>
      <c r="K645" s="125">
        <f>Lista!J644</f>
        <v>0</v>
      </c>
      <c r="L645" s="125">
        <f>Lista!K644</f>
        <v>0</v>
      </c>
      <c r="M645" s="125">
        <f>Lista!L644</f>
        <v>0</v>
      </c>
      <c r="N645" s="125">
        <f>Lista!M644</f>
        <v>0</v>
      </c>
      <c r="O645" s="125">
        <f>Lista!N644</f>
        <v>0</v>
      </c>
      <c r="P645" s="125">
        <f>Lista!O644</f>
        <v>0</v>
      </c>
      <c r="Q645" s="125">
        <f>Lista!P644</f>
        <v>0</v>
      </c>
      <c r="R645" s="125">
        <f>Lista!Q644</f>
        <v>0</v>
      </c>
      <c r="S645" s="125">
        <f>Lista!R644</f>
        <v>0</v>
      </c>
      <c r="T645" s="81"/>
      <c r="U645" s="81"/>
      <c r="V645" s="81"/>
      <c r="W645" s="81"/>
      <c r="X645" s="81"/>
      <c r="Y645" s="81"/>
      <c r="Z645" s="81"/>
      <c r="AA645" s="81"/>
      <c r="AB645" s="81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  <c r="BS645" s="81"/>
      <c r="BT645" s="81"/>
      <c r="BU645" s="81"/>
      <c r="BV645" s="81"/>
      <c r="BW645" s="81"/>
      <c r="BX645" s="81"/>
      <c r="BY645" s="81"/>
      <c r="BZ645" s="81"/>
      <c r="CA645" s="81"/>
      <c r="CB645" s="81"/>
      <c r="CC645" s="81"/>
      <c r="CD645" s="81"/>
      <c r="CE645" s="81"/>
      <c r="CF645" s="81"/>
      <c r="CG645" s="81"/>
      <c r="CH645" s="81"/>
      <c r="CI645" s="81"/>
      <c r="CJ645" s="81"/>
      <c r="CK645" s="81"/>
      <c r="CL645" s="81"/>
      <c r="CM645" s="81"/>
      <c r="CN645" s="81"/>
      <c r="CO645" s="81"/>
      <c r="CP645" s="81"/>
      <c r="CQ645" s="81"/>
      <c r="CR645" s="81"/>
      <c r="CS645" s="81"/>
      <c r="CT645" s="81"/>
      <c r="CU645" s="81"/>
      <c r="CV645" s="81"/>
      <c r="CW645" s="81"/>
      <c r="CX645" s="81"/>
      <c r="CY645" s="81"/>
      <c r="CZ645" s="81"/>
      <c r="DA645" s="81"/>
      <c r="DB645" s="81"/>
      <c r="DC645" s="81"/>
      <c r="DD645" s="81"/>
      <c r="DE645" s="81"/>
      <c r="DF645" s="81"/>
      <c r="DG645" s="81"/>
      <c r="DH645" s="81"/>
      <c r="DI645" s="81"/>
      <c r="DJ645" s="81"/>
      <c r="DK645" s="81"/>
      <c r="DL645" s="81"/>
      <c r="DM645" s="81"/>
      <c r="DN645" s="81"/>
      <c r="DO645" s="81"/>
      <c r="DP645" s="81"/>
      <c r="DQ645" s="81"/>
      <c r="DR645" s="81"/>
      <c r="DS645" s="81"/>
      <c r="DT645" s="81"/>
      <c r="DU645" s="81"/>
      <c r="DV645" s="81"/>
      <c r="DW645" s="121"/>
    </row>
    <row r="646" spans="1:127" x14ac:dyDescent="0.25">
      <c r="A646" s="2">
        <f>COUNTIF($D$2:D646,'Reporte de Nomina'!$E$2)</f>
        <v>0</v>
      </c>
      <c r="B646" s="125">
        <f>Lista!A645</f>
        <v>0</v>
      </c>
      <c r="C646" s="125">
        <f>Lista!B645</f>
        <v>0</v>
      </c>
      <c r="D646" s="125">
        <f>Lista!C645</f>
        <v>0</v>
      </c>
      <c r="E646" s="125">
        <f>Lista!D645</f>
        <v>0</v>
      </c>
      <c r="F646" s="125">
        <f>Lista!E645</f>
        <v>0</v>
      </c>
      <c r="G646" s="125">
        <f>Lista!F645</f>
        <v>0</v>
      </c>
      <c r="H646" s="125">
        <f>Lista!G645</f>
        <v>0</v>
      </c>
      <c r="I646" s="125">
        <f>Lista!H645</f>
        <v>0</v>
      </c>
      <c r="J646" s="125">
        <f>Lista!I645</f>
        <v>0</v>
      </c>
      <c r="K646" s="125">
        <f>Lista!J645</f>
        <v>0</v>
      </c>
      <c r="L646" s="125">
        <f>Lista!K645</f>
        <v>0</v>
      </c>
      <c r="M646" s="125">
        <f>Lista!L645</f>
        <v>0</v>
      </c>
      <c r="N646" s="125">
        <f>Lista!M645</f>
        <v>0</v>
      </c>
      <c r="O646" s="125">
        <f>Lista!N645</f>
        <v>0</v>
      </c>
      <c r="P646" s="125">
        <f>Lista!O645</f>
        <v>0</v>
      </c>
      <c r="Q646" s="125">
        <f>Lista!P645</f>
        <v>0</v>
      </c>
      <c r="R646" s="125">
        <f>Lista!Q645</f>
        <v>0</v>
      </c>
      <c r="S646" s="125">
        <f>Lista!R645</f>
        <v>0</v>
      </c>
      <c r="T646" s="81"/>
      <c r="U646" s="81"/>
      <c r="V646" s="81"/>
      <c r="W646" s="81"/>
      <c r="X646" s="81"/>
      <c r="Y646" s="81"/>
      <c r="Z646" s="81"/>
      <c r="AA646" s="81"/>
      <c r="AB646" s="81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  <c r="BS646" s="81"/>
      <c r="BT646" s="81"/>
      <c r="BU646" s="81"/>
      <c r="BV646" s="81"/>
      <c r="BW646" s="81"/>
      <c r="BX646" s="81"/>
      <c r="BY646" s="81"/>
      <c r="BZ646" s="81"/>
      <c r="CA646" s="81"/>
      <c r="CB646" s="81"/>
      <c r="CC646" s="81"/>
      <c r="CD646" s="81"/>
      <c r="CE646" s="81"/>
      <c r="CF646" s="81"/>
      <c r="CG646" s="81"/>
      <c r="CH646" s="81"/>
      <c r="CI646" s="81"/>
      <c r="CJ646" s="81"/>
      <c r="CK646" s="81"/>
      <c r="CL646" s="81"/>
      <c r="CM646" s="81"/>
      <c r="CN646" s="81"/>
      <c r="CO646" s="81"/>
      <c r="CP646" s="81"/>
      <c r="CQ646" s="81"/>
      <c r="CR646" s="81"/>
      <c r="CS646" s="81"/>
      <c r="CT646" s="81"/>
      <c r="CU646" s="81"/>
      <c r="CV646" s="81"/>
      <c r="CW646" s="81"/>
      <c r="CX646" s="81"/>
      <c r="CY646" s="81"/>
      <c r="CZ646" s="81"/>
      <c r="DA646" s="81"/>
      <c r="DB646" s="81"/>
      <c r="DC646" s="81"/>
      <c r="DD646" s="81"/>
      <c r="DE646" s="81"/>
      <c r="DF646" s="81"/>
      <c r="DG646" s="81"/>
      <c r="DH646" s="81"/>
      <c r="DI646" s="81"/>
      <c r="DJ646" s="81"/>
      <c r="DK646" s="81"/>
      <c r="DL646" s="81"/>
      <c r="DM646" s="81"/>
      <c r="DN646" s="81"/>
      <c r="DO646" s="81"/>
      <c r="DP646" s="81"/>
      <c r="DQ646" s="81"/>
      <c r="DR646" s="81"/>
      <c r="DS646" s="81"/>
      <c r="DT646" s="81"/>
      <c r="DU646" s="81"/>
      <c r="DV646" s="81"/>
      <c r="DW646" s="121"/>
    </row>
    <row r="647" spans="1:127" x14ac:dyDescent="0.25">
      <c r="A647" s="2">
        <f>COUNTIF($D$2:D647,'Reporte de Nomina'!$E$2)</f>
        <v>0</v>
      </c>
      <c r="B647" s="125">
        <f>Lista!A646</f>
        <v>0</v>
      </c>
      <c r="C647" s="125">
        <f>Lista!B646</f>
        <v>0</v>
      </c>
      <c r="D647" s="125">
        <f>Lista!C646</f>
        <v>0</v>
      </c>
      <c r="E647" s="125">
        <f>Lista!D646</f>
        <v>0</v>
      </c>
      <c r="F647" s="125">
        <f>Lista!E646</f>
        <v>0</v>
      </c>
      <c r="G647" s="125">
        <f>Lista!F646</f>
        <v>0</v>
      </c>
      <c r="H647" s="125">
        <f>Lista!G646</f>
        <v>0</v>
      </c>
      <c r="I647" s="125">
        <f>Lista!H646</f>
        <v>0</v>
      </c>
      <c r="J647" s="125">
        <f>Lista!I646</f>
        <v>0</v>
      </c>
      <c r="K647" s="125">
        <f>Lista!J646</f>
        <v>0</v>
      </c>
      <c r="L647" s="125">
        <f>Lista!K646</f>
        <v>0</v>
      </c>
      <c r="M647" s="125">
        <f>Lista!L646</f>
        <v>0</v>
      </c>
      <c r="N647" s="125">
        <f>Lista!M646</f>
        <v>0</v>
      </c>
      <c r="O647" s="125">
        <f>Lista!N646</f>
        <v>0</v>
      </c>
      <c r="P647" s="125">
        <f>Lista!O646</f>
        <v>0</v>
      </c>
      <c r="Q647" s="125">
        <f>Lista!P646</f>
        <v>0</v>
      </c>
      <c r="R647" s="125">
        <f>Lista!Q646</f>
        <v>0</v>
      </c>
      <c r="S647" s="125">
        <f>Lista!R646</f>
        <v>0</v>
      </c>
      <c r="T647" s="81"/>
      <c r="U647" s="81"/>
      <c r="V647" s="81"/>
      <c r="W647" s="81"/>
      <c r="X647" s="81"/>
      <c r="Y647" s="81"/>
      <c r="Z647" s="81"/>
      <c r="AA647" s="81"/>
      <c r="AB647" s="81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  <c r="BS647" s="81"/>
      <c r="BT647" s="81"/>
      <c r="BU647" s="81"/>
      <c r="BV647" s="81"/>
      <c r="BW647" s="81"/>
      <c r="BX647" s="81"/>
      <c r="BY647" s="81"/>
      <c r="BZ647" s="81"/>
      <c r="CA647" s="81"/>
      <c r="CB647" s="81"/>
      <c r="CC647" s="81"/>
      <c r="CD647" s="81"/>
      <c r="CE647" s="81"/>
      <c r="CF647" s="81"/>
      <c r="CG647" s="81"/>
      <c r="CH647" s="81"/>
      <c r="CI647" s="81"/>
      <c r="CJ647" s="81"/>
      <c r="CK647" s="81"/>
      <c r="CL647" s="81"/>
      <c r="CM647" s="81"/>
      <c r="CN647" s="81"/>
      <c r="CO647" s="81"/>
      <c r="CP647" s="81"/>
      <c r="CQ647" s="81"/>
      <c r="CR647" s="81"/>
      <c r="CS647" s="81"/>
      <c r="CT647" s="81"/>
      <c r="CU647" s="81"/>
      <c r="CV647" s="81"/>
      <c r="CW647" s="81"/>
      <c r="CX647" s="81"/>
      <c r="CY647" s="81"/>
      <c r="CZ647" s="81"/>
      <c r="DA647" s="81"/>
      <c r="DB647" s="81"/>
      <c r="DC647" s="81"/>
      <c r="DD647" s="81"/>
      <c r="DE647" s="81"/>
      <c r="DF647" s="81"/>
      <c r="DG647" s="81"/>
      <c r="DH647" s="81"/>
      <c r="DI647" s="81"/>
      <c r="DJ647" s="81"/>
      <c r="DK647" s="81"/>
      <c r="DL647" s="81"/>
      <c r="DM647" s="81"/>
      <c r="DN647" s="81"/>
      <c r="DO647" s="81"/>
      <c r="DP647" s="81"/>
      <c r="DQ647" s="81"/>
      <c r="DR647" s="81"/>
      <c r="DS647" s="81"/>
      <c r="DT647" s="81"/>
      <c r="DU647" s="81"/>
      <c r="DV647" s="81"/>
      <c r="DW647" s="121"/>
    </row>
    <row r="648" spans="1:127" x14ac:dyDescent="0.25">
      <c r="A648" s="2">
        <f>COUNTIF($D$2:D648,'Reporte de Nomina'!$E$2)</f>
        <v>0</v>
      </c>
      <c r="B648" s="125">
        <f>Lista!A647</f>
        <v>0</v>
      </c>
      <c r="C648" s="125">
        <f>Lista!B647</f>
        <v>0</v>
      </c>
      <c r="D648" s="125">
        <f>Lista!C647</f>
        <v>0</v>
      </c>
      <c r="E648" s="125">
        <f>Lista!D647</f>
        <v>0</v>
      </c>
      <c r="F648" s="125">
        <f>Lista!E647</f>
        <v>0</v>
      </c>
      <c r="G648" s="125">
        <f>Lista!F647</f>
        <v>0</v>
      </c>
      <c r="H648" s="125">
        <f>Lista!G647</f>
        <v>0</v>
      </c>
      <c r="I648" s="125">
        <f>Lista!H647</f>
        <v>0</v>
      </c>
      <c r="J648" s="125">
        <f>Lista!I647</f>
        <v>0</v>
      </c>
      <c r="K648" s="125">
        <f>Lista!J647</f>
        <v>0</v>
      </c>
      <c r="L648" s="125">
        <f>Lista!K647</f>
        <v>0</v>
      </c>
      <c r="M648" s="125">
        <f>Lista!L647</f>
        <v>0</v>
      </c>
      <c r="N648" s="125">
        <f>Lista!M647</f>
        <v>0</v>
      </c>
      <c r="O648" s="125">
        <f>Lista!N647</f>
        <v>0</v>
      </c>
      <c r="P648" s="125">
        <f>Lista!O647</f>
        <v>0</v>
      </c>
      <c r="Q648" s="125">
        <f>Lista!P647</f>
        <v>0</v>
      </c>
      <c r="R648" s="125">
        <f>Lista!Q647</f>
        <v>0</v>
      </c>
      <c r="S648" s="125">
        <f>Lista!R647</f>
        <v>0</v>
      </c>
      <c r="T648" s="81"/>
      <c r="U648" s="81"/>
      <c r="V648" s="81"/>
      <c r="W648" s="81"/>
      <c r="X648" s="81"/>
      <c r="Y648" s="81"/>
      <c r="Z648" s="81"/>
      <c r="AA648" s="81"/>
      <c r="AB648" s="81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  <c r="BS648" s="81"/>
      <c r="BT648" s="81"/>
      <c r="BU648" s="81"/>
      <c r="BV648" s="81"/>
      <c r="BW648" s="81"/>
      <c r="BX648" s="81"/>
      <c r="BY648" s="81"/>
      <c r="BZ648" s="81"/>
      <c r="CA648" s="81"/>
      <c r="CB648" s="81"/>
      <c r="CC648" s="81"/>
      <c r="CD648" s="81"/>
      <c r="CE648" s="81"/>
      <c r="CF648" s="81"/>
      <c r="CG648" s="81"/>
      <c r="CH648" s="81"/>
      <c r="CI648" s="81"/>
      <c r="CJ648" s="81"/>
      <c r="CK648" s="81"/>
      <c r="CL648" s="81"/>
      <c r="CM648" s="81"/>
      <c r="CN648" s="81"/>
      <c r="CO648" s="81"/>
      <c r="CP648" s="81"/>
      <c r="CQ648" s="81"/>
      <c r="CR648" s="81"/>
      <c r="CS648" s="81"/>
      <c r="CT648" s="81"/>
      <c r="CU648" s="81"/>
      <c r="CV648" s="81"/>
      <c r="CW648" s="81"/>
      <c r="CX648" s="81"/>
      <c r="CY648" s="81"/>
      <c r="CZ648" s="81"/>
      <c r="DA648" s="81"/>
      <c r="DB648" s="81"/>
      <c r="DC648" s="81"/>
      <c r="DD648" s="81"/>
      <c r="DE648" s="81"/>
      <c r="DF648" s="81"/>
      <c r="DG648" s="81"/>
      <c r="DH648" s="81"/>
      <c r="DI648" s="81"/>
      <c r="DJ648" s="81"/>
      <c r="DK648" s="81"/>
      <c r="DL648" s="81"/>
      <c r="DM648" s="81"/>
      <c r="DN648" s="81"/>
      <c r="DO648" s="81"/>
      <c r="DP648" s="81"/>
      <c r="DQ648" s="81"/>
      <c r="DR648" s="81"/>
      <c r="DS648" s="81"/>
      <c r="DT648" s="81"/>
      <c r="DU648" s="81"/>
      <c r="DV648" s="81"/>
      <c r="DW648" s="121"/>
    </row>
    <row r="649" spans="1:127" x14ac:dyDescent="0.25">
      <c r="A649" s="2">
        <f>COUNTIF($D$2:D649,'Reporte de Nomina'!$E$2)</f>
        <v>0</v>
      </c>
      <c r="B649" s="125">
        <f>Lista!A648</f>
        <v>0</v>
      </c>
      <c r="C649" s="125">
        <f>Lista!B648</f>
        <v>0</v>
      </c>
      <c r="D649" s="125">
        <f>Lista!C648</f>
        <v>0</v>
      </c>
      <c r="E649" s="125">
        <f>Lista!D648</f>
        <v>0</v>
      </c>
      <c r="F649" s="125">
        <f>Lista!E648</f>
        <v>0</v>
      </c>
      <c r="G649" s="125">
        <f>Lista!F648</f>
        <v>0</v>
      </c>
      <c r="H649" s="125">
        <f>Lista!G648</f>
        <v>0</v>
      </c>
      <c r="I649" s="125">
        <f>Lista!H648</f>
        <v>0</v>
      </c>
      <c r="J649" s="125">
        <f>Lista!I648</f>
        <v>0</v>
      </c>
      <c r="K649" s="125">
        <f>Lista!J648</f>
        <v>0</v>
      </c>
      <c r="L649" s="125">
        <f>Lista!K648</f>
        <v>0</v>
      </c>
      <c r="M649" s="125">
        <f>Lista!L648</f>
        <v>0</v>
      </c>
      <c r="N649" s="125">
        <f>Lista!M648</f>
        <v>0</v>
      </c>
      <c r="O649" s="125">
        <f>Lista!N648</f>
        <v>0</v>
      </c>
      <c r="P649" s="125">
        <f>Lista!O648</f>
        <v>0</v>
      </c>
      <c r="Q649" s="125">
        <f>Lista!P648</f>
        <v>0</v>
      </c>
      <c r="R649" s="125">
        <f>Lista!Q648</f>
        <v>0</v>
      </c>
      <c r="S649" s="125">
        <f>Lista!R648</f>
        <v>0</v>
      </c>
      <c r="T649" s="81"/>
      <c r="U649" s="81"/>
      <c r="V649" s="81"/>
      <c r="W649" s="81"/>
      <c r="X649" s="81"/>
      <c r="Y649" s="81"/>
      <c r="Z649" s="81"/>
      <c r="AA649" s="81"/>
      <c r="AB649" s="81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  <c r="BS649" s="81"/>
      <c r="BT649" s="81"/>
      <c r="BU649" s="81"/>
      <c r="BV649" s="81"/>
      <c r="BW649" s="81"/>
      <c r="BX649" s="81"/>
      <c r="BY649" s="81"/>
      <c r="BZ649" s="81"/>
      <c r="CA649" s="81"/>
      <c r="CB649" s="81"/>
      <c r="CC649" s="81"/>
      <c r="CD649" s="81"/>
      <c r="CE649" s="81"/>
      <c r="CF649" s="81"/>
      <c r="CG649" s="81"/>
      <c r="CH649" s="81"/>
      <c r="CI649" s="81"/>
      <c r="CJ649" s="81"/>
      <c r="CK649" s="81"/>
      <c r="CL649" s="81"/>
      <c r="CM649" s="81"/>
      <c r="CN649" s="81"/>
      <c r="CO649" s="81"/>
      <c r="CP649" s="81"/>
      <c r="CQ649" s="81"/>
      <c r="CR649" s="81"/>
      <c r="CS649" s="81"/>
      <c r="CT649" s="81"/>
      <c r="CU649" s="81"/>
      <c r="CV649" s="81"/>
      <c r="CW649" s="81"/>
      <c r="CX649" s="81"/>
      <c r="CY649" s="81"/>
      <c r="CZ649" s="81"/>
      <c r="DA649" s="81"/>
      <c r="DB649" s="81"/>
      <c r="DC649" s="81"/>
      <c r="DD649" s="81"/>
      <c r="DE649" s="81"/>
      <c r="DF649" s="81"/>
      <c r="DG649" s="81"/>
      <c r="DH649" s="81"/>
      <c r="DI649" s="81"/>
      <c r="DJ649" s="81"/>
      <c r="DK649" s="81"/>
      <c r="DL649" s="81"/>
      <c r="DM649" s="81"/>
      <c r="DN649" s="81"/>
      <c r="DO649" s="81"/>
      <c r="DP649" s="81"/>
      <c r="DQ649" s="81"/>
      <c r="DR649" s="81"/>
      <c r="DS649" s="81"/>
      <c r="DT649" s="81"/>
      <c r="DU649" s="81"/>
      <c r="DV649" s="81"/>
      <c r="DW649" s="121"/>
    </row>
    <row r="650" spans="1:127" x14ac:dyDescent="0.25">
      <c r="A650" s="2">
        <f>COUNTIF($D$2:D650,'Reporte de Nomina'!$E$2)</f>
        <v>0</v>
      </c>
      <c r="B650" s="125">
        <f>Lista!A649</f>
        <v>0</v>
      </c>
      <c r="C650" s="125">
        <f>Lista!B649</f>
        <v>0</v>
      </c>
      <c r="D650" s="125">
        <f>Lista!C649</f>
        <v>0</v>
      </c>
      <c r="E650" s="125">
        <f>Lista!D649</f>
        <v>0</v>
      </c>
      <c r="F650" s="125">
        <f>Lista!E649</f>
        <v>0</v>
      </c>
      <c r="G650" s="125">
        <f>Lista!F649</f>
        <v>0</v>
      </c>
      <c r="H650" s="125">
        <f>Lista!G649</f>
        <v>0</v>
      </c>
      <c r="I650" s="125">
        <f>Lista!H649</f>
        <v>0</v>
      </c>
      <c r="J650" s="125">
        <f>Lista!I649</f>
        <v>0</v>
      </c>
      <c r="K650" s="125">
        <f>Lista!J649</f>
        <v>0</v>
      </c>
      <c r="L650" s="125">
        <f>Lista!K649</f>
        <v>0</v>
      </c>
      <c r="M650" s="125">
        <f>Lista!L649</f>
        <v>0</v>
      </c>
      <c r="N650" s="125">
        <f>Lista!M649</f>
        <v>0</v>
      </c>
      <c r="O650" s="125">
        <f>Lista!N649</f>
        <v>0</v>
      </c>
      <c r="P650" s="125">
        <f>Lista!O649</f>
        <v>0</v>
      </c>
      <c r="Q650" s="125">
        <f>Lista!P649</f>
        <v>0</v>
      </c>
      <c r="R650" s="125">
        <f>Lista!Q649</f>
        <v>0</v>
      </c>
      <c r="S650" s="125">
        <f>Lista!R649</f>
        <v>0</v>
      </c>
      <c r="T650" s="81"/>
      <c r="U650" s="81"/>
      <c r="V650" s="81"/>
      <c r="W650" s="81"/>
      <c r="X650" s="81"/>
      <c r="Y650" s="81"/>
      <c r="Z650" s="81"/>
      <c r="AA650" s="81"/>
      <c r="AB650" s="81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  <c r="BS650" s="81"/>
      <c r="BT650" s="81"/>
      <c r="BU650" s="81"/>
      <c r="BV650" s="81"/>
      <c r="BW650" s="81"/>
      <c r="BX650" s="81"/>
      <c r="BY650" s="81"/>
      <c r="BZ650" s="81"/>
      <c r="CA650" s="81"/>
      <c r="CB650" s="81"/>
      <c r="CC650" s="81"/>
      <c r="CD650" s="81"/>
      <c r="CE650" s="81"/>
      <c r="CF650" s="81"/>
      <c r="CG650" s="81"/>
      <c r="CH650" s="81"/>
      <c r="CI650" s="81"/>
      <c r="CJ650" s="81"/>
      <c r="CK650" s="81"/>
      <c r="CL650" s="81"/>
      <c r="CM650" s="81"/>
      <c r="CN650" s="81"/>
      <c r="CO650" s="81"/>
      <c r="CP650" s="81"/>
      <c r="CQ650" s="81"/>
      <c r="CR650" s="81"/>
      <c r="CS650" s="81"/>
      <c r="CT650" s="81"/>
      <c r="CU650" s="81"/>
      <c r="CV650" s="81"/>
      <c r="CW650" s="81"/>
      <c r="CX650" s="81"/>
      <c r="CY650" s="81"/>
      <c r="CZ650" s="81"/>
      <c r="DA650" s="81"/>
      <c r="DB650" s="81"/>
      <c r="DC650" s="81"/>
      <c r="DD650" s="81"/>
      <c r="DE650" s="81"/>
      <c r="DF650" s="81"/>
      <c r="DG650" s="81"/>
      <c r="DH650" s="81"/>
      <c r="DI650" s="81"/>
      <c r="DJ650" s="81"/>
      <c r="DK650" s="81"/>
      <c r="DL650" s="81"/>
      <c r="DM650" s="81"/>
      <c r="DN650" s="81"/>
      <c r="DO650" s="81"/>
      <c r="DP650" s="81"/>
      <c r="DQ650" s="81"/>
      <c r="DR650" s="81"/>
      <c r="DS650" s="81"/>
      <c r="DT650" s="81"/>
      <c r="DU650" s="81"/>
      <c r="DV650" s="81"/>
      <c r="DW650" s="121"/>
    </row>
    <row r="651" spans="1:127" x14ac:dyDescent="0.25">
      <c r="A651" s="2">
        <f>COUNTIF($D$2:D651,'Reporte de Nomina'!$E$2)</f>
        <v>0</v>
      </c>
      <c r="B651" s="125">
        <f>Lista!A650</f>
        <v>0</v>
      </c>
      <c r="C651" s="125">
        <f>Lista!B650</f>
        <v>0</v>
      </c>
      <c r="D651" s="125">
        <f>Lista!C650</f>
        <v>0</v>
      </c>
      <c r="E651" s="125">
        <f>Lista!D650</f>
        <v>0</v>
      </c>
      <c r="F651" s="125">
        <f>Lista!E650</f>
        <v>0</v>
      </c>
      <c r="G651" s="125">
        <f>Lista!F650</f>
        <v>0</v>
      </c>
      <c r="H651" s="125">
        <f>Lista!G650</f>
        <v>0</v>
      </c>
      <c r="I651" s="125">
        <f>Lista!H650</f>
        <v>0</v>
      </c>
      <c r="J651" s="125">
        <f>Lista!I650</f>
        <v>0</v>
      </c>
      <c r="K651" s="125">
        <f>Lista!J650</f>
        <v>0</v>
      </c>
      <c r="L651" s="125">
        <f>Lista!K650</f>
        <v>0</v>
      </c>
      <c r="M651" s="125">
        <f>Lista!L650</f>
        <v>0</v>
      </c>
      <c r="N651" s="125">
        <f>Lista!M650</f>
        <v>0</v>
      </c>
      <c r="O651" s="125">
        <f>Lista!N650</f>
        <v>0</v>
      </c>
      <c r="P651" s="125">
        <f>Lista!O650</f>
        <v>0</v>
      </c>
      <c r="Q651" s="125">
        <f>Lista!P650</f>
        <v>0</v>
      </c>
      <c r="R651" s="125">
        <f>Lista!Q650</f>
        <v>0</v>
      </c>
      <c r="S651" s="125">
        <f>Lista!R650</f>
        <v>0</v>
      </c>
      <c r="T651" s="81"/>
      <c r="U651" s="81"/>
      <c r="V651" s="81"/>
      <c r="W651" s="81"/>
      <c r="X651" s="81"/>
      <c r="Y651" s="81"/>
      <c r="Z651" s="81"/>
      <c r="AA651" s="81"/>
      <c r="AB651" s="81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  <c r="BS651" s="81"/>
      <c r="BT651" s="81"/>
      <c r="BU651" s="81"/>
      <c r="BV651" s="81"/>
      <c r="BW651" s="81"/>
      <c r="BX651" s="81"/>
      <c r="BY651" s="81"/>
      <c r="BZ651" s="81"/>
      <c r="CA651" s="81"/>
      <c r="CB651" s="81"/>
      <c r="CC651" s="81"/>
      <c r="CD651" s="81"/>
      <c r="CE651" s="81"/>
      <c r="CF651" s="81"/>
      <c r="CG651" s="81"/>
      <c r="CH651" s="81"/>
      <c r="CI651" s="81"/>
      <c r="CJ651" s="81"/>
      <c r="CK651" s="81"/>
      <c r="CL651" s="81"/>
      <c r="CM651" s="81"/>
      <c r="CN651" s="81"/>
      <c r="CO651" s="81"/>
      <c r="CP651" s="81"/>
      <c r="CQ651" s="81"/>
      <c r="CR651" s="81"/>
      <c r="CS651" s="81"/>
      <c r="CT651" s="81"/>
      <c r="CU651" s="81"/>
      <c r="CV651" s="81"/>
      <c r="CW651" s="81"/>
      <c r="CX651" s="81"/>
      <c r="CY651" s="81"/>
      <c r="CZ651" s="81"/>
      <c r="DA651" s="81"/>
      <c r="DB651" s="81"/>
      <c r="DC651" s="81"/>
      <c r="DD651" s="81"/>
      <c r="DE651" s="81"/>
      <c r="DF651" s="81"/>
      <c r="DG651" s="81"/>
      <c r="DH651" s="81"/>
      <c r="DI651" s="81"/>
      <c r="DJ651" s="81"/>
      <c r="DK651" s="81"/>
      <c r="DL651" s="81"/>
      <c r="DM651" s="81"/>
      <c r="DN651" s="81"/>
      <c r="DO651" s="81"/>
      <c r="DP651" s="81"/>
      <c r="DQ651" s="81"/>
      <c r="DR651" s="81"/>
      <c r="DS651" s="81"/>
      <c r="DT651" s="81"/>
      <c r="DU651" s="81"/>
      <c r="DV651" s="81"/>
      <c r="DW651" s="121"/>
    </row>
    <row r="652" spans="1:127" x14ac:dyDescent="0.25">
      <c r="A652" s="2">
        <f>COUNTIF($D$2:D652,'Reporte de Nomina'!$E$2)</f>
        <v>0</v>
      </c>
      <c r="B652" s="125">
        <f>Lista!A651</f>
        <v>0</v>
      </c>
      <c r="C652" s="125">
        <f>Lista!B651</f>
        <v>0</v>
      </c>
      <c r="D652" s="125">
        <f>Lista!C651</f>
        <v>0</v>
      </c>
      <c r="E652" s="125">
        <f>Lista!D651</f>
        <v>0</v>
      </c>
      <c r="F652" s="125">
        <f>Lista!E651</f>
        <v>0</v>
      </c>
      <c r="G652" s="125">
        <f>Lista!F651</f>
        <v>0</v>
      </c>
      <c r="H652" s="125">
        <f>Lista!G651</f>
        <v>0</v>
      </c>
      <c r="I652" s="125">
        <f>Lista!H651</f>
        <v>0</v>
      </c>
      <c r="J652" s="125">
        <f>Lista!I651</f>
        <v>0</v>
      </c>
      <c r="K652" s="125">
        <f>Lista!J651</f>
        <v>0</v>
      </c>
      <c r="L652" s="125">
        <f>Lista!K651</f>
        <v>0</v>
      </c>
      <c r="M652" s="125">
        <f>Lista!L651</f>
        <v>0</v>
      </c>
      <c r="N652" s="125">
        <f>Lista!M651</f>
        <v>0</v>
      </c>
      <c r="O652" s="125">
        <f>Lista!N651</f>
        <v>0</v>
      </c>
      <c r="P652" s="125">
        <f>Lista!O651</f>
        <v>0</v>
      </c>
      <c r="Q652" s="125">
        <f>Lista!P651</f>
        <v>0</v>
      </c>
      <c r="R652" s="125">
        <f>Lista!Q651</f>
        <v>0</v>
      </c>
      <c r="S652" s="125">
        <f>Lista!R651</f>
        <v>0</v>
      </c>
      <c r="T652" s="81"/>
      <c r="U652" s="81"/>
      <c r="V652" s="81"/>
      <c r="W652" s="81"/>
      <c r="X652" s="81"/>
      <c r="Y652" s="81"/>
      <c r="Z652" s="81"/>
      <c r="AA652" s="81"/>
      <c r="AB652" s="81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  <c r="BS652" s="81"/>
      <c r="BT652" s="81"/>
      <c r="BU652" s="81"/>
      <c r="BV652" s="81"/>
      <c r="BW652" s="81"/>
      <c r="BX652" s="81"/>
      <c r="BY652" s="81"/>
      <c r="BZ652" s="81"/>
      <c r="CA652" s="81"/>
      <c r="CB652" s="81"/>
      <c r="CC652" s="81"/>
      <c r="CD652" s="81"/>
      <c r="CE652" s="81"/>
      <c r="CF652" s="81"/>
      <c r="CG652" s="81"/>
      <c r="CH652" s="81"/>
      <c r="CI652" s="81"/>
      <c r="CJ652" s="81"/>
      <c r="CK652" s="81"/>
      <c r="CL652" s="81"/>
      <c r="CM652" s="81"/>
      <c r="CN652" s="81"/>
      <c r="CO652" s="81"/>
      <c r="CP652" s="81"/>
      <c r="CQ652" s="81"/>
      <c r="CR652" s="81"/>
      <c r="CS652" s="81"/>
      <c r="CT652" s="81"/>
      <c r="CU652" s="81"/>
      <c r="CV652" s="81"/>
      <c r="CW652" s="81"/>
      <c r="CX652" s="81"/>
      <c r="CY652" s="81"/>
      <c r="CZ652" s="81"/>
      <c r="DA652" s="81"/>
      <c r="DB652" s="81"/>
      <c r="DC652" s="81"/>
      <c r="DD652" s="81"/>
      <c r="DE652" s="81"/>
      <c r="DF652" s="81"/>
      <c r="DG652" s="81"/>
      <c r="DH652" s="81"/>
      <c r="DI652" s="81"/>
      <c r="DJ652" s="81"/>
      <c r="DK652" s="81"/>
      <c r="DL652" s="81"/>
      <c r="DM652" s="81"/>
      <c r="DN652" s="81"/>
      <c r="DO652" s="81"/>
      <c r="DP652" s="81"/>
      <c r="DQ652" s="81"/>
      <c r="DR652" s="81"/>
      <c r="DS652" s="81"/>
      <c r="DT652" s="81"/>
      <c r="DU652" s="81"/>
      <c r="DV652" s="81"/>
      <c r="DW652" s="121"/>
    </row>
    <row r="653" spans="1:127" x14ac:dyDescent="0.25">
      <c r="A653" s="2">
        <f>COUNTIF($D$2:D653,'Reporte de Nomina'!$E$2)</f>
        <v>0</v>
      </c>
      <c r="B653" s="125">
        <f>Lista!A652</f>
        <v>0</v>
      </c>
      <c r="C653" s="125">
        <f>Lista!B652</f>
        <v>0</v>
      </c>
      <c r="D653" s="125">
        <f>Lista!C652</f>
        <v>0</v>
      </c>
      <c r="E653" s="125">
        <f>Lista!D652</f>
        <v>0</v>
      </c>
      <c r="F653" s="125">
        <f>Lista!E652</f>
        <v>0</v>
      </c>
      <c r="G653" s="125">
        <f>Lista!F652</f>
        <v>0</v>
      </c>
      <c r="H653" s="125">
        <f>Lista!G652</f>
        <v>0</v>
      </c>
      <c r="I653" s="125">
        <f>Lista!H652</f>
        <v>0</v>
      </c>
      <c r="J653" s="125">
        <f>Lista!I652</f>
        <v>0</v>
      </c>
      <c r="K653" s="125">
        <f>Lista!J652</f>
        <v>0</v>
      </c>
      <c r="L653" s="125">
        <f>Lista!K652</f>
        <v>0</v>
      </c>
      <c r="M653" s="125">
        <f>Lista!L652</f>
        <v>0</v>
      </c>
      <c r="N653" s="125">
        <f>Lista!M652</f>
        <v>0</v>
      </c>
      <c r="O653" s="125">
        <f>Lista!N652</f>
        <v>0</v>
      </c>
      <c r="P653" s="125">
        <f>Lista!O652</f>
        <v>0</v>
      </c>
      <c r="Q653" s="125">
        <f>Lista!P652</f>
        <v>0</v>
      </c>
      <c r="R653" s="125">
        <f>Lista!Q652</f>
        <v>0</v>
      </c>
      <c r="S653" s="125">
        <f>Lista!R652</f>
        <v>0</v>
      </c>
      <c r="T653" s="81"/>
      <c r="U653" s="81"/>
      <c r="V653" s="81"/>
      <c r="W653" s="81"/>
      <c r="X653" s="81"/>
      <c r="Y653" s="81"/>
      <c r="Z653" s="81"/>
      <c r="AA653" s="81"/>
      <c r="AB653" s="81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  <c r="BS653" s="81"/>
      <c r="BT653" s="81"/>
      <c r="BU653" s="81"/>
      <c r="BV653" s="81"/>
      <c r="BW653" s="81"/>
      <c r="BX653" s="81"/>
      <c r="BY653" s="81"/>
      <c r="BZ653" s="81"/>
      <c r="CA653" s="81"/>
      <c r="CB653" s="81"/>
      <c r="CC653" s="81"/>
      <c r="CD653" s="81"/>
      <c r="CE653" s="81"/>
      <c r="CF653" s="81"/>
      <c r="CG653" s="81"/>
      <c r="CH653" s="81"/>
      <c r="CI653" s="81"/>
      <c r="CJ653" s="81"/>
      <c r="CK653" s="81"/>
      <c r="CL653" s="81"/>
      <c r="CM653" s="81"/>
      <c r="CN653" s="81"/>
      <c r="CO653" s="81"/>
      <c r="CP653" s="81"/>
      <c r="CQ653" s="81"/>
      <c r="CR653" s="81"/>
      <c r="CS653" s="81"/>
      <c r="CT653" s="81"/>
      <c r="CU653" s="81"/>
      <c r="CV653" s="81"/>
      <c r="CW653" s="81"/>
      <c r="CX653" s="81"/>
      <c r="CY653" s="81"/>
      <c r="CZ653" s="81"/>
      <c r="DA653" s="81"/>
      <c r="DB653" s="81"/>
      <c r="DC653" s="81"/>
      <c r="DD653" s="81"/>
      <c r="DE653" s="81"/>
      <c r="DF653" s="81"/>
      <c r="DG653" s="81"/>
      <c r="DH653" s="81"/>
      <c r="DI653" s="81"/>
      <c r="DJ653" s="81"/>
      <c r="DK653" s="81"/>
      <c r="DL653" s="81"/>
      <c r="DM653" s="81"/>
      <c r="DN653" s="81"/>
      <c r="DO653" s="81"/>
      <c r="DP653" s="81"/>
      <c r="DQ653" s="81"/>
      <c r="DR653" s="81"/>
      <c r="DS653" s="81"/>
      <c r="DT653" s="81"/>
      <c r="DU653" s="81"/>
      <c r="DV653" s="81"/>
      <c r="DW653" s="121"/>
    </row>
    <row r="654" spans="1:127" x14ac:dyDescent="0.25">
      <c r="A654" s="2">
        <f>COUNTIF($D$2:D654,'Reporte de Nomina'!$E$2)</f>
        <v>0</v>
      </c>
      <c r="B654" s="125">
        <f>Lista!A653</f>
        <v>0</v>
      </c>
      <c r="C654" s="125">
        <f>Lista!B653</f>
        <v>0</v>
      </c>
      <c r="D654" s="125">
        <f>Lista!C653</f>
        <v>0</v>
      </c>
      <c r="E654" s="125">
        <f>Lista!D653</f>
        <v>0</v>
      </c>
      <c r="F654" s="125">
        <f>Lista!E653</f>
        <v>0</v>
      </c>
      <c r="G654" s="125">
        <f>Lista!F653</f>
        <v>0</v>
      </c>
      <c r="H654" s="125">
        <f>Lista!G653</f>
        <v>0</v>
      </c>
      <c r="I654" s="125">
        <f>Lista!H653</f>
        <v>0</v>
      </c>
      <c r="J654" s="125">
        <f>Lista!I653</f>
        <v>0</v>
      </c>
      <c r="K654" s="125">
        <f>Lista!J653</f>
        <v>0</v>
      </c>
      <c r="L654" s="125">
        <f>Lista!K653</f>
        <v>0</v>
      </c>
      <c r="M654" s="125">
        <f>Lista!L653</f>
        <v>0</v>
      </c>
      <c r="N654" s="125">
        <f>Lista!M653</f>
        <v>0</v>
      </c>
      <c r="O654" s="125">
        <f>Lista!N653</f>
        <v>0</v>
      </c>
      <c r="P654" s="125">
        <f>Lista!O653</f>
        <v>0</v>
      </c>
      <c r="Q654" s="125">
        <f>Lista!P653</f>
        <v>0</v>
      </c>
      <c r="R654" s="125">
        <f>Lista!Q653</f>
        <v>0</v>
      </c>
      <c r="S654" s="125">
        <f>Lista!R653</f>
        <v>0</v>
      </c>
      <c r="T654" s="81"/>
      <c r="U654" s="81"/>
      <c r="V654" s="81"/>
      <c r="W654" s="81"/>
      <c r="X654" s="81"/>
      <c r="Y654" s="81"/>
      <c r="Z654" s="81"/>
      <c r="AA654" s="81"/>
      <c r="AB654" s="81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  <c r="BS654" s="81"/>
      <c r="BT654" s="81"/>
      <c r="BU654" s="81"/>
      <c r="BV654" s="81"/>
      <c r="BW654" s="81"/>
      <c r="BX654" s="81"/>
      <c r="BY654" s="81"/>
      <c r="BZ654" s="81"/>
      <c r="CA654" s="81"/>
      <c r="CB654" s="81"/>
      <c r="CC654" s="81"/>
      <c r="CD654" s="81"/>
      <c r="CE654" s="81"/>
      <c r="CF654" s="81"/>
      <c r="CG654" s="81"/>
      <c r="CH654" s="81"/>
      <c r="CI654" s="81"/>
      <c r="CJ654" s="81"/>
      <c r="CK654" s="81"/>
      <c r="CL654" s="81"/>
      <c r="CM654" s="81"/>
      <c r="CN654" s="81"/>
      <c r="CO654" s="81"/>
      <c r="CP654" s="81"/>
      <c r="CQ654" s="81"/>
      <c r="CR654" s="81"/>
      <c r="CS654" s="81"/>
      <c r="CT654" s="81"/>
      <c r="CU654" s="81"/>
      <c r="CV654" s="81"/>
      <c r="CW654" s="81"/>
      <c r="CX654" s="81"/>
      <c r="CY654" s="81"/>
      <c r="CZ654" s="81"/>
      <c r="DA654" s="81"/>
      <c r="DB654" s="81"/>
      <c r="DC654" s="81"/>
      <c r="DD654" s="81"/>
      <c r="DE654" s="81"/>
      <c r="DF654" s="81"/>
      <c r="DG654" s="81"/>
      <c r="DH654" s="81"/>
      <c r="DI654" s="81"/>
      <c r="DJ654" s="81"/>
      <c r="DK654" s="81"/>
      <c r="DL654" s="81"/>
      <c r="DM654" s="81"/>
      <c r="DN654" s="81"/>
      <c r="DO654" s="81"/>
      <c r="DP654" s="81"/>
      <c r="DQ654" s="81"/>
      <c r="DR654" s="81"/>
      <c r="DS654" s="81"/>
      <c r="DT654" s="81"/>
      <c r="DU654" s="81"/>
      <c r="DV654" s="81"/>
      <c r="DW654" s="121"/>
    </row>
    <row r="655" spans="1:127" x14ac:dyDescent="0.25">
      <c r="A655" s="2">
        <f>COUNTIF($D$2:D655,'Reporte de Nomina'!$E$2)</f>
        <v>0</v>
      </c>
      <c r="B655" s="125">
        <f>Lista!A654</f>
        <v>0</v>
      </c>
      <c r="C655" s="125">
        <f>Lista!B654</f>
        <v>0</v>
      </c>
      <c r="D655" s="125">
        <f>Lista!C654</f>
        <v>0</v>
      </c>
      <c r="E655" s="125">
        <f>Lista!D654</f>
        <v>0</v>
      </c>
      <c r="F655" s="125">
        <f>Lista!E654</f>
        <v>0</v>
      </c>
      <c r="G655" s="125">
        <f>Lista!F654</f>
        <v>0</v>
      </c>
      <c r="H655" s="125">
        <f>Lista!G654</f>
        <v>0</v>
      </c>
      <c r="I655" s="125">
        <f>Lista!H654</f>
        <v>0</v>
      </c>
      <c r="J655" s="125">
        <f>Lista!I654</f>
        <v>0</v>
      </c>
      <c r="K655" s="125">
        <f>Lista!J654</f>
        <v>0</v>
      </c>
      <c r="L655" s="125">
        <f>Lista!K654</f>
        <v>0</v>
      </c>
      <c r="M655" s="125">
        <f>Lista!L654</f>
        <v>0</v>
      </c>
      <c r="N655" s="125">
        <f>Lista!M654</f>
        <v>0</v>
      </c>
      <c r="O655" s="125">
        <f>Lista!N654</f>
        <v>0</v>
      </c>
      <c r="P655" s="125">
        <f>Lista!O654</f>
        <v>0</v>
      </c>
      <c r="Q655" s="125">
        <f>Lista!P654</f>
        <v>0</v>
      </c>
      <c r="R655" s="125">
        <f>Lista!Q654</f>
        <v>0</v>
      </c>
      <c r="S655" s="125">
        <f>Lista!R654</f>
        <v>0</v>
      </c>
      <c r="T655" s="81"/>
      <c r="U655" s="81"/>
      <c r="V655" s="81"/>
      <c r="W655" s="81"/>
      <c r="X655" s="81"/>
      <c r="Y655" s="81"/>
      <c r="Z655" s="81"/>
      <c r="AA655" s="81"/>
      <c r="AB655" s="81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  <c r="BS655" s="81"/>
      <c r="BT655" s="81"/>
      <c r="BU655" s="81"/>
      <c r="BV655" s="81"/>
      <c r="BW655" s="81"/>
      <c r="BX655" s="81"/>
      <c r="BY655" s="81"/>
      <c r="BZ655" s="81"/>
      <c r="CA655" s="81"/>
      <c r="CB655" s="81"/>
      <c r="CC655" s="81"/>
      <c r="CD655" s="81"/>
      <c r="CE655" s="81"/>
      <c r="CF655" s="81"/>
      <c r="CG655" s="81"/>
      <c r="CH655" s="81"/>
      <c r="CI655" s="81"/>
      <c r="CJ655" s="81"/>
      <c r="CK655" s="81"/>
      <c r="CL655" s="81"/>
      <c r="CM655" s="81"/>
      <c r="CN655" s="81"/>
      <c r="CO655" s="81"/>
      <c r="CP655" s="81"/>
      <c r="CQ655" s="81"/>
      <c r="CR655" s="81"/>
      <c r="CS655" s="81"/>
      <c r="CT655" s="81"/>
      <c r="CU655" s="81"/>
      <c r="CV655" s="81"/>
      <c r="CW655" s="81"/>
      <c r="CX655" s="81"/>
      <c r="CY655" s="81"/>
      <c r="CZ655" s="81"/>
      <c r="DA655" s="81"/>
      <c r="DB655" s="81"/>
      <c r="DC655" s="81"/>
      <c r="DD655" s="81"/>
      <c r="DE655" s="81"/>
      <c r="DF655" s="81"/>
      <c r="DG655" s="81"/>
      <c r="DH655" s="81"/>
      <c r="DI655" s="81"/>
      <c r="DJ655" s="81"/>
      <c r="DK655" s="81"/>
      <c r="DL655" s="81"/>
      <c r="DM655" s="81"/>
      <c r="DN655" s="81"/>
      <c r="DO655" s="81"/>
      <c r="DP655" s="81"/>
      <c r="DQ655" s="81"/>
      <c r="DR655" s="81"/>
      <c r="DS655" s="81"/>
      <c r="DT655" s="81"/>
      <c r="DU655" s="81"/>
      <c r="DV655" s="81"/>
      <c r="DW655" s="121"/>
    </row>
    <row r="656" spans="1:127" x14ac:dyDescent="0.25">
      <c r="A656" s="2">
        <f>COUNTIF($D$2:D656,'Reporte de Nomina'!$E$2)</f>
        <v>0</v>
      </c>
      <c r="B656" s="125">
        <f>Lista!A655</f>
        <v>0</v>
      </c>
      <c r="C656" s="125">
        <f>Lista!B655</f>
        <v>0</v>
      </c>
      <c r="D656" s="125">
        <f>Lista!C655</f>
        <v>0</v>
      </c>
      <c r="E656" s="125">
        <f>Lista!D655</f>
        <v>0</v>
      </c>
      <c r="F656" s="125">
        <f>Lista!E655</f>
        <v>0</v>
      </c>
      <c r="G656" s="125">
        <f>Lista!F655</f>
        <v>0</v>
      </c>
      <c r="H656" s="125">
        <f>Lista!G655</f>
        <v>0</v>
      </c>
      <c r="I656" s="125">
        <f>Lista!H655</f>
        <v>0</v>
      </c>
      <c r="J656" s="125">
        <f>Lista!I655</f>
        <v>0</v>
      </c>
      <c r="K656" s="125">
        <f>Lista!J655</f>
        <v>0</v>
      </c>
      <c r="L656" s="125">
        <f>Lista!K655</f>
        <v>0</v>
      </c>
      <c r="M656" s="125">
        <f>Lista!L655</f>
        <v>0</v>
      </c>
      <c r="N656" s="125">
        <f>Lista!M655</f>
        <v>0</v>
      </c>
      <c r="O656" s="125">
        <f>Lista!N655</f>
        <v>0</v>
      </c>
      <c r="P656" s="125">
        <f>Lista!O655</f>
        <v>0</v>
      </c>
      <c r="Q656" s="125">
        <f>Lista!P655</f>
        <v>0</v>
      </c>
      <c r="R656" s="125">
        <f>Lista!Q655</f>
        <v>0</v>
      </c>
      <c r="S656" s="125">
        <f>Lista!R655</f>
        <v>0</v>
      </c>
      <c r="T656" s="81"/>
      <c r="U656" s="81"/>
      <c r="V656" s="81"/>
      <c r="W656" s="81"/>
      <c r="X656" s="81"/>
      <c r="Y656" s="81"/>
      <c r="Z656" s="81"/>
      <c r="AA656" s="81"/>
      <c r="AB656" s="81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  <c r="BS656" s="81"/>
      <c r="BT656" s="81"/>
      <c r="BU656" s="81"/>
      <c r="BV656" s="81"/>
      <c r="BW656" s="81"/>
      <c r="BX656" s="81"/>
      <c r="BY656" s="81"/>
      <c r="BZ656" s="81"/>
      <c r="CA656" s="81"/>
      <c r="CB656" s="81"/>
      <c r="CC656" s="81"/>
      <c r="CD656" s="81"/>
      <c r="CE656" s="81"/>
      <c r="CF656" s="81"/>
      <c r="CG656" s="81"/>
      <c r="CH656" s="81"/>
      <c r="CI656" s="81"/>
      <c r="CJ656" s="81"/>
      <c r="CK656" s="81"/>
      <c r="CL656" s="81"/>
      <c r="CM656" s="81"/>
      <c r="CN656" s="81"/>
      <c r="CO656" s="81"/>
      <c r="CP656" s="81"/>
      <c r="CQ656" s="81"/>
      <c r="CR656" s="81"/>
      <c r="CS656" s="81"/>
      <c r="CT656" s="81"/>
      <c r="CU656" s="81"/>
      <c r="CV656" s="81"/>
      <c r="CW656" s="81"/>
      <c r="CX656" s="81"/>
      <c r="CY656" s="81"/>
      <c r="CZ656" s="81"/>
      <c r="DA656" s="81"/>
      <c r="DB656" s="81"/>
      <c r="DC656" s="81"/>
      <c r="DD656" s="81"/>
      <c r="DE656" s="81"/>
      <c r="DF656" s="81"/>
      <c r="DG656" s="81"/>
      <c r="DH656" s="81"/>
      <c r="DI656" s="81"/>
      <c r="DJ656" s="81"/>
      <c r="DK656" s="81"/>
      <c r="DL656" s="81"/>
      <c r="DM656" s="81"/>
      <c r="DN656" s="81"/>
      <c r="DO656" s="81"/>
      <c r="DP656" s="81"/>
      <c r="DQ656" s="81"/>
      <c r="DR656" s="81"/>
      <c r="DS656" s="81"/>
      <c r="DT656" s="81"/>
      <c r="DU656" s="81"/>
      <c r="DV656" s="81"/>
      <c r="DW656" s="121"/>
    </row>
    <row r="657" spans="1:127" x14ac:dyDescent="0.25">
      <c r="A657" s="2">
        <f>COUNTIF($D$2:D657,'Reporte de Nomina'!$E$2)</f>
        <v>0</v>
      </c>
      <c r="B657" s="125">
        <f>Lista!A656</f>
        <v>0</v>
      </c>
      <c r="C657" s="125">
        <f>Lista!B656</f>
        <v>0</v>
      </c>
      <c r="D657" s="125">
        <f>Lista!C656</f>
        <v>0</v>
      </c>
      <c r="E657" s="125">
        <f>Lista!D656</f>
        <v>0</v>
      </c>
      <c r="F657" s="125">
        <f>Lista!E656</f>
        <v>0</v>
      </c>
      <c r="G657" s="125">
        <f>Lista!F656</f>
        <v>0</v>
      </c>
      <c r="H657" s="125">
        <f>Lista!G656</f>
        <v>0</v>
      </c>
      <c r="I657" s="125">
        <f>Lista!H656</f>
        <v>0</v>
      </c>
      <c r="J657" s="125">
        <f>Lista!I656</f>
        <v>0</v>
      </c>
      <c r="K657" s="125">
        <f>Lista!J656</f>
        <v>0</v>
      </c>
      <c r="L657" s="125">
        <f>Lista!K656</f>
        <v>0</v>
      </c>
      <c r="M657" s="125">
        <f>Lista!L656</f>
        <v>0</v>
      </c>
      <c r="N657" s="125">
        <f>Lista!M656</f>
        <v>0</v>
      </c>
      <c r="O657" s="125">
        <f>Lista!N656</f>
        <v>0</v>
      </c>
      <c r="P657" s="125">
        <f>Lista!O656</f>
        <v>0</v>
      </c>
      <c r="Q657" s="125">
        <f>Lista!P656</f>
        <v>0</v>
      </c>
      <c r="R657" s="125">
        <f>Lista!Q656</f>
        <v>0</v>
      </c>
      <c r="S657" s="125">
        <f>Lista!R656</f>
        <v>0</v>
      </c>
      <c r="T657" s="81"/>
      <c r="U657" s="81"/>
      <c r="V657" s="81"/>
      <c r="W657" s="81"/>
      <c r="X657" s="81"/>
      <c r="Y657" s="81"/>
      <c r="Z657" s="81"/>
      <c r="AA657" s="81"/>
      <c r="AB657" s="81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  <c r="BS657" s="81"/>
      <c r="BT657" s="81"/>
      <c r="BU657" s="81"/>
      <c r="BV657" s="81"/>
      <c r="BW657" s="81"/>
      <c r="BX657" s="81"/>
      <c r="BY657" s="81"/>
      <c r="BZ657" s="81"/>
      <c r="CA657" s="81"/>
      <c r="CB657" s="81"/>
      <c r="CC657" s="81"/>
      <c r="CD657" s="81"/>
      <c r="CE657" s="81"/>
      <c r="CF657" s="81"/>
      <c r="CG657" s="81"/>
      <c r="CH657" s="81"/>
      <c r="CI657" s="81"/>
      <c r="CJ657" s="81"/>
      <c r="CK657" s="81"/>
      <c r="CL657" s="81"/>
      <c r="CM657" s="81"/>
      <c r="CN657" s="81"/>
      <c r="CO657" s="81"/>
      <c r="CP657" s="81"/>
      <c r="CQ657" s="81"/>
      <c r="CR657" s="81"/>
      <c r="CS657" s="81"/>
      <c r="CT657" s="81"/>
      <c r="CU657" s="81"/>
      <c r="CV657" s="81"/>
      <c r="CW657" s="81"/>
      <c r="CX657" s="81"/>
      <c r="CY657" s="81"/>
      <c r="CZ657" s="81"/>
      <c r="DA657" s="81"/>
      <c r="DB657" s="81"/>
      <c r="DC657" s="81"/>
      <c r="DD657" s="81"/>
      <c r="DE657" s="81"/>
      <c r="DF657" s="81"/>
      <c r="DG657" s="81"/>
      <c r="DH657" s="81"/>
      <c r="DI657" s="81"/>
      <c r="DJ657" s="81"/>
      <c r="DK657" s="81"/>
      <c r="DL657" s="81"/>
      <c r="DM657" s="81"/>
      <c r="DN657" s="81"/>
      <c r="DO657" s="81"/>
      <c r="DP657" s="81"/>
      <c r="DQ657" s="81"/>
      <c r="DR657" s="81"/>
      <c r="DS657" s="81"/>
      <c r="DT657" s="81"/>
      <c r="DU657" s="81"/>
      <c r="DV657" s="81"/>
      <c r="DW657" s="121"/>
    </row>
    <row r="658" spans="1:127" x14ac:dyDescent="0.25">
      <c r="A658" s="2">
        <f>COUNTIF($D$2:D658,'Reporte de Nomina'!$E$2)</f>
        <v>0</v>
      </c>
      <c r="B658" s="125">
        <f>Lista!A657</f>
        <v>0</v>
      </c>
      <c r="C658" s="125">
        <f>Lista!B657</f>
        <v>0</v>
      </c>
      <c r="D658" s="125">
        <f>Lista!C657</f>
        <v>0</v>
      </c>
      <c r="E658" s="125">
        <f>Lista!D657</f>
        <v>0</v>
      </c>
      <c r="F658" s="125">
        <f>Lista!E657</f>
        <v>0</v>
      </c>
      <c r="G658" s="125">
        <f>Lista!F657</f>
        <v>0</v>
      </c>
      <c r="H658" s="125">
        <f>Lista!G657</f>
        <v>0</v>
      </c>
      <c r="I658" s="125">
        <f>Lista!H657</f>
        <v>0</v>
      </c>
      <c r="J658" s="125">
        <f>Lista!I657</f>
        <v>0</v>
      </c>
      <c r="K658" s="125">
        <f>Lista!J657</f>
        <v>0</v>
      </c>
      <c r="L658" s="125">
        <f>Lista!K657</f>
        <v>0</v>
      </c>
      <c r="M658" s="125">
        <f>Lista!L657</f>
        <v>0</v>
      </c>
      <c r="N658" s="125">
        <f>Lista!M657</f>
        <v>0</v>
      </c>
      <c r="O658" s="125">
        <f>Lista!N657</f>
        <v>0</v>
      </c>
      <c r="P658" s="125">
        <f>Lista!O657</f>
        <v>0</v>
      </c>
      <c r="Q658" s="125">
        <f>Lista!P657</f>
        <v>0</v>
      </c>
      <c r="R658" s="125">
        <f>Lista!Q657</f>
        <v>0</v>
      </c>
      <c r="S658" s="125">
        <f>Lista!R657</f>
        <v>0</v>
      </c>
      <c r="T658" s="81"/>
      <c r="U658" s="81"/>
      <c r="V658" s="81"/>
      <c r="W658" s="81"/>
      <c r="X658" s="81"/>
      <c r="Y658" s="81"/>
      <c r="Z658" s="81"/>
      <c r="AA658" s="81"/>
      <c r="AB658" s="81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  <c r="BS658" s="81"/>
      <c r="BT658" s="81"/>
      <c r="BU658" s="81"/>
      <c r="BV658" s="81"/>
      <c r="BW658" s="81"/>
      <c r="BX658" s="81"/>
      <c r="BY658" s="81"/>
      <c r="BZ658" s="81"/>
      <c r="CA658" s="81"/>
      <c r="CB658" s="81"/>
      <c r="CC658" s="81"/>
      <c r="CD658" s="81"/>
      <c r="CE658" s="81"/>
      <c r="CF658" s="81"/>
      <c r="CG658" s="81"/>
      <c r="CH658" s="81"/>
      <c r="CI658" s="81"/>
      <c r="CJ658" s="81"/>
      <c r="CK658" s="81"/>
      <c r="CL658" s="81"/>
      <c r="CM658" s="81"/>
      <c r="CN658" s="81"/>
      <c r="CO658" s="81"/>
      <c r="CP658" s="81"/>
      <c r="CQ658" s="81"/>
      <c r="CR658" s="81"/>
      <c r="CS658" s="81"/>
      <c r="CT658" s="81"/>
      <c r="CU658" s="81"/>
      <c r="CV658" s="81"/>
      <c r="CW658" s="81"/>
      <c r="CX658" s="81"/>
      <c r="CY658" s="81"/>
      <c r="CZ658" s="81"/>
      <c r="DA658" s="81"/>
      <c r="DB658" s="81"/>
      <c r="DC658" s="81"/>
      <c r="DD658" s="81"/>
      <c r="DE658" s="81"/>
      <c r="DF658" s="81"/>
      <c r="DG658" s="81"/>
      <c r="DH658" s="81"/>
      <c r="DI658" s="81"/>
      <c r="DJ658" s="81"/>
      <c r="DK658" s="81"/>
      <c r="DL658" s="81"/>
      <c r="DM658" s="81"/>
      <c r="DN658" s="81"/>
      <c r="DO658" s="81"/>
      <c r="DP658" s="81"/>
      <c r="DQ658" s="81"/>
      <c r="DR658" s="81"/>
      <c r="DS658" s="81"/>
      <c r="DT658" s="81"/>
      <c r="DU658" s="81"/>
      <c r="DV658" s="81"/>
      <c r="DW658" s="121"/>
    </row>
    <row r="659" spans="1:127" x14ac:dyDescent="0.25">
      <c r="A659" s="2">
        <f>COUNTIF($D$2:D659,'Reporte de Nomina'!$E$2)</f>
        <v>0</v>
      </c>
      <c r="B659" s="125">
        <f>Lista!A658</f>
        <v>0</v>
      </c>
      <c r="C659" s="125">
        <f>Lista!B658</f>
        <v>0</v>
      </c>
      <c r="D659" s="125">
        <f>Lista!C658</f>
        <v>0</v>
      </c>
      <c r="E659" s="125">
        <f>Lista!D658</f>
        <v>0</v>
      </c>
      <c r="F659" s="125">
        <f>Lista!E658</f>
        <v>0</v>
      </c>
      <c r="G659" s="125">
        <f>Lista!F658</f>
        <v>0</v>
      </c>
      <c r="H659" s="125">
        <f>Lista!G658</f>
        <v>0</v>
      </c>
      <c r="I659" s="125">
        <f>Lista!H658</f>
        <v>0</v>
      </c>
      <c r="J659" s="125">
        <f>Lista!I658</f>
        <v>0</v>
      </c>
      <c r="K659" s="125">
        <f>Lista!J658</f>
        <v>0</v>
      </c>
      <c r="L659" s="125">
        <f>Lista!K658</f>
        <v>0</v>
      </c>
      <c r="M659" s="125">
        <f>Lista!L658</f>
        <v>0</v>
      </c>
      <c r="N659" s="125">
        <f>Lista!M658</f>
        <v>0</v>
      </c>
      <c r="O659" s="125">
        <f>Lista!N658</f>
        <v>0</v>
      </c>
      <c r="P659" s="125">
        <f>Lista!O658</f>
        <v>0</v>
      </c>
      <c r="Q659" s="125">
        <f>Lista!P658</f>
        <v>0</v>
      </c>
      <c r="R659" s="125">
        <f>Lista!Q658</f>
        <v>0</v>
      </c>
      <c r="S659" s="125">
        <f>Lista!R658</f>
        <v>0</v>
      </c>
      <c r="T659" s="81"/>
      <c r="U659" s="81"/>
      <c r="V659" s="81"/>
      <c r="W659" s="81"/>
      <c r="X659" s="81"/>
      <c r="Y659" s="81"/>
      <c r="Z659" s="81"/>
      <c r="AA659" s="81"/>
      <c r="AB659" s="81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  <c r="BS659" s="81"/>
      <c r="BT659" s="81"/>
      <c r="BU659" s="81"/>
      <c r="BV659" s="81"/>
      <c r="BW659" s="81"/>
      <c r="BX659" s="81"/>
      <c r="BY659" s="81"/>
      <c r="BZ659" s="81"/>
      <c r="CA659" s="81"/>
      <c r="CB659" s="81"/>
      <c r="CC659" s="81"/>
      <c r="CD659" s="81"/>
      <c r="CE659" s="81"/>
      <c r="CF659" s="81"/>
      <c r="CG659" s="81"/>
      <c r="CH659" s="81"/>
      <c r="CI659" s="81"/>
      <c r="CJ659" s="81"/>
      <c r="CK659" s="81"/>
      <c r="CL659" s="81"/>
      <c r="CM659" s="81"/>
      <c r="CN659" s="81"/>
      <c r="CO659" s="81"/>
      <c r="CP659" s="81"/>
      <c r="CQ659" s="81"/>
      <c r="CR659" s="81"/>
      <c r="CS659" s="81"/>
      <c r="CT659" s="81"/>
      <c r="CU659" s="81"/>
      <c r="CV659" s="81"/>
      <c r="CW659" s="81"/>
      <c r="CX659" s="81"/>
      <c r="CY659" s="81"/>
      <c r="CZ659" s="81"/>
      <c r="DA659" s="81"/>
      <c r="DB659" s="81"/>
      <c r="DC659" s="81"/>
      <c r="DD659" s="81"/>
      <c r="DE659" s="81"/>
      <c r="DF659" s="81"/>
      <c r="DG659" s="81"/>
      <c r="DH659" s="81"/>
      <c r="DI659" s="81"/>
      <c r="DJ659" s="81"/>
      <c r="DK659" s="81"/>
      <c r="DL659" s="81"/>
      <c r="DM659" s="81"/>
      <c r="DN659" s="81"/>
      <c r="DO659" s="81"/>
      <c r="DP659" s="81"/>
      <c r="DQ659" s="81"/>
      <c r="DR659" s="81"/>
      <c r="DS659" s="81"/>
      <c r="DT659" s="81"/>
      <c r="DU659" s="81"/>
      <c r="DV659" s="81"/>
      <c r="DW659" s="121"/>
    </row>
    <row r="660" spans="1:127" x14ac:dyDescent="0.25">
      <c r="A660" s="2">
        <f>COUNTIF($D$2:D660,'Reporte de Nomina'!$E$2)</f>
        <v>0</v>
      </c>
      <c r="B660" s="125">
        <f>Lista!A659</f>
        <v>0</v>
      </c>
      <c r="C660" s="125">
        <f>Lista!B659</f>
        <v>0</v>
      </c>
      <c r="D660" s="125">
        <f>Lista!C659</f>
        <v>0</v>
      </c>
      <c r="E660" s="125">
        <f>Lista!D659</f>
        <v>0</v>
      </c>
      <c r="F660" s="125">
        <f>Lista!E659</f>
        <v>0</v>
      </c>
      <c r="G660" s="125">
        <f>Lista!F659</f>
        <v>0</v>
      </c>
      <c r="H660" s="125">
        <f>Lista!G659</f>
        <v>0</v>
      </c>
      <c r="I660" s="125">
        <f>Lista!H659</f>
        <v>0</v>
      </c>
      <c r="J660" s="125">
        <f>Lista!I659</f>
        <v>0</v>
      </c>
      <c r="K660" s="125">
        <f>Lista!J659</f>
        <v>0</v>
      </c>
      <c r="L660" s="125">
        <f>Lista!K659</f>
        <v>0</v>
      </c>
      <c r="M660" s="125">
        <f>Lista!L659</f>
        <v>0</v>
      </c>
      <c r="N660" s="125">
        <f>Lista!M659</f>
        <v>0</v>
      </c>
      <c r="O660" s="125">
        <f>Lista!N659</f>
        <v>0</v>
      </c>
      <c r="P660" s="125">
        <f>Lista!O659</f>
        <v>0</v>
      </c>
      <c r="Q660" s="125">
        <f>Lista!P659</f>
        <v>0</v>
      </c>
      <c r="R660" s="125">
        <f>Lista!Q659</f>
        <v>0</v>
      </c>
      <c r="S660" s="125">
        <f>Lista!R659</f>
        <v>0</v>
      </c>
      <c r="T660" s="81"/>
      <c r="U660" s="81"/>
      <c r="V660" s="81"/>
      <c r="W660" s="81"/>
      <c r="X660" s="81"/>
      <c r="Y660" s="81"/>
      <c r="Z660" s="81"/>
      <c r="AA660" s="81"/>
      <c r="AB660" s="81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  <c r="BS660" s="81"/>
      <c r="BT660" s="81"/>
      <c r="BU660" s="81"/>
      <c r="BV660" s="81"/>
      <c r="BW660" s="81"/>
      <c r="BX660" s="81"/>
      <c r="BY660" s="81"/>
      <c r="BZ660" s="81"/>
      <c r="CA660" s="81"/>
      <c r="CB660" s="81"/>
      <c r="CC660" s="81"/>
      <c r="CD660" s="81"/>
      <c r="CE660" s="81"/>
      <c r="CF660" s="81"/>
      <c r="CG660" s="81"/>
      <c r="CH660" s="81"/>
      <c r="CI660" s="81"/>
      <c r="CJ660" s="81"/>
      <c r="CK660" s="81"/>
      <c r="CL660" s="81"/>
      <c r="CM660" s="81"/>
      <c r="CN660" s="81"/>
      <c r="CO660" s="81"/>
      <c r="CP660" s="81"/>
      <c r="CQ660" s="81"/>
      <c r="CR660" s="81"/>
      <c r="CS660" s="81"/>
      <c r="CT660" s="81"/>
      <c r="CU660" s="81"/>
      <c r="CV660" s="81"/>
      <c r="CW660" s="81"/>
      <c r="CX660" s="81"/>
      <c r="CY660" s="81"/>
      <c r="CZ660" s="81"/>
      <c r="DA660" s="81"/>
      <c r="DB660" s="81"/>
      <c r="DC660" s="81"/>
      <c r="DD660" s="81"/>
      <c r="DE660" s="81"/>
      <c r="DF660" s="81"/>
      <c r="DG660" s="81"/>
      <c r="DH660" s="81"/>
      <c r="DI660" s="81"/>
      <c r="DJ660" s="81"/>
      <c r="DK660" s="81"/>
      <c r="DL660" s="81"/>
      <c r="DM660" s="81"/>
      <c r="DN660" s="81"/>
      <c r="DO660" s="81"/>
      <c r="DP660" s="81"/>
      <c r="DQ660" s="81"/>
      <c r="DR660" s="81"/>
      <c r="DS660" s="81"/>
      <c r="DT660" s="81"/>
      <c r="DU660" s="81"/>
      <c r="DV660" s="81"/>
      <c r="DW660" s="121"/>
    </row>
    <row r="661" spans="1:127" x14ac:dyDescent="0.25">
      <c r="A661" s="2">
        <f>COUNTIF($D$2:D661,'Reporte de Nomina'!$E$2)</f>
        <v>0</v>
      </c>
      <c r="B661" s="125">
        <f>Lista!A660</f>
        <v>0</v>
      </c>
      <c r="C661" s="125">
        <f>Lista!B660</f>
        <v>0</v>
      </c>
      <c r="D661" s="125">
        <f>Lista!C660</f>
        <v>0</v>
      </c>
      <c r="E661" s="125">
        <f>Lista!D660</f>
        <v>0</v>
      </c>
      <c r="F661" s="125">
        <f>Lista!E660</f>
        <v>0</v>
      </c>
      <c r="G661" s="125">
        <f>Lista!F660</f>
        <v>0</v>
      </c>
      <c r="H661" s="125">
        <f>Lista!G660</f>
        <v>0</v>
      </c>
      <c r="I661" s="125">
        <f>Lista!H660</f>
        <v>0</v>
      </c>
      <c r="J661" s="125">
        <f>Lista!I660</f>
        <v>0</v>
      </c>
      <c r="K661" s="125">
        <f>Lista!J660</f>
        <v>0</v>
      </c>
      <c r="L661" s="125">
        <f>Lista!K660</f>
        <v>0</v>
      </c>
      <c r="M661" s="125">
        <f>Lista!L660</f>
        <v>0</v>
      </c>
      <c r="N661" s="125">
        <f>Lista!M660</f>
        <v>0</v>
      </c>
      <c r="O661" s="125">
        <f>Lista!N660</f>
        <v>0</v>
      </c>
      <c r="P661" s="125">
        <f>Lista!O660</f>
        <v>0</v>
      </c>
      <c r="Q661" s="125">
        <f>Lista!P660</f>
        <v>0</v>
      </c>
      <c r="R661" s="125">
        <f>Lista!Q660</f>
        <v>0</v>
      </c>
      <c r="S661" s="125">
        <f>Lista!R660</f>
        <v>0</v>
      </c>
      <c r="T661" s="81"/>
      <c r="U661" s="81"/>
      <c r="V661" s="81"/>
      <c r="W661" s="81"/>
      <c r="X661" s="81"/>
      <c r="Y661" s="81"/>
      <c r="Z661" s="81"/>
      <c r="AA661" s="81"/>
      <c r="AB661" s="81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  <c r="BS661" s="81"/>
      <c r="BT661" s="81"/>
      <c r="BU661" s="81"/>
      <c r="BV661" s="81"/>
      <c r="BW661" s="81"/>
      <c r="BX661" s="81"/>
      <c r="BY661" s="81"/>
      <c r="BZ661" s="81"/>
      <c r="CA661" s="81"/>
      <c r="CB661" s="81"/>
      <c r="CC661" s="81"/>
      <c r="CD661" s="81"/>
      <c r="CE661" s="81"/>
      <c r="CF661" s="81"/>
      <c r="CG661" s="81"/>
      <c r="CH661" s="81"/>
      <c r="CI661" s="81"/>
      <c r="CJ661" s="81"/>
      <c r="CK661" s="81"/>
      <c r="CL661" s="81"/>
      <c r="CM661" s="81"/>
      <c r="CN661" s="81"/>
      <c r="CO661" s="81"/>
      <c r="CP661" s="81"/>
      <c r="CQ661" s="81"/>
      <c r="CR661" s="81"/>
      <c r="CS661" s="81"/>
      <c r="CT661" s="81"/>
      <c r="CU661" s="81"/>
      <c r="CV661" s="81"/>
      <c r="CW661" s="81"/>
      <c r="CX661" s="81"/>
      <c r="CY661" s="81"/>
      <c r="CZ661" s="81"/>
      <c r="DA661" s="81"/>
      <c r="DB661" s="81"/>
      <c r="DC661" s="81"/>
      <c r="DD661" s="81"/>
      <c r="DE661" s="81"/>
      <c r="DF661" s="81"/>
      <c r="DG661" s="81"/>
      <c r="DH661" s="81"/>
      <c r="DI661" s="81"/>
      <c r="DJ661" s="81"/>
      <c r="DK661" s="81"/>
      <c r="DL661" s="81"/>
      <c r="DM661" s="81"/>
      <c r="DN661" s="81"/>
      <c r="DO661" s="81"/>
      <c r="DP661" s="81"/>
      <c r="DQ661" s="81"/>
      <c r="DR661" s="81"/>
      <c r="DS661" s="81"/>
      <c r="DT661" s="81"/>
      <c r="DU661" s="81"/>
      <c r="DV661" s="81"/>
      <c r="DW661" s="121"/>
    </row>
    <row r="662" spans="1:127" x14ac:dyDescent="0.25">
      <c r="A662" s="2">
        <f>COUNTIF($D$2:D662,'Reporte de Nomina'!$E$2)</f>
        <v>0</v>
      </c>
      <c r="B662" s="125">
        <f>Lista!A661</f>
        <v>0</v>
      </c>
      <c r="C662" s="125">
        <f>Lista!B661</f>
        <v>0</v>
      </c>
      <c r="D662" s="125">
        <f>Lista!C661</f>
        <v>0</v>
      </c>
      <c r="E662" s="125">
        <f>Lista!D661</f>
        <v>0</v>
      </c>
      <c r="F662" s="125">
        <f>Lista!E661</f>
        <v>0</v>
      </c>
      <c r="G662" s="125">
        <f>Lista!F661</f>
        <v>0</v>
      </c>
      <c r="H662" s="125">
        <f>Lista!G661</f>
        <v>0</v>
      </c>
      <c r="I662" s="125">
        <f>Lista!H661</f>
        <v>0</v>
      </c>
      <c r="J662" s="125">
        <f>Lista!I661</f>
        <v>0</v>
      </c>
      <c r="K662" s="125">
        <f>Lista!J661</f>
        <v>0</v>
      </c>
      <c r="L662" s="125">
        <f>Lista!K661</f>
        <v>0</v>
      </c>
      <c r="M662" s="125">
        <f>Lista!L661</f>
        <v>0</v>
      </c>
      <c r="N662" s="125">
        <f>Lista!M661</f>
        <v>0</v>
      </c>
      <c r="O662" s="125">
        <f>Lista!N661</f>
        <v>0</v>
      </c>
      <c r="P662" s="125">
        <f>Lista!O661</f>
        <v>0</v>
      </c>
      <c r="Q662" s="125">
        <f>Lista!P661</f>
        <v>0</v>
      </c>
      <c r="R662" s="125">
        <f>Lista!Q661</f>
        <v>0</v>
      </c>
      <c r="S662" s="125">
        <f>Lista!R661</f>
        <v>0</v>
      </c>
      <c r="T662" s="81"/>
      <c r="U662" s="81"/>
      <c r="V662" s="81"/>
      <c r="W662" s="81"/>
      <c r="X662" s="81"/>
      <c r="Y662" s="81"/>
      <c r="Z662" s="81"/>
      <c r="AA662" s="81"/>
      <c r="AB662" s="81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  <c r="BS662" s="81"/>
      <c r="BT662" s="81"/>
      <c r="BU662" s="81"/>
      <c r="BV662" s="81"/>
      <c r="BW662" s="81"/>
      <c r="BX662" s="81"/>
      <c r="BY662" s="81"/>
      <c r="BZ662" s="81"/>
      <c r="CA662" s="81"/>
      <c r="CB662" s="81"/>
      <c r="CC662" s="81"/>
      <c r="CD662" s="81"/>
      <c r="CE662" s="81"/>
      <c r="CF662" s="81"/>
      <c r="CG662" s="81"/>
      <c r="CH662" s="81"/>
      <c r="CI662" s="81"/>
      <c r="CJ662" s="81"/>
      <c r="CK662" s="81"/>
      <c r="CL662" s="81"/>
      <c r="CM662" s="81"/>
      <c r="CN662" s="81"/>
      <c r="CO662" s="81"/>
      <c r="CP662" s="81"/>
      <c r="CQ662" s="81"/>
      <c r="CR662" s="81"/>
      <c r="CS662" s="81"/>
      <c r="CT662" s="81"/>
      <c r="CU662" s="81"/>
      <c r="CV662" s="81"/>
      <c r="CW662" s="81"/>
      <c r="CX662" s="81"/>
      <c r="CY662" s="81"/>
      <c r="CZ662" s="81"/>
      <c r="DA662" s="81"/>
      <c r="DB662" s="81"/>
      <c r="DC662" s="81"/>
      <c r="DD662" s="81"/>
      <c r="DE662" s="81"/>
      <c r="DF662" s="81"/>
      <c r="DG662" s="81"/>
      <c r="DH662" s="81"/>
      <c r="DI662" s="81"/>
      <c r="DJ662" s="81"/>
      <c r="DK662" s="81"/>
      <c r="DL662" s="81"/>
      <c r="DM662" s="81"/>
      <c r="DN662" s="81"/>
      <c r="DO662" s="81"/>
      <c r="DP662" s="81"/>
      <c r="DQ662" s="81"/>
      <c r="DR662" s="81"/>
      <c r="DS662" s="81"/>
      <c r="DT662" s="81"/>
      <c r="DU662" s="81"/>
      <c r="DV662" s="81"/>
      <c r="DW662" s="121"/>
    </row>
    <row r="663" spans="1:127" x14ac:dyDescent="0.25">
      <c r="A663" s="2">
        <f>COUNTIF($D$2:D663,'Reporte de Nomina'!$E$2)</f>
        <v>0</v>
      </c>
      <c r="B663" s="125">
        <f>Lista!A662</f>
        <v>0</v>
      </c>
      <c r="C663" s="125">
        <f>Lista!B662</f>
        <v>0</v>
      </c>
      <c r="D663" s="125">
        <f>Lista!C662</f>
        <v>0</v>
      </c>
      <c r="E663" s="125">
        <f>Lista!D662</f>
        <v>0</v>
      </c>
      <c r="F663" s="125">
        <f>Lista!E662</f>
        <v>0</v>
      </c>
      <c r="G663" s="125">
        <f>Lista!F662</f>
        <v>0</v>
      </c>
      <c r="H663" s="125">
        <f>Lista!G662</f>
        <v>0</v>
      </c>
      <c r="I663" s="125">
        <f>Lista!H662</f>
        <v>0</v>
      </c>
      <c r="J663" s="125">
        <f>Lista!I662</f>
        <v>0</v>
      </c>
      <c r="K663" s="125">
        <f>Lista!J662</f>
        <v>0</v>
      </c>
      <c r="L663" s="125">
        <f>Lista!K662</f>
        <v>0</v>
      </c>
      <c r="M663" s="125">
        <f>Lista!L662</f>
        <v>0</v>
      </c>
      <c r="N663" s="125">
        <f>Lista!M662</f>
        <v>0</v>
      </c>
      <c r="O663" s="125">
        <f>Lista!N662</f>
        <v>0</v>
      </c>
      <c r="P663" s="125">
        <f>Lista!O662</f>
        <v>0</v>
      </c>
      <c r="Q663" s="125">
        <f>Lista!P662</f>
        <v>0</v>
      </c>
      <c r="R663" s="125">
        <f>Lista!Q662</f>
        <v>0</v>
      </c>
      <c r="S663" s="125">
        <f>Lista!R662</f>
        <v>0</v>
      </c>
      <c r="T663" s="81"/>
      <c r="U663" s="81"/>
      <c r="V663" s="81"/>
      <c r="W663" s="81"/>
      <c r="X663" s="81"/>
      <c r="Y663" s="81"/>
      <c r="Z663" s="81"/>
      <c r="AA663" s="81"/>
      <c r="AB663" s="81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  <c r="BS663" s="81"/>
      <c r="BT663" s="81"/>
      <c r="BU663" s="81"/>
      <c r="BV663" s="81"/>
      <c r="BW663" s="81"/>
      <c r="BX663" s="81"/>
      <c r="BY663" s="81"/>
      <c r="BZ663" s="81"/>
      <c r="CA663" s="81"/>
      <c r="CB663" s="81"/>
      <c r="CC663" s="81"/>
      <c r="CD663" s="81"/>
      <c r="CE663" s="81"/>
      <c r="CF663" s="81"/>
      <c r="CG663" s="81"/>
      <c r="CH663" s="81"/>
      <c r="CI663" s="81"/>
      <c r="CJ663" s="81"/>
      <c r="CK663" s="81"/>
      <c r="CL663" s="81"/>
      <c r="CM663" s="81"/>
      <c r="CN663" s="81"/>
      <c r="CO663" s="81"/>
      <c r="CP663" s="81"/>
      <c r="CQ663" s="81"/>
      <c r="CR663" s="81"/>
      <c r="CS663" s="81"/>
      <c r="CT663" s="81"/>
      <c r="CU663" s="81"/>
      <c r="CV663" s="81"/>
      <c r="CW663" s="81"/>
      <c r="CX663" s="81"/>
      <c r="CY663" s="81"/>
      <c r="CZ663" s="81"/>
      <c r="DA663" s="81"/>
      <c r="DB663" s="81"/>
      <c r="DC663" s="81"/>
      <c r="DD663" s="81"/>
      <c r="DE663" s="81"/>
      <c r="DF663" s="81"/>
      <c r="DG663" s="81"/>
      <c r="DH663" s="81"/>
      <c r="DI663" s="81"/>
      <c r="DJ663" s="81"/>
      <c r="DK663" s="81"/>
      <c r="DL663" s="81"/>
      <c r="DM663" s="81"/>
      <c r="DN663" s="81"/>
      <c r="DO663" s="81"/>
      <c r="DP663" s="81"/>
      <c r="DQ663" s="81"/>
      <c r="DR663" s="81"/>
      <c r="DS663" s="81"/>
      <c r="DT663" s="81"/>
      <c r="DU663" s="81"/>
      <c r="DV663" s="81"/>
      <c r="DW663" s="121"/>
    </row>
    <row r="664" spans="1:127" x14ac:dyDescent="0.25">
      <c r="A664" s="2">
        <f>COUNTIF($D$2:D664,'Reporte de Nomina'!$E$2)</f>
        <v>0</v>
      </c>
      <c r="B664" s="125">
        <f>Lista!A663</f>
        <v>0</v>
      </c>
      <c r="C664" s="125">
        <f>Lista!B663</f>
        <v>0</v>
      </c>
      <c r="D664" s="125">
        <f>Lista!C663</f>
        <v>0</v>
      </c>
      <c r="E664" s="125">
        <f>Lista!D663</f>
        <v>0</v>
      </c>
      <c r="F664" s="125">
        <f>Lista!E663</f>
        <v>0</v>
      </c>
      <c r="G664" s="125">
        <f>Lista!F663</f>
        <v>0</v>
      </c>
      <c r="H664" s="125">
        <f>Lista!G663</f>
        <v>0</v>
      </c>
      <c r="I664" s="125">
        <f>Lista!H663</f>
        <v>0</v>
      </c>
      <c r="J664" s="125">
        <f>Lista!I663</f>
        <v>0</v>
      </c>
      <c r="K664" s="125">
        <f>Lista!J663</f>
        <v>0</v>
      </c>
      <c r="L664" s="125">
        <f>Lista!K663</f>
        <v>0</v>
      </c>
      <c r="M664" s="125">
        <f>Lista!L663</f>
        <v>0</v>
      </c>
      <c r="N664" s="125">
        <f>Lista!M663</f>
        <v>0</v>
      </c>
      <c r="O664" s="125">
        <f>Lista!N663</f>
        <v>0</v>
      </c>
      <c r="P664" s="125">
        <f>Lista!O663</f>
        <v>0</v>
      </c>
      <c r="Q664" s="125">
        <f>Lista!P663</f>
        <v>0</v>
      </c>
      <c r="R664" s="125">
        <f>Lista!Q663</f>
        <v>0</v>
      </c>
      <c r="S664" s="125">
        <f>Lista!R663</f>
        <v>0</v>
      </c>
      <c r="T664" s="81"/>
      <c r="U664" s="81"/>
      <c r="V664" s="81"/>
      <c r="W664" s="81"/>
      <c r="X664" s="81"/>
      <c r="Y664" s="81"/>
      <c r="Z664" s="81"/>
      <c r="AA664" s="81"/>
      <c r="AB664" s="81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  <c r="BS664" s="81"/>
      <c r="BT664" s="81"/>
      <c r="BU664" s="81"/>
      <c r="BV664" s="81"/>
      <c r="BW664" s="81"/>
      <c r="BX664" s="81"/>
      <c r="BY664" s="81"/>
      <c r="BZ664" s="81"/>
      <c r="CA664" s="81"/>
      <c r="CB664" s="81"/>
      <c r="CC664" s="81"/>
      <c r="CD664" s="81"/>
      <c r="CE664" s="81"/>
      <c r="CF664" s="81"/>
      <c r="CG664" s="81"/>
      <c r="CH664" s="81"/>
      <c r="CI664" s="81"/>
      <c r="CJ664" s="81"/>
      <c r="CK664" s="81"/>
      <c r="CL664" s="81"/>
      <c r="CM664" s="81"/>
      <c r="CN664" s="81"/>
      <c r="CO664" s="81"/>
      <c r="CP664" s="81"/>
      <c r="CQ664" s="81"/>
      <c r="CR664" s="81"/>
      <c r="CS664" s="81"/>
      <c r="CT664" s="81"/>
      <c r="CU664" s="81"/>
      <c r="CV664" s="81"/>
      <c r="CW664" s="81"/>
      <c r="CX664" s="81"/>
      <c r="CY664" s="81"/>
      <c r="CZ664" s="81"/>
      <c r="DA664" s="81"/>
      <c r="DB664" s="81"/>
      <c r="DC664" s="81"/>
      <c r="DD664" s="81"/>
      <c r="DE664" s="81"/>
      <c r="DF664" s="81"/>
      <c r="DG664" s="81"/>
      <c r="DH664" s="81"/>
      <c r="DI664" s="81"/>
      <c r="DJ664" s="81"/>
      <c r="DK664" s="81"/>
      <c r="DL664" s="81"/>
      <c r="DM664" s="81"/>
      <c r="DN664" s="81"/>
      <c r="DO664" s="81"/>
      <c r="DP664" s="81"/>
      <c r="DQ664" s="81"/>
      <c r="DR664" s="81"/>
      <c r="DS664" s="81"/>
      <c r="DT664" s="81"/>
      <c r="DU664" s="81"/>
      <c r="DV664" s="81"/>
      <c r="DW664" s="121"/>
    </row>
    <row r="665" spans="1:127" x14ac:dyDescent="0.25">
      <c r="A665" s="2">
        <f>COUNTIF($D$2:D665,'Reporte de Nomina'!$E$2)</f>
        <v>0</v>
      </c>
      <c r="B665" s="125">
        <f>Lista!A664</f>
        <v>0</v>
      </c>
      <c r="C665" s="125">
        <f>Lista!B664</f>
        <v>0</v>
      </c>
      <c r="D665" s="125">
        <f>Lista!C664</f>
        <v>0</v>
      </c>
      <c r="E665" s="125">
        <f>Lista!D664</f>
        <v>0</v>
      </c>
      <c r="F665" s="125">
        <f>Lista!E664</f>
        <v>0</v>
      </c>
      <c r="G665" s="125">
        <f>Lista!F664</f>
        <v>0</v>
      </c>
      <c r="H665" s="125">
        <f>Lista!G664</f>
        <v>0</v>
      </c>
      <c r="I665" s="125">
        <f>Lista!H664</f>
        <v>0</v>
      </c>
      <c r="J665" s="125">
        <f>Lista!I664</f>
        <v>0</v>
      </c>
      <c r="K665" s="125">
        <f>Lista!J664</f>
        <v>0</v>
      </c>
      <c r="L665" s="125">
        <f>Lista!K664</f>
        <v>0</v>
      </c>
      <c r="M665" s="125">
        <f>Lista!L664</f>
        <v>0</v>
      </c>
      <c r="N665" s="125">
        <f>Lista!M664</f>
        <v>0</v>
      </c>
      <c r="O665" s="125">
        <f>Lista!N664</f>
        <v>0</v>
      </c>
      <c r="P665" s="125">
        <f>Lista!O664</f>
        <v>0</v>
      </c>
      <c r="Q665" s="125">
        <f>Lista!P664</f>
        <v>0</v>
      </c>
      <c r="R665" s="125">
        <f>Lista!Q664</f>
        <v>0</v>
      </c>
      <c r="S665" s="125">
        <f>Lista!R664</f>
        <v>0</v>
      </c>
      <c r="T665" s="81"/>
      <c r="U665" s="81"/>
      <c r="V665" s="81"/>
      <c r="W665" s="81"/>
      <c r="X665" s="81"/>
      <c r="Y665" s="81"/>
      <c r="Z665" s="81"/>
      <c r="AA665" s="81"/>
      <c r="AB665" s="81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  <c r="BS665" s="81"/>
      <c r="BT665" s="81"/>
      <c r="BU665" s="81"/>
      <c r="BV665" s="81"/>
      <c r="BW665" s="81"/>
      <c r="BX665" s="81"/>
      <c r="BY665" s="81"/>
      <c r="BZ665" s="81"/>
      <c r="CA665" s="81"/>
      <c r="CB665" s="81"/>
      <c r="CC665" s="81"/>
      <c r="CD665" s="81"/>
      <c r="CE665" s="81"/>
      <c r="CF665" s="81"/>
      <c r="CG665" s="81"/>
      <c r="CH665" s="81"/>
      <c r="CI665" s="81"/>
      <c r="CJ665" s="81"/>
      <c r="CK665" s="81"/>
      <c r="CL665" s="81"/>
      <c r="CM665" s="81"/>
      <c r="CN665" s="81"/>
      <c r="CO665" s="81"/>
      <c r="CP665" s="81"/>
      <c r="CQ665" s="81"/>
      <c r="CR665" s="81"/>
      <c r="CS665" s="81"/>
      <c r="CT665" s="81"/>
      <c r="CU665" s="81"/>
      <c r="CV665" s="81"/>
      <c r="CW665" s="81"/>
      <c r="CX665" s="81"/>
      <c r="CY665" s="81"/>
      <c r="CZ665" s="81"/>
      <c r="DA665" s="81"/>
      <c r="DB665" s="81"/>
      <c r="DC665" s="81"/>
      <c r="DD665" s="81"/>
      <c r="DE665" s="81"/>
      <c r="DF665" s="81"/>
      <c r="DG665" s="81"/>
      <c r="DH665" s="81"/>
      <c r="DI665" s="81"/>
      <c r="DJ665" s="81"/>
      <c r="DK665" s="81"/>
      <c r="DL665" s="81"/>
      <c r="DM665" s="81"/>
      <c r="DN665" s="81"/>
      <c r="DO665" s="81"/>
      <c r="DP665" s="81"/>
      <c r="DQ665" s="81"/>
      <c r="DR665" s="81"/>
      <c r="DS665" s="81"/>
      <c r="DT665" s="81"/>
      <c r="DU665" s="81"/>
      <c r="DV665" s="81"/>
      <c r="DW665" s="121"/>
    </row>
    <row r="666" spans="1:127" x14ac:dyDescent="0.25">
      <c r="A666" s="2">
        <f>COUNTIF($D$2:D666,'Reporte de Nomina'!$E$2)</f>
        <v>0</v>
      </c>
      <c r="B666" s="125">
        <f>Lista!A665</f>
        <v>0</v>
      </c>
      <c r="C666" s="125">
        <f>Lista!B665</f>
        <v>0</v>
      </c>
      <c r="D666" s="125">
        <f>Lista!C665</f>
        <v>0</v>
      </c>
      <c r="E666" s="125">
        <f>Lista!D665</f>
        <v>0</v>
      </c>
      <c r="F666" s="125">
        <f>Lista!E665</f>
        <v>0</v>
      </c>
      <c r="G666" s="125">
        <f>Lista!F665</f>
        <v>0</v>
      </c>
      <c r="H666" s="125">
        <f>Lista!G665</f>
        <v>0</v>
      </c>
      <c r="I666" s="125">
        <f>Lista!H665</f>
        <v>0</v>
      </c>
      <c r="J666" s="125">
        <f>Lista!I665</f>
        <v>0</v>
      </c>
      <c r="K666" s="125">
        <f>Lista!J665</f>
        <v>0</v>
      </c>
      <c r="L666" s="125">
        <f>Lista!K665</f>
        <v>0</v>
      </c>
      <c r="M666" s="125">
        <f>Lista!L665</f>
        <v>0</v>
      </c>
      <c r="N666" s="125">
        <f>Lista!M665</f>
        <v>0</v>
      </c>
      <c r="O666" s="125">
        <f>Lista!N665</f>
        <v>0</v>
      </c>
      <c r="P666" s="125">
        <f>Lista!O665</f>
        <v>0</v>
      </c>
      <c r="Q666" s="125">
        <f>Lista!P665</f>
        <v>0</v>
      </c>
      <c r="R666" s="125">
        <f>Lista!Q665</f>
        <v>0</v>
      </c>
      <c r="S666" s="125">
        <f>Lista!R665</f>
        <v>0</v>
      </c>
      <c r="T666" s="81"/>
      <c r="U666" s="81"/>
      <c r="V666" s="81"/>
      <c r="W666" s="81"/>
      <c r="X666" s="81"/>
      <c r="Y666" s="81"/>
      <c r="Z666" s="81"/>
      <c r="AA666" s="81"/>
      <c r="AB666" s="81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  <c r="BS666" s="81"/>
      <c r="BT666" s="81"/>
      <c r="BU666" s="81"/>
      <c r="BV666" s="81"/>
      <c r="BW666" s="81"/>
      <c r="BX666" s="81"/>
      <c r="BY666" s="81"/>
      <c r="BZ666" s="81"/>
      <c r="CA666" s="81"/>
      <c r="CB666" s="81"/>
      <c r="CC666" s="81"/>
      <c r="CD666" s="81"/>
      <c r="CE666" s="81"/>
      <c r="CF666" s="81"/>
      <c r="CG666" s="81"/>
      <c r="CH666" s="81"/>
      <c r="CI666" s="81"/>
      <c r="CJ666" s="81"/>
      <c r="CK666" s="81"/>
      <c r="CL666" s="81"/>
      <c r="CM666" s="81"/>
      <c r="CN666" s="81"/>
      <c r="CO666" s="81"/>
      <c r="CP666" s="81"/>
      <c r="CQ666" s="81"/>
      <c r="CR666" s="81"/>
      <c r="CS666" s="81"/>
      <c r="CT666" s="81"/>
      <c r="CU666" s="81"/>
      <c r="CV666" s="81"/>
      <c r="CW666" s="81"/>
      <c r="CX666" s="81"/>
      <c r="CY666" s="81"/>
      <c r="CZ666" s="81"/>
      <c r="DA666" s="81"/>
      <c r="DB666" s="81"/>
      <c r="DC666" s="81"/>
      <c r="DD666" s="81"/>
      <c r="DE666" s="81"/>
      <c r="DF666" s="81"/>
      <c r="DG666" s="81"/>
      <c r="DH666" s="81"/>
      <c r="DI666" s="81"/>
      <c r="DJ666" s="81"/>
      <c r="DK666" s="81"/>
      <c r="DL666" s="81"/>
      <c r="DM666" s="81"/>
      <c r="DN666" s="81"/>
      <c r="DO666" s="81"/>
      <c r="DP666" s="81"/>
      <c r="DQ666" s="81"/>
      <c r="DR666" s="81"/>
      <c r="DS666" s="81"/>
      <c r="DT666" s="81"/>
      <c r="DU666" s="81"/>
      <c r="DV666" s="81"/>
      <c r="DW666" s="121"/>
    </row>
    <row r="667" spans="1:127" x14ac:dyDescent="0.25">
      <c r="A667" s="2">
        <f>COUNTIF($D$2:D667,'Reporte de Nomina'!$E$2)</f>
        <v>0</v>
      </c>
      <c r="B667" s="125">
        <f>Lista!A666</f>
        <v>0</v>
      </c>
      <c r="C667" s="125">
        <f>Lista!B666</f>
        <v>0</v>
      </c>
      <c r="D667" s="125">
        <f>Lista!C666</f>
        <v>0</v>
      </c>
      <c r="E667" s="125">
        <f>Lista!D666</f>
        <v>0</v>
      </c>
      <c r="F667" s="125">
        <f>Lista!E666</f>
        <v>0</v>
      </c>
      <c r="G667" s="125">
        <f>Lista!F666</f>
        <v>0</v>
      </c>
      <c r="H667" s="125">
        <f>Lista!G666</f>
        <v>0</v>
      </c>
      <c r="I667" s="125">
        <f>Lista!H666</f>
        <v>0</v>
      </c>
      <c r="J667" s="125">
        <f>Lista!I666</f>
        <v>0</v>
      </c>
      <c r="K667" s="125">
        <f>Lista!J666</f>
        <v>0</v>
      </c>
      <c r="L667" s="125">
        <f>Lista!K666</f>
        <v>0</v>
      </c>
      <c r="M667" s="125">
        <f>Lista!L666</f>
        <v>0</v>
      </c>
      <c r="N667" s="125">
        <f>Lista!M666</f>
        <v>0</v>
      </c>
      <c r="O667" s="125">
        <f>Lista!N666</f>
        <v>0</v>
      </c>
      <c r="P667" s="125">
        <f>Lista!O666</f>
        <v>0</v>
      </c>
      <c r="Q667" s="125">
        <f>Lista!P666</f>
        <v>0</v>
      </c>
      <c r="R667" s="125">
        <f>Lista!Q666</f>
        <v>0</v>
      </c>
      <c r="S667" s="125">
        <f>Lista!R666</f>
        <v>0</v>
      </c>
      <c r="T667" s="81"/>
      <c r="U667" s="81"/>
      <c r="V667" s="81"/>
      <c r="W667" s="81"/>
      <c r="X667" s="81"/>
      <c r="Y667" s="81"/>
      <c r="Z667" s="81"/>
      <c r="AA667" s="81"/>
      <c r="AB667" s="81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  <c r="BS667" s="81"/>
      <c r="BT667" s="81"/>
      <c r="BU667" s="81"/>
      <c r="BV667" s="81"/>
      <c r="BW667" s="81"/>
      <c r="BX667" s="81"/>
      <c r="BY667" s="81"/>
      <c r="BZ667" s="81"/>
      <c r="CA667" s="81"/>
      <c r="CB667" s="81"/>
      <c r="CC667" s="81"/>
      <c r="CD667" s="81"/>
      <c r="CE667" s="81"/>
      <c r="CF667" s="81"/>
      <c r="CG667" s="81"/>
      <c r="CH667" s="81"/>
      <c r="CI667" s="81"/>
      <c r="CJ667" s="81"/>
      <c r="CK667" s="81"/>
      <c r="CL667" s="81"/>
      <c r="CM667" s="81"/>
      <c r="CN667" s="81"/>
      <c r="CO667" s="81"/>
      <c r="CP667" s="81"/>
      <c r="CQ667" s="81"/>
      <c r="CR667" s="81"/>
      <c r="CS667" s="81"/>
      <c r="CT667" s="81"/>
      <c r="CU667" s="81"/>
      <c r="CV667" s="81"/>
      <c r="CW667" s="81"/>
      <c r="CX667" s="81"/>
      <c r="CY667" s="81"/>
      <c r="CZ667" s="81"/>
      <c r="DA667" s="81"/>
      <c r="DB667" s="81"/>
      <c r="DC667" s="81"/>
      <c r="DD667" s="81"/>
      <c r="DE667" s="81"/>
      <c r="DF667" s="81"/>
      <c r="DG667" s="81"/>
      <c r="DH667" s="81"/>
      <c r="DI667" s="81"/>
      <c r="DJ667" s="81"/>
      <c r="DK667" s="81"/>
      <c r="DL667" s="81"/>
      <c r="DM667" s="81"/>
      <c r="DN667" s="81"/>
      <c r="DO667" s="81"/>
      <c r="DP667" s="81"/>
      <c r="DQ667" s="81"/>
      <c r="DR667" s="81"/>
      <c r="DS667" s="81"/>
      <c r="DT667" s="81"/>
      <c r="DU667" s="81"/>
      <c r="DV667" s="81"/>
      <c r="DW667" s="121"/>
    </row>
    <row r="668" spans="1:127" x14ac:dyDescent="0.25">
      <c r="A668" s="2">
        <f>COUNTIF($D$2:D668,'Reporte de Nomina'!$E$2)</f>
        <v>0</v>
      </c>
      <c r="B668" s="125">
        <f>Lista!A667</f>
        <v>0</v>
      </c>
      <c r="C668" s="125">
        <f>Lista!B667</f>
        <v>0</v>
      </c>
      <c r="D668" s="125">
        <f>Lista!C667</f>
        <v>0</v>
      </c>
      <c r="E668" s="125">
        <f>Lista!D667</f>
        <v>0</v>
      </c>
      <c r="F668" s="125">
        <f>Lista!E667</f>
        <v>0</v>
      </c>
      <c r="G668" s="125">
        <f>Lista!F667</f>
        <v>0</v>
      </c>
      <c r="H668" s="125">
        <f>Lista!G667</f>
        <v>0</v>
      </c>
      <c r="I668" s="125">
        <f>Lista!H667</f>
        <v>0</v>
      </c>
      <c r="J668" s="125">
        <f>Lista!I667</f>
        <v>0</v>
      </c>
      <c r="K668" s="125">
        <f>Lista!J667</f>
        <v>0</v>
      </c>
      <c r="L668" s="125">
        <f>Lista!K667</f>
        <v>0</v>
      </c>
      <c r="M668" s="125">
        <f>Lista!L667</f>
        <v>0</v>
      </c>
      <c r="N668" s="125">
        <f>Lista!M667</f>
        <v>0</v>
      </c>
      <c r="O668" s="125">
        <f>Lista!N667</f>
        <v>0</v>
      </c>
      <c r="P668" s="125">
        <f>Lista!O667</f>
        <v>0</v>
      </c>
      <c r="Q668" s="125">
        <f>Lista!P667</f>
        <v>0</v>
      </c>
      <c r="R668" s="125">
        <f>Lista!Q667</f>
        <v>0</v>
      </c>
      <c r="S668" s="125">
        <f>Lista!R667</f>
        <v>0</v>
      </c>
      <c r="T668" s="81"/>
      <c r="U668" s="81"/>
      <c r="V668" s="81"/>
      <c r="W668" s="81"/>
      <c r="X668" s="81"/>
      <c r="Y668" s="81"/>
      <c r="Z668" s="81"/>
      <c r="AA668" s="81"/>
      <c r="AB668" s="81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  <c r="BS668" s="81"/>
      <c r="BT668" s="81"/>
      <c r="BU668" s="81"/>
      <c r="BV668" s="81"/>
      <c r="BW668" s="81"/>
      <c r="BX668" s="81"/>
      <c r="BY668" s="81"/>
      <c r="BZ668" s="81"/>
      <c r="CA668" s="81"/>
      <c r="CB668" s="81"/>
      <c r="CC668" s="81"/>
      <c r="CD668" s="81"/>
      <c r="CE668" s="81"/>
      <c r="CF668" s="81"/>
      <c r="CG668" s="81"/>
      <c r="CH668" s="81"/>
      <c r="CI668" s="81"/>
      <c r="CJ668" s="81"/>
      <c r="CK668" s="81"/>
      <c r="CL668" s="81"/>
      <c r="CM668" s="81"/>
      <c r="CN668" s="81"/>
      <c r="CO668" s="81"/>
      <c r="CP668" s="81"/>
      <c r="CQ668" s="81"/>
      <c r="CR668" s="81"/>
      <c r="CS668" s="81"/>
      <c r="CT668" s="81"/>
      <c r="CU668" s="81"/>
      <c r="CV668" s="81"/>
      <c r="CW668" s="81"/>
      <c r="CX668" s="81"/>
      <c r="CY668" s="81"/>
      <c r="CZ668" s="81"/>
      <c r="DA668" s="81"/>
      <c r="DB668" s="81"/>
      <c r="DC668" s="81"/>
      <c r="DD668" s="81"/>
      <c r="DE668" s="81"/>
      <c r="DF668" s="81"/>
      <c r="DG668" s="81"/>
      <c r="DH668" s="81"/>
      <c r="DI668" s="81"/>
      <c r="DJ668" s="81"/>
      <c r="DK668" s="81"/>
      <c r="DL668" s="81"/>
      <c r="DM668" s="81"/>
      <c r="DN668" s="81"/>
      <c r="DO668" s="81"/>
      <c r="DP668" s="81"/>
      <c r="DQ668" s="81"/>
      <c r="DR668" s="81"/>
      <c r="DS668" s="81"/>
      <c r="DT668" s="81"/>
      <c r="DU668" s="81"/>
      <c r="DV668" s="81"/>
      <c r="DW668" s="121"/>
    </row>
    <row r="669" spans="1:127" x14ac:dyDescent="0.25">
      <c r="A669" s="2">
        <f>COUNTIF($D$2:D669,'Reporte de Nomina'!$E$2)</f>
        <v>0</v>
      </c>
      <c r="B669" s="125">
        <f>Lista!A668</f>
        <v>0</v>
      </c>
      <c r="C669" s="125">
        <f>Lista!B668</f>
        <v>0</v>
      </c>
      <c r="D669" s="125">
        <f>Lista!C668</f>
        <v>0</v>
      </c>
      <c r="E669" s="125">
        <f>Lista!D668</f>
        <v>0</v>
      </c>
      <c r="F669" s="125">
        <f>Lista!E668</f>
        <v>0</v>
      </c>
      <c r="G669" s="125">
        <f>Lista!F668</f>
        <v>0</v>
      </c>
      <c r="H669" s="125">
        <f>Lista!G668</f>
        <v>0</v>
      </c>
      <c r="I669" s="125">
        <f>Lista!H668</f>
        <v>0</v>
      </c>
      <c r="J669" s="125">
        <f>Lista!I668</f>
        <v>0</v>
      </c>
      <c r="K669" s="125">
        <f>Lista!J668</f>
        <v>0</v>
      </c>
      <c r="L669" s="125">
        <f>Lista!K668</f>
        <v>0</v>
      </c>
      <c r="M669" s="125">
        <f>Lista!L668</f>
        <v>0</v>
      </c>
      <c r="N669" s="125">
        <f>Lista!M668</f>
        <v>0</v>
      </c>
      <c r="O669" s="125">
        <f>Lista!N668</f>
        <v>0</v>
      </c>
      <c r="P669" s="125">
        <f>Lista!O668</f>
        <v>0</v>
      </c>
      <c r="Q669" s="125">
        <f>Lista!P668</f>
        <v>0</v>
      </c>
      <c r="R669" s="125">
        <f>Lista!Q668</f>
        <v>0</v>
      </c>
      <c r="S669" s="125">
        <f>Lista!R668</f>
        <v>0</v>
      </c>
      <c r="T669" s="81"/>
      <c r="U669" s="81"/>
      <c r="V669" s="81"/>
      <c r="W669" s="81"/>
      <c r="X669" s="81"/>
      <c r="Y669" s="81"/>
      <c r="Z669" s="81"/>
      <c r="AA669" s="81"/>
      <c r="AB669" s="81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  <c r="BS669" s="81"/>
      <c r="BT669" s="81"/>
      <c r="BU669" s="81"/>
      <c r="BV669" s="81"/>
      <c r="BW669" s="81"/>
      <c r="BX669" s="81"/>
      <c r="BY669" s="81"/>
      <c r="BZ669" s="81"/>
      <c r="CA669" s="81"/>
      <c r="CB669" s="81"/>
      <c r="CC669" s="81"/>
      <c r="CD669" s="81"/>
      <c r="CE669" s="81"/>
      <c r="CF669" s="81"/>
      <c r="CG669" s="81"/>
      <c r="CH669" s="81"/>
      <c r="CI669" s="81"/>
      <c r="CJ669" s="81"/>
      <c r="CK669" s="81"/>
      <c r="CL669" s="81"/>
      <c r="CM669" s="81"/>
      <c r="CN669" s="81"/>
      <c r="CO669" s="81"/>
      <c r="CP669" s="81"/>
      <c r="CQ669" s="81"/>
      <c r="CR669" s="81"/>
      <c r="CS669" s="81"/>
      <c r="CT669" s="81"/>
      <c r="CU669" s="81"/>
      <c r="CV669" s="81"/>
      <c r="CW669" s="81"/>
      <c r="CX669" s="81"/>
      <c r="CY669" s="81"/>
      <c r="CZ669" s="81"/>
      <c r="DA669" s="81"/>
      <c r="DB669" s="81"/>
      <c r="DC669" s="81"/>
      <c r="DD669" s="81"/>
      <c r="DE669" s="81"/>
      <c r="DF669" s="81"/>
      <c r="DG669" s="81"/>
      <c r="DH669" s="81"/>
      <c r="DI669" s="81"/>
      <c r="DJ669" s="81"/>
      <c r="DK669" s="81"/>
      <c r="DL669" s="81"/>
      <c r="DM669" s="81"/>
      <c r="DN669" s="81"/>
      <c r="DO669" s="81"/>
      <c r="DP669" s="81"/>
      <c r="DQ669" s="81"/>
      <c r="DR669" s="81"/>
      <c r="DS669" s="81"/>
      <c r="DT669" s="81"/>
      <c r="DU669" s="81"/>
      <c r="DV669" s="81"/>
      <c r="DW669" s="121"/>
    </row>
    <row r="670" spans="1:127" x14ac:dyDescent="0.25">
      <c r="A670" s="2">
        <f>COUNTIF($D$2:D670,'Reporte de Nomina'!$E$2)</f>
        <v>0</v>
      </c>
      <c r="B670" s="125">
        <f>Lista!A669</f>
        <v>0</v>
      </c>
      <c r="C670" s="125">
        <f>Lista!B669</f>
        <v>0</v>
      </c>
      <c r="D670" s="125">
        <f>Lista!C669</f>
        <v>0</v>
      </c>
      <c r="E670" s="125">
        <f>Lista!D669</f>
        <v>0</v>
      </c>
      <c r="F670" s="125">
        <f>Lista!E669</f>
        <v>0</v>
      </c>
      <c r="G670" s="125">
        <f>Lista!F669</f>
        <v>0</v>
      </c>
      <c r="H670" s="125">
        <f>Lista!G669</f>
        <v>0</v>
      </c>
      <c r="I670" s="125">
        <f>Lista!H669</f>
        <v>0</v>
      </c>
      <c r="J670" s="125">
        <f>Lista!I669</f>
        <v>0</v>
      </c>
      <c r="K670" s="125">
        <f>Lista!J669</f>
        <v>0</v>
      </c>
      <c r="L670" s="125">
        <f>Lista!K669</f>
        <v>0</v>
      </c>
      <c r="M670" s="125">
        <f>Lista!L669</f>
        <v>0</v>
      </c>
      <c r="N670" s="125">
        <f>Lista!M669</f>
        <v>0</v>
      </c>
      <c r="O670" s="125">
        <f>Lista!N669</f>
        <v>0</v>
      </c>
      <c r="P670" s="125">
        <f>Lista!O669</f>
        <v>0</v>
      </c>
      <c r="Q670" s="125">
        <f>Lista!P669</f>
        <v>0</v>
      </c>
      <c r="R670" s="125">
        <f>Lista!Q669</f>
        <v>0</v>
      </c>
      <c r="S670" s="125">
        <f>Lista!R669</f>
        <v>0</v>
      </c>
      <c r="T670" s="81"/>
      <c r="U670" s="81"/>
      <c r="V670" s="81"/>
      <c r="W670" s="81"/>
      <c r="X670" s="81"/>
      <c r="Y670" s="81"/>
      <c r="Z670" s="81"/>
      <c r="AA670" s="81"/>
      <c r="AB670" s="81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  <c r="BS670" s="81"/>
      <c r="BT670" s="81"/>
      <c r="BU670" s="81"/>
      <c r="BV670" s="81"/>
      <c r="BW670" s="81"/>
      <c r="BX670" s="81"/>
      <c r="BY670" s="81"/>
      <c r="BZ670" s="81"/>
      <c r="CA670" s="81"/>
      <c r="CB670" s="81"/>
      <c r="CC670" s="81"/>
      <c r="CD670" s="81"/>
      <c r="CE670" s="81"/>
      <c r="CF670" s="81"/>
      <c r="CG670" s="81"/>
      <c r="CH670" s="81"/>
      <c r="CI670" s="81"/>
      <c r="CJ670" s="81"/>
      <c r="CK670" s="81"/>
      <c r="CL670" s="81"/>
      <c r="CM670" s="81"/>
      <c r="CN670" s="81"/>
      <c r="CO670" s="81"/>
      <c r="CP670" s="81"/>
      <c r="CQ670" s="81"/>
      <c r="CR670" s="81"/>
      <c r="CS670" s="81"/>
      <c r="CT670" s="81"/>
      <c r="CU670" s="81"/>
      <c r="CV670" s="81"/>
      <c r="CW670" s="81"/>
      <c r="CX670" s="81"/>
      <c r="CY670" s="81"/>
      <c r="CZ670" s="81"/>
      <c r="DA670" s="81"/>
      <c r="DB670" s="81"/>
      <c r="DC670" s="81"/>
      <c r="DD670" s="81"/>
      <c r="DE670" s="81"/>
      <c r="DF670" s="81"/>
      <c r="DG670" s="81"/>
      <c r="DH670" s="81"/>
      <c r="DI670" s="81"/>
      <c r="DJ670" s="81"/>
      <c r="DK670" s="81"/>
      <c r="DL670" s="81"/>
      <c r="DM670" s="81"/>
      <c r="DN670" s="81"/>
      <c r="DO670" s="81"/>
      <c r="DP670" s="81"/>
      <c r="DQ670" s="81"/>
      <c r="DR670" s="81"/>
      <c r="DS670" s="81"/>
      <c r="DT670" s="81"/>
      <c r="DU670" s="81"/>
      <c r="DV670" s="81"/>
      <c r="DW670" s="121"/>
    </row>
    <row r="671" spans="1:127" x14ac:dyDescent="0.25">
      <c r="A671" s="2">
        <f>COUNTIF($D$2:D671,'Reporte de Nomina'!$E$2)</f>
        <v>0</v>
      </c>
      <c r="B671" s="125">
        <f>Lista!A670</f>
        <v>0</v>
      </c>
      <c r="C671" s="125">
        <f>Lista!B670</f>
        <v>0</v>
      </c>
      <c r="D671" s="125">
        <f>Lista!C670</f>
        <v>0</v>
      </c>
      <c r="E671" s="125">
        <f>Lista!D670</f>
        <v>0</v>
      </c>
      <c r="F671" s="125">
        <f>Lista!E670</f>
        <v>0</v>
      </c>
      <c r="G671" s="125">
        <f>Lista!F670</f>
        <v>0</v>
      </c>
      <c r="H671" s="125">
        <f>Lista!G670</f>
        <v>0</v>
      </c>
      <c r="I671" s="125">
        <f>Lista!H670</f>
        <v>0</v>
      </c>
      <c r="J671" s="125">
        <f>Lista!I670</f>
        <v>0</v>
      </c>
      <c r="K671" s="125">
        <f>Lista!J670</f>
        <v>0</v>
      </c>
      <c r="L671" s="125">
        <f>Lista!K670</f>
        <v>0</v>
      </c>
      <c r="M671" s="125">
        <f>Lista!L670</f>
        <v>0</v>
      </c>
      <c r="N671" s="125">
        <f>Lista!M670</f>
        <v>0</v>
      </c>
      <c r="O671" s="125">
        <f>Lista!N670</f>
        <v>0</v>
      </c>
      <c r="P671" s="125">
        <f>Lista!O670</f>
        <v>0</v>
      </c>
      <c r="Q671" s="125">
        <f>Lista!P670</f>
        <v>0</v>
      </c>
      <c r="R671" s="125">
        <f>Lista!Q670</f>
        <v>0</v>
      </c>
      <c r="S671" s="125">
        <f>Lista!R670</f>
        <v>0</v>
      </c>
      <c r="T671" s="81"/>
      <c r="U671" s="81"/>
      <c r="V671" s="81"/>
      <c r="W671" s="81"/>
      <c r="X671" s="81"/>
      <c r="Y671" s="81"/>
      <c r="Z671" s="81"/>
      <c r="AA671" s="81"/>
      <c r="AB671" s="81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  <c r="BS671" s="81"/>
      <c r="BT671" s="81"/>
      <c r="BU671" s="81"/>
      <c r="BV671" s="81"/>
      <c r="BW671" s="81"/>
      <c r="BX671" s="81"/>
      <c r="BY671" s="81"/>
      <c r="BZ671" s="81"/>
      <c r="CA671" s="81"/>
      <c r="CB671" s="81"/>
      <c r="CC671" s="81"/>
      <c r="CD671" s="81"/>
      <c r="CE671" s="81"/>
      <c r="CF671" s="81"/>
      <c r="CG671" s="81"/>
      <c r="CH671" s="81"/>
      <c r="CI671" s="81"/>
      <c r="CJ671" s="81"/>
      <c r="CK671" s="81"/>
      <c r="CL671" s="81"/>
      <c r="CM671" s="81"/>
      <c r="CN671" s="81"/>
      <c r="CO671" s="81"/>
      <c r="CP671" s="81"/>
      <c r="CQ671" s="81"/>
      <c r="CR671" s="81"/>
      <c r="CS671" s="81"/>
      <c r="CT671" s="81"/>
      <c r="CU671" s="81"/>
      <c r="CV671" s="81"/>
      <c r="CW671" s="81"/>
      <c r="CX671" s="81"/>
      <c r="CY671" s="81"/>
      <c r="CZ671" s="81"/>
      <c r="DA671" s="81"/>
      <c r="DB671" s="81"/>
      <c r="DC671" s="81"/>
      <c r="DD671" s="81"/>
      <c r="DE671" s="81"/>
      <c r="DF671" s="81"/>
      <c r="DG671" s="81"/>
      <c r="DH671" s="81"/>
      <c r="DI671" s="81"/>
      <c r="DJ671" s="81"/>
      <c r="DK671" s="81"/>
      <c r="DL671" s="81"/>
      <c r="DM671" s="81"/>
      <c r="DN671" s="81"/>
      <c r="DO671" s="81"/>
      <c r="DP671" s="81"/>
      <c r="DQ671" s="81"/>
      <c r="DR671" s="81"/>
      <c r="DS671" s="81"/>
      <c r="DT671" s="81"/>
      <c r="DU671" s="81"/>
      <c r="DV671" s="81"/>
      <c r="DW671" s="121"/>
    </row>
    <row r="672" spans="1:127" x14ac:dyDescent="0.25">
      <c r="A672" s="2">
        <f>COUNTIF($D$2:D672,'Reporte de Nomina'!$E$2)</f>
        <v>0</v>
      </c>
      <c r="B672" s="125">
        <f>Lista!A671</f>
        <v>0</v>
      </c>
      <c r="C672" s="125">
        <f>Lista!B671</f>
        <v>0</v>
      </c>
      <c r="D672" s="125">
        <f>Lista!C671</f>
        <v>0</v>
      </c>
      <c r="E672" s="125">
        <f>Lista!D671</f>
        <v>0</v>
      </c>
      <c r="F672" s="125">
        <f>Lista!E671</f>
        <v>0</v>
      </c>
      <c r="G672" s="125">
        <f>Lista!F671</f>
        <v>0</v>
      </c>
      <c r="H672" s="125">
        <f>Lista!G671</f>
        <v>0</v>
      </c>
      <c r="I672" s="125">
        <f>Lista!H671</f>
        <v>0</v>
      </c>
      <c r="J672" s="125">
        <f>Lista!I671</f>
        <v>0</v>
      </c>
      <c r="K672" s="125">
        <f>Lista!J671</f>
        <v>0</v>
      </c>
      <c r="L672" s="125">
        <f>Lista!K671</f>
        <v>0</v>
      </c>
      <c r="M672" s="125">
        <f>Lista!L671</f>
        <v>0</v>
      </c>
      <c r="N672" s="125">
        <f>Lista!M671</f>
        <v>0</v>
      </c>
      <c r="O672" s="125">
        <f>Lista!N671</f>
        <v>0</v>
      </c>
      <c r="P672" s="125">
        <f>Lista!O671</f>
        <v>0</v>
      </c>
      <c r="Q672" s="125">
        <f>Lista!P671</f>
        <v>0</v>
      </c>
      <c r="R672" s="125">
        <f>Lista!Q671</f>
        <v>0</v>
      </c>
      <c r="S672" s="125">
        <f>Lista!R671</f>
        <v>0</v>
      </c>
      <c r="T672" s="81"/>
      <c r="U672" s="81"/>
      <c r="V672" s="81"/>
      <c r="W672" s="81"/>
      <c r="X672" s="81"/>
      <c r="Y672" s="81"/>
      <c r="Z672" s="81"/>
      <c r="AA672" s="81"/>
      <c r="AB672" s="81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  <c r="BS672" s="81"/>
      <c r="BT672" s="81"/>
      <c r="BU672" s="81"/>
      <c r="BV672" s="81"/>
      <c r="BW672" s="81"/>
      <c r="BX672" s="81"/>
      <c r="BY672" s="81"/>
      <c r="BZ672" s="81"/>
      <c r="CA672" s="81"/>
      <c r="CB672" s="81"/>
      <c r="CC672" s="81"/>
      <c r="CD672" s="81"/>
      <c r="CE672" s="81"/>
      <c r="CF672" s="81"/>
      <c r="CG672" s="81"/>
      <c r="CH672" s="81"/>
      <c r="CI672" s="81"/>
      <c r="CJ672" s="81"/>
      <c r="CK672" s="81"/>
      <c r="CL672" s="81"/>
      <c r="CM672" s="81"/>
      <c r="CN672" s="81"/>
      <c r="CO672" s="81"/>
      <c r="CP672" s="81"/>
      <c r="CQ672" s="81"/>
      <c r="CR672" s="81"/>
      <c r="CS672" s="81"/>
      <c r="CT672" s="81"/>
      <c r="CU672" s="81"/>
      <c r="CV672" s="81"/>
      <c r="CW672" s="81"/>
      <c r="CX672" s="81"/>
      <c r="CY672" s="81"/>
      <c r="CZ672" s="81"/>
      <c r="DA672" s="81"/>
      <c r="DB672" s="81"/>
      <c r="DC672" s="81"/>
      <c r="DD672" s="81"/>
      <c r="DE672" s="81"/>
      <c r="DF672" s="81"/>
      <c r="DG672" s="81"/>
      <c r="DH672" s="81"/>
      <c r="DI672" s="81"/>
      <c r="DJ672" s="81"/>
      <c r="DK672" s="81"/>
      <c r="DL672" s="81"/>
      <c r="DM672" s="81"/>
      <c r="DN672" s="81"/>
      <c r="DO672" s="81"/>
      <c r="DP672" s="81"/>
      <c r="DQ672" s="81"/>
      <c r="DR672" s="81"/>
      <c r="DS672" s="81"/>
      <c r="DT672" s="81"/>
      <c r="DU672" s="81"/>
      <c r="DV672" s="81"/>
      <c r="DW672" s="121"/>
    </row>
    <row r="673" spans="1:127" x14ac:dyDescent="0.25">
      <c r="A673" s="2">
        <f>COUNTIF($D$2:D673,'Reporte de Nomina'!$E$2)</f>
        <v>0</v>
      </c>
      <c r="B673" s="125">
        <f>Lista!A672</f>
        <v>0</v>
      </c>
      <c r="C673" s="125">
        <f>Lista!B672</f>
        <v>0</v>
      </c>
      <c r="D673" s="125">
        <f>Lista!C672</f>
        <v>0</v>
      </c>
      <c r="E673" s="125">
        <f>Lista!D672</f>
        <v>0</v>
      </c>
      <c r="F673" s="125">
        <f>Lista!E672</f>
        <v>0</v>
      </c>
      <c r="G673" s="125">
        <f>Lista!F672</f>
        <v>0</v>
      </c>
      <c r="H673" s="125">
        <f>Lista!G672</f>
        <v>0</v>
      </c>
      <c r="I673" s="125">
        <f>Lista!H672</f>
        <v>0</v>
      </c>
      <c r="J673" s="125">
        <f>Lista!I672</f>
        <v>0</v>
      </c>
      <c r="K673" s="125">
        <f>Lista!J672</f>
        <v>0</v>
      </c>
      <c r="L673" s="125">
        <f>Lista!K672</f>
        <v>0</v>
      </c>
      <c r="M673" s="125">
        <f>Lista!L672</f>
        <v>0</v>
      </c>
      <c r="N673" s="125">
        <f>Lista!M672</f>
        <v>0</v>
      </c>
      <c r="O673" s="125">
        <f>Lista!N672</f>
        <v>0</v>
      </c>
      <c r="P673" s="125">
        <f>Lista!O672</f>
        <v>0</v>
      </c>
      <c r="Q673" s="125">
        <f>Lista!P672</f>
        <v>0</v>
      </c>
      <c r="R673" s="125">
        <f>Lista!Q672</f>
        <v>0</v>
      </c>
      <c r="S673" s="125">
        <f>Lista!R672</f>
        <v>0</v>
      </c>
      <c r="T673" s="81"/>
      <c r="U673" s="81"/>
      <c r="V673" s="81"/>
      <c r="W673" s="81"/>
      <c r="X673" s="81"/>
      <c r="Y673" s="81"/>
      <c r="Z673" s="81"/>
      <c r="AA673" s="81"/>
      <c r="AB673" s="81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  <c r="BS673" s="81"/>
      <c r="BT673" s="81"/>
      <c r="BU673" s="81"/>
      <c r="BV673" s="81"/>
      <c r="BW673" s="81"/>
      <c r="BX673" s="81"/>
      <c r="BY673" s="81"/>
      <c r="BZ673" s="81"/>
      <c r="CA673" s="81"/>
      <c r="CB673" s="81"/>
      <c r="CC673" s="81"/>
      <c r="CD673" s="81"/>
      <c r="CE673" s="81"/>
      <c r="CF673" s="81"/>
      <c r="CG673" s="81"/>
      <c r="CH673" s="81"/>
      <c r="CI673" s="81"/>
      <c r="CJ673" s="81"/>
      <c r="CK673" s="81"/>
      <c r="CL673" s="81"/>
      <c r="CM673" s="81"/>
      <c r="CN673" s="81"/>
      <c r="CO673" s="81"/>
      <c r="CP673" s="81"/>
      <c r="CQ673" s="81"/>
      <c r="CR673" s="81"/>
      <c r="CS673" s="81"/>
      <c r="CT673" s="81"/>
      <c r="CU673" s="81"/>
      <c r="CV673" s="81"/>
      <c r="CW673" s="81"/>
      <c r="CX673" s="81"/>
      <c r="CY673" s="81"/>
      <c r="CZ673" s="81"/>
      <c r="DA673" s="81"/>
      <c r="DB673" s="81"/>
      <c r="DC673" s="81"/>
      <c r="DD673" s="81"/>
      <c r="DE673" s="81"/>
      <c r="DF673" s="81"/>
      <c r="DG673" s="81"/>
      <c r="DH673" s="81"/>
      <c r="DI673" s="81"/>
      <c r="DJ673" s="81"/>
      <c r="DK673" s="81"/>
      <c r="DL673" s="81"/>
      <c r="DM673" s="81"/>
      <c r="DN673" s="81"/>
      <c r="DO673" s="81"/>
      <c r="DP673" s="81"/>
      <c r="DQ673" s="81"/>
      <c r="DR673" s="81"/>
      <c r="DS673" s="81"/>
      <c r="DT673" s="81"/>
      <c r="DU673" s="81"/>
      <c r="DV673" s="81"/>
      <c r="DW673" s="121"/>
    </row>
    <row r="674" spans="1:127" x14ac:dyDescent="0.25">
      <c r="A674" s="2">
        <f>COUNTIF($D$2:D674,'Reporte de Nomina'!$E$2)</f>
        <v>0</v>
      </c>
      <c r="B674" s="125">
        <f>Lista!A673</f>
        <v>0</v>
      </c>
      <c r="C674" s="125">
        <f>Lista!B673</f>
        <v>0</v>
      </c>
      <c r="D674" s="125">
        <f>Lista!C673</f>
        <v>0</v>
      </c>
      <c r="E674" s="125">
        <f>Lista!D673</f>
        <v>0</v>
      </c>
      <c r="F674" s="125">
        <f>Lista!E673</f>
        <v>0</v>
      </c>
      <c r="G674" s="125">
        <f>Lista!F673</f>
        <v>0</v>
      </c>
      <c r="H674" s="125">
        <f>Lista!G673</f>
        <v>0</v>
      </c>
      <c r="I674" s="125">
        <f>Lista!H673</f>
        <v>0</v>
      </c>
      <c r="J674" s="125">
        <f>Lista!I673</f>
        <v>0</v>
      </c>
      <c r="K674" s="125">
        <f>Lista!J673</f>
        <v>0</v>
      </c>
      <c r="L674" s="125">
        <f>Lista!K673</f>
        <v>0</v>
      </c>
      <c r="M674" s="125">
        <f>Lista!L673</f>
        <v>0</v>
      </c>
      <c r="N674" s="125">
        <f>Lista!M673</f>
        <v>0</v>
      </c>
      <c r="O674" s="125">
        <f>Lista!N673</f>
        <v>0</v>
      </c>
      <c r="P674" s="125">
        <f>Lista!O673</f>
        <v>0</v>
      </c>
      <c r="Q674" s="125">
        <f>Lista!P673</f>
        <v>0</v>
      </c>
      <c r="R674" s="125">
        <f>Lista!Q673</f>
        <v>0</v>
      </c>
      <c r="S674" s="125">
        <f>Lista!R673</f>
        <v>0</v>
      </c>
      <c r="T674" s="81"/>
      <c r="U674" s="81"/>
      <c r="V674" s="81"/>
      <c r="W674" s="81"/>
      <c r="X674" s="81"/>
      <c r="Y674" s="81"/>
      <c r="Z674" s="81"/>
      <c r="AA674" s="81"/>
      <c r="AB674" s="81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  <c r="BS674" s="81"/>
      <c r="BT674" s="81"/>
      <c r="BU674" s="81"/>
      <c r="BV674" s="81"/>
      <c r="BW674" s="81"/>
      <c r="BX674" s="81"/>
      <c r="BY674" s="81"/>
      <c r="BZ674" s="81"/>
      <c r="CA674" s="81"/>
      <c r="CB674" s="81"/>
      <c r="CC674" s="81"/>
      <c r="CD674" s="81"/>
      <c r="CE674" s="81"/>
      <c r="CF674" s="81"/>
      <c r="CG674" s="81"/>
      <c r="CH674" s="81"/>
      <c r="CI674" s="81"/>
      <c r="CJ674" s="81"/>
      <c r="CK674" s="81"/>
      <c r="CL674" s="81"/>
      <c r="CM674" s="81"/>
      <c r="CN674" s="81"/>
      <c r="CO674" s="81"/>
      <c r="CP674" s="81"/>
      <c r="CQ674" s="81"/>
      <c r="CR674" s="81"/>
      <c r="CS674" s="81"/>
      <c r="CT674" s="81"/>
      <c r="CU674" s="81"/>
      <c r="CV674" s="81"/>
      <c r="CW674" s="81"/>
      <c r="CX674" s="81"/>
      <c r="CY674" s="81"/>
      <c r="CZ674" s="81"/>
      <c r="DA674" s="81"/>
      <c r="DB674" s="81"/>
      <c r="DC674" s="81"/>
      <c r="DD674" s="81"/>
      <c r="DE674" s="81"/>
      <c r="DF674" s="81"/>
      <c r="DG674" s="81"/>
      <c r="DH674" s="81"/>
      <c r="DI674" s="81"/>
      <c r="DJ674" s="81"/>
      <c r="DK674" s="81"/>
      <c r="DL674" s="81"/>
      <c r="DM674" s="81"/>
      <c r="DN674" s="81"/>
      <c r="DO674" s="81"/>
      <c r="DP674" s="81"/>
      <c r="DQ674" s="81"/>
      <c r="DR674" s="81"/>
      <c r="DS674" s="81"/>
      <c r="DT674" s="81"/>
      <c r="DU674" s="81"/>
      <c r="DV674" s="81"/>
      <c r="DW674" s="121"/>
    </row>
    <row r="675" spans="1:127" x14ac:dyDescent="0.25">
      <c r="A675" s="2">
        <f>COUNTIF($D$2:D675,'Reporte de Nomina'!$E$2)</f>
        <v>0</v>
      </c>
      <c r="B675" s="125">
        <f>Lista!A674</f>
        <v>0</v>
      </c>
      <c r="C675" s="125">
        <f>Lista!B674</f>
        <v>0</v>
      </c>
      <c r="D675" s="125">
        <f>Lista!C674</f>
        <v>0</v>
      </c>
      <c r="E675" s="125">
        <f>Lista!D674</f>
        <v>0</v>
      </c>
      <c r="F675" s="125">
        <f>Lista!E674</f>
        <v>0</v>
      </c>
      <c r="G675" s="125">
        <f>Lista!F674</f>
        <v>0</v>
      </c>
      <c r="H675" s="125">
        <f>Lista!G674</f>
        <v>0</v>
      </c>
      <c r="I675" s="125">
        <f>Lista!H674</f>
        <v>0</v>
      </c>
      <c r="J675" s="125">
        <f>Lista!I674</f>
        <v>0</v>
      </c>
      <c r="K675" s="125">
        <f>Lista!J674</f>
        <v>0</v>
      </c>
      <c r="L675" s="125">
        <f>Lista!K674</f>
        <v>0</v>
      </c>
      <c r="M675" s="125">
        <f>Lista!L674</f>
        <v>0</v>
      </c>
      <c r="N675" s="125">
        <f>Lista!M674</f>
        <v>0</v>
      </c>
      <c r="O675" s="125">
        <f>Lista!N674</f>
        <v>0</v>
      </c>
      <c r="P675" s="125">
        <f>Lista!O674</f>
        <v>0</v>
      </c>
      <c r="Q675" s="125">
        <f>Lista!P674</f>
        <v>0</v>
      </c>
      <c r="R675" s="125">
        <f>Lista!Q674</f>
        <v>0</v>
      </c>
      <c r="S675" s="125">
        <f>Lista!R674</f>
        <v>0</v>
      </c>
      <c r="T675" s="81"/>
      <c r="U675" s="81"/>
      <c r="V675" s="81"/>
      <c r="W675" s="81"/>
      <c r="X675" s="81"/>
      <c r="Y675" s="81"/>
      <c r="Z675" s="81"/>
      <c r="AA675" s="81"/>
      <c r="AB675" s="81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  <c r="BS675" s="81"/>
      <c r="BT675" s="81"/>
      <c r="BU675" s="81"/>
      <c r="BV675" s="81"/>
      <c r="BW675" s="81"/>
      <c r="BX675" s="81"/>
      <c r="BY675" s="81"/>
      <c r="BZ675" s="81"/>
      <c r="CA675" s="81"/>
      <c r="CB675" s="81"/>
      <c r="CC675" s="81"/>
      <c r="CD675" s="81"/>
      <c r="CE675" s="81"/>
      <c r="CF675" s="81"/>
      <c r="CG675" s="81"/>
      <c r="CH675" s="81"/>
      <c r="CI675" s="81"/>
      <c r="CJ675" s="81"/>
      <c r="CK675" s="81"/>
      <c r="CL675" s="81"/>
      <c r="CM675" s="81"/>
      <c r="CN675" s="81"/>
      <c r="CO675" s="81"/>
      <c r="CP675" s="81"/>
      <c r="CQ675" s="81"/>
      <c r="CR675" s="81"/>
      <c r="CS675" s="81"/>
      <c r="CT675" s="81"/>
      <c r="CU675" s="81"/>
      <c r="CV675" s="81"/>
      <c r="CW675" s="81"/>
      <c r="CX675" s="81"/>
      <c r="CY675" s="81"/>
      <c r="CZ675" s="81"/>
      <c r="DA675" s="81"/>
      <c r="DB675" s="81"/>
      <c r="DC675" s="81"/>
      <c r="DD675" s="81"/>
      <c r="DE675" s="81"/>
      <c r="DF675" s="81"/>
      <c r="DG675" s="81"/>
      <c r="DH675" s="81"/>
      <c r="DI675" s="81"/>
      <c r="DJ675" s="81"/>
      <c r="DK675" s="81"/>
      <c r="DL675" s="81"/>
      <c r="DM675" s="81"/>
      <c r="DN675" s="81"/>
      <c r="DO675" s="81"/>
      <c r="DP675" s="81"/>
      <c r="DQ675" s="81"/>
      <c r="DR675" s="81"/>
      <c r="DS675" s="81"/>
      <c r="DT675" s="81"/>
      <c r="DU675" s="81"/>
      <c r="DV675" s="81"/>
      <c r="DW675" s="121"/>
    </row>
    <row r="676" spans="1:127" x14ac:dyDescent="0.25">
      <c r="A676" s="2">
        <f>COUNTIF($D$2:D676,'Reporte de Nomina'!$E$2)</f>
        <v>0</v>
      </c>
      <c r="B676" s="125">
        <f>Lista!A675</f>
        <v>0</v>
      </c>
      <c r="C676" s="125">
        <f>Lista!B675</f>
        <v>0</v>
      </c>
      <c r="D676" s="125">
        <f>Lista!C675</f>
        <v>0</v>
      </c>
      <c r="E676" s="125">
        <f>Lista!D675</f>
        <v>0</v>
      </c>
      <c r="F676" s="125">
        <f>Lista!E675</f>
        <v>0</v>
      </c>
      <c r="G676" s="125">
        <f>Lista!F675</f>
        <v>0</v>
      </c>
      <c r="H676" s="125">
        <f>Lista!G675</f>
        <v>0</v>
      </c>
      <c r="I676" s="125">
        <f>Lista!H675</f>
        <v>0</v>
      </c>
      <c r="J676" s="125">
        <f>Lista!I675</f>
        <v>0</v>
      </c>
      <c r="K676" s="125">
        <f>Lista!J675</f>
        <v>0</v>
      </c>
      <c r="L676" s="125">
        <f>Lista!K675</f>
        <v>0</v>
      </c>
      <c r="M676" s="125">
        <f>Lista!L675</f>
        <v>0</v>
      </c>
      <c r="N676" s="125">
        <f>Lista!M675</f>
        <v>0</v>
      </c>
      <c r="O676" s="125">
        <f>Lista!N675</f>
        <v>0</v>
      </c>
      <c r="P676" s="125">
        <f>Lista!O675</f>
        <v>0</v>
      </c>
      <c r="Q676" s="125">
        <f>Lista!P675</f>
        <v>0</v>
      </c>
      <c r="R676" s="125">
        <f>Lista!Q675</f>
        <v>0</v>
      </c>
      <c r="S676" s="125">
        <f>Lista!R675</f>
        <v>0</v>
      </c>
      <c r="T676" s="81"/>
      <c r="U676" s="81"/>
      <c r="V676" s="81"/>
      <c r="W676" s="81"/>
      <c r="X676" s="81"/>
      <c r="Y676" s="81"/>
      <c r="Z676" s="81"/>
      <c r="AA676" s="81"/>
      <c r="AB676" s="81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  <c r="BS676" s="81"/>
      <c r="BT676" s="81"/>
      <c r="BU676" s="81"/>
      <c r="BV676" s="81"/>
      <c r="BW676" s="81"/>
      <c r="BX676" s="81"/>
      <c r="BY676" s="81"/>
      <c r="BZ676" s="81"/>
      <c r="CA676" s="81"/>
      <c r="CB676" s="81"/>
      <c r="CC676" s="81"/>
      <c r="CD676" s="81"/>
      <c r="CE676" s="81"/>
      <c r="CF676" s="81"/>
      <c r="CG676" s="81"/>
      <c r="CH676" s="81"/>
      <c r="CI676" s="81"/>
      <c r="CJ676" s="81"/>
      <c r="CK676" s="81"/>
      <c r="CL676" s="81"/>
      <c r="CM676" s="81"/>
      <c r="CN676" s="81"/>
      <c r="CO676" s="81"/>
      <c r="CP676" s="81"/>
      <c r="CQ676" s="81"/>
      <c r="CR676" s="81"/>
      <c r="CS676" s="81"/>
      <c r="CT676" s="81"/>
      <c r="CU676" s="81"/>
      <c r="CV676" s="81"/>
      <c r="CW676" s="81"/>
      <c r="CX676" s="81"/>
      <c r="CY676" s="81"/>
      <c r="CZ676" s="81"/>
      <c r="DA676" s="81"/>
      <c r="DB676" s="81"/>
      <c r="DC676" s="81"/>
      <c r="DD676" s="81"/>
      <c r="DE676" s="81"/>
      <c r="DF676" s="81"/>
      <c r="DG676" s="81"/>
      <c r="DH676" s="81"/>
      <c r="DI676" s="81"/>
      <c r="DJ676" s="81"/>
      <c r="DK676" s="81"/>
      <c r="DL676" s="81"/>
      <c r="DM676" s="81"/>
      <c r="DN676" s="81"/>
      <c r="DO676" s="81"/>
      <c r="DP676" s="81"/>
      <c r="DQ676" s="81"/>
      <c r="DR676" s="81"/>
      <c r="DS676" s="81"/>
      <c r="DT676" s="81"/>
      <c r="DU676" s="81"/>
      <c r="DV676" s="81"/>
      <c r="DW676" s="121"/>
    </row>
    <row r="677" spans="1:127" x14ac:dyDescent="0.25">
      <c r="A677" s="2">
        <f>COUNTIF($D$2:D677,'Reporte de Nomina'!$E$2)</f>
        <v>0</v>
      </c>
      <c r="B677" s="125">
        <f>Lista!A676</f>
        <v>0</v>
      </c>
      <c r="C677" s="125">
        <f>Lista!B676</f>
        <v>0</v>
      </c>
      <c r="D677" s="125">
        <f>Lista!C676</f>
        <v>0</v>
      </c>
      <c r="E677" s="125">
        <f>Lista!D676</f>
        <v>0</v>
      </c>
      <c r="F677" s="125">
        <f>Lista!E676</f>
        <v>0</v>
      </c>
      <c r="G677" s="125">
        <f>Lista!F676</f>
        <v>0</v>
      </c>
      <c r="H677" s="125">
        <f>Lista!G676</f>
        <v>0</v>
      </c>
      <c r="I677" s="125">
        <f>Lista!H676</f>
        <v>0</v>
      </c>
      <c r="J677" s="125">
        <f>Lista!I676</f>
        <v>0</v>
      </c>
      <c r="K677" s="125">
        <f>Lista!J676</f>
        <v>0</v>
      </c>
      <c r="L677" s="125">
        <f>Lista!K676</f>
        <v>0</v>
      </c>
      <c r="M677" s="125">
        <f>Lista!L676</f>
        <v>0</v>
      </c>
      <c r="N677" s="125">
        <f>Lista!M676</f>
        <v>0</v>
      </c>
      <c r="O677" s="125">
        <f>Lista!N676</f>
        <v>0</v>
      </c>
      <c r="P677" s="125">
        <f>Lista!O676</f>
        <v>0</v>
      </c>
      <c r="Q677" s="125">
        <f>Lista!P676</f>
        <v>0</v>
      </c>
      <c r="R677" s="125">
        <f>Lista!Q676</f>
        <v>0</v>
      </c>
      <c r="S677" s="125">
        <f>Lista!R676</f>
        <v>0</v>
      </c>
      <c r="T677" s="81"/>
      <c r="U677" s="81"/>
      <c r="V677" s="81"/>
      <c r="W677" s="81"/>
      <c r="X677" s="81"/>
      <c r="Y677" s="81"/>
      <c r="Z677" s="81"/>
      <c r="AA677" s="81"/>
      <c r="AB677" s="81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  <c r="BS677" s="81"/>
      <c r="BT677" s="81"/>
      <c r="BU677" s="81"/>
      <c r="BV677" s="81"/>
      <c r="BW677" s="81"/>
      <c r="BX677" s="81"/>
      <c r="BY677" s="81"/>
      <c r="BZ677" s="81"/>
      <c r="CA677" s="81"/>
      <c r="CB677" s="81"/>
      <c r="CC677" s="81"/>
      <c r="CD677" s="81"/>
      <c r="CE677" s="81"/>
      <c r="CF677" s="81"/>
      <c r="CG677" s="81"/>
      <c r="CH677" s="81"/>
      <c r="CI677" s="81"/>
      <c r="CJ677" s="81"/>
      <c r="CK677" s="81"/>
      <c r="CL677" s="81"/>
      <c r="CM677" s="81"/>
      <c r="CN677" s="81"/>
      <c r="CO677" s="81"/>
      <c r="CP677" s="81"/>
      <c r="CQ677" s="81"/>
      <c r="CR677" s="81"/>
      <c r="CS677" s="81"/>
      <c r="CT677" s="81"/>
      <c r="CU677" s="81"/>
      <c r="CV677" s="81"/>
      <c r="CW677" s="81"/>
      <c r="CX677" s="81"/>
      <c r="CY677" s="81"/>
      <c r="CZ677" s="81"/>
      <c r="DA677" s="81"/>
      <c r="DB677" s="81"/>
      <c r="DC677" s="81"/>
      <c r="DD677" s="81"/>
      <c r="DE677" s="81"/>
      <c r="DF677" s="81"/>
      <c r="DG677" s="81"/>
      <c r="DH677" s="81"/>
      <c r="DI677" s="81"/>
      <c r="DJ677" s="81"/>
      <c r="DK677" s="81"/>
      <c r="DL677" s="81"/>
      <c r="DM677" s="81"/>
      <c r="DN677" s="81"/>
      <c r="DO677" s="81"/>
      <c r="DP677" s="81"/>
      <c r="DQ677" s="81"/>
      <c r="DR677" s="81"/>
      <c r="DS677" s="81"/>
      <c r="DT677" s="81"/>
      <c r="DU677" s="81"/>
      <c r="DV677" s="81"/>
      <c r="DW677" s="121"/>
    </row>
    <row r="678" spans="1:127" x14ac:dyDescent="0.25">
      <c r="A678" s="2">
        <f>COUNTIF($D$2:D678,'Reporte de Nomina'!$E$2)</f>
        <v>0</v>
      </c>
      <c r="B678" s="125">
        <f>Lista!A677</f>
        <v>0</v>
      </c>
      <c r="C678" s="125">
        <f>Lista!B677</f>
        <v>0</v>
      </c>
      <c r="D678" s="125">
        <f>Lista!C677</f>
        <v>0</v>
      </c>
      <c r="E678" s="125">
        <f>Lista!D677</f>
        <v>0</v>
      </c>
      <c r="F678" s="125">
        <f>Lista!E677</f>
        <v>0</v>
      </c>
      <c r="G678" s="125">
        <f>Lista!F677</f>
        <v>0</v>
      </c>
      <c r="H678" s="125">
        <f>Lista!G677</f>
        <v>0</v>
      </c>
      <c r="I678" s="125">
        <f>Lista!H677</f>
        <v>0</v>
      </c>
      <c r="J678" s="125">
        <f>Lista!I677</f>
        <v>0</v>
      </c>
      <c r="K678" s="125">
        <f>Lista!J677</f>
        <v>0</v>
      </c>
      <c r="L678" s="125">
        <f>Lista!K677</f>
        <v>0</v>
      </c>
      <c r="M678" s="125">
        <f>Lista!L677</f>
        <v>0</v>
      </c>
      <c r="N678" s="125">
        <f>Lista!M677</f>
        <v>0</v>
      </c>
      <c r="O678" s="125">
        <f>Lista!N677</f>
        <v>0</v>
      </c>
      <c r="P678" s="125">
        <f>Lista!O677</f>
        <v>0</v>
      </c>
      <c r="Q678" s="125">
        <f>Lista!P677</f>
        <v>0</v>
      </c>
      <c r="R678" s="125">
        <f>Lista!Q677</f>
        <v>0</v>
      </c>
      <c r="S678" s="125">
        <f>Lista!R677</f>
        <v>0</v>
      </c>
      <c r="T678" s="81"/>
      <c r="U678" s="81"/>
      <c r="V678" s="81"/>
      <c r="W678" s="81"/>
      <c r="X678" s="81"/>
      <c r="Y678" s="81"/>
      <c r="Z678" s="81"/>
      <c r="AA678" s="81"/>
      <c r="AB678" s="81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  <c r="BS678" s="81"/>
      <c r="BT678" s="81"/>
      <c r="BU678" s="81"/>
      <c r="BV678" s="81"/>
      <c r="BW678" s="81"/>
      <c r="BX678" s="81"/>
      <c r="BY678" s="81"/>
      <c r="BZ678" s="81"/>
      <c r="CA678" s="81"/>
      <c r="CB678" s="81"/>
      <c r="CC678" s="81"/>
      <c r="CD678" s="81"/>
      <c r="CE678" s="81"/>
      <c r="CF678" s="81"/>
      <c r="CG678" s="81"/>
      <c r="CH678" s="81"/>
      <c r="CI678" s="81"/>
      <c r="CJ678" s="81"/>
      <c r="CK678" s="81"/>
      <c r="CL678" s="81"/>
      <c r="CM678" s="81"/>
      <c r="CN678" s="81"/>
      <c r="CO678" s="81"/>
      <c r="CP678" s="81"/>
      <c r="CQ678" s="81"/>
      <c r="CR678" s="81"/>
      <c r="CS678" s="81"/>
      <c r="CT678" s="81"/>
      <c r="CU678" s="81"/>
      <c r="CV678" s="81"/>
      <c r="CW678" s="81"/>
      <c r="CX678" s="81"/>
      <c r="CY678" s="81"/>
      <c r="CZ678" s="81"/>
      <c r="DA678" s="81"/>
      <c r="DB678" s="81"/>
      <c r="DC678" s="81"/>
      <c r="DD678" s="81"/>
      <c r="DE678" s="81"/>
      <c r="DF678" s="81"/>
      <c r="DG678" s="81"/>
      <c r="DH678" s="81"/>
      <c r="DI678" s="81"/>
      <c r="DJ678" s="81"/>
      <c r="DK678" s="81"/>
      <c r="DL678" s="81"/>
      <c r="DM678" s="81"/>
      <c r="DN678" s="81"/>
      <c r="DO678" s="81"/>
      <c r="DP678" s="81"/>
      <c r="DQ678" s="81"/>
      <c r="DR678" s="81"/>
      <c r="DS678" s="81"/>
      <c r="DT678" s="81"/>
      <c r="DU678" s="81"/>
      <c r="DV678" s="81"/>
      <c r="DW678" s="121"/>
    </row>
    <row r="679" spans="1:127" x14ac:dyDescent="0.25">
      <c r="A679" s="2">
        <f>COUNTIF($D$2:D679,'Reporte de Nomina'!$E$2)</f>
        <v>0</v>
      </c>
      <c r="B679" s="125">
        <f>Lista!A678</f>
        <v>0</v>
      </c>
      <c r="C679" s="125">
        <f>Lista!B678</f>
        <v>0</v>
      </c>
      <c r="D679" s="125">
        <f>Lista!C678</f>
        <v>0</v>
      </c>
      <c r="E679" s="125">
        <f>Lista!D678</f>
        <v>0</v>
      </c>
      <c r="F679" s="125">
        <f>Lista!E678</f>
        <v>0</v>
      </c>
      <c r="G679" s="125">
        <f>Lista!F678</f>
        <v>0</v>
      </c>
      <c r="H679" s="125">
        <f>Lista!G678</f>
        <v>0</v>
      </c>
      <c r="I679" s="125">
        <f>Lista!H678</f>
        <v>0</v>
      </c>
      <c r="J679" s="125">
        <f>Lista!I678</f>
        <v>0</v>
      </c>
      <c r="K679" s="125">
        <f>Lista!J678</f>
        <v>0</v>
      </c>
      <c r="L679" s="125">
        <f>Lista!K678</f>
        <v>0</v>
      </c>
      <c r="M679" s="125">
        <f>Lista!L678</f>
        <v>0</v>
      </c>
      <c r="N679" s="125">
        <f>Lista!M678</f>
        <v>0</v>
      </c>
      <c r="O679" s="125">
        <f>Lista!N678</f>
        <v>0</v>
      </c>
      <c r="P679" s="125">
        <f>Lista!O678</f>
        <v>0</v>
      </c>
      <c r="Q679" s="125">
        <f>Lista!P678</f>
        <v>0</v>
      </c>
      <c r="R679" s="125">
        <f>Lista!Q678</f>
        <v>0</v>
      </c>
      <c r="S679" s="125">
        <f>Lista!R678</f>
        <v>0</v>
      </c>
      <c r="T679" s="81"/>
      <c r="U679" s="81"/>
      <c r="V679" s="81"/>
      <c r="W679" s="81"/>
      <c r="X679" s="81"/>
      <c r="Y679" s="81"/>
      <c r="Z679" s="81"/>
      <c r="AA679" s="81"/>
      <c r="AB679" s="81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  <c r="BS679" s="81"/>
      <c r="BT679" s="81"/>
      <c r="BU679" s="81"/>
      <c r="BV679" s="81"/>
      <c r="BW679" s="81"/>
      <c r="BX679" s="81"/>
      <c r="BY679" s="81"/>
      <c r="BZ679" s="81"/>
      <c r="CA679" s="81"/>
      <c r="CB679" s="81"/>
      <c r="CC679" s="81"/>
      <c r="CD679" s="81"/>
      <c r="CE679" s="81"/>
      <c r="CF679" s="81"/>
      <c r="CG679" s="81"/>
      <c r="CH679" s="81"/>
      <c r="CI679" s="81"/>
      <c r="CJ679" s="81"/>
      <c r="CK679" s="81"/>
      <c r="CL679" s="81"/>
      <c r="CM679" s="81"/>
      <c r="CN679" s="81"/>
      <c r="CO679" s="81"/>
      <c r="CP679" s="81"/>
      <c r="CQ679" s="81"/>
      <c r="CR679" s="81"/>
      <c r="CS679" s="81"/>
      <c r="CT679" s="81"/>
      <c r="CU679" s="81"/>
      <c r="CV679" s="81"/>
      <c r="CW679" s="81"/>
      <c r="CX679" s="81"/>
      <c r="CY679" s="81"/>
      <c r="CZ679" s="81"/>
      <c r="DA679" s="81"/>
      <c r="DB679" s="81"/>
      <c r="DC679" s="81"/>
      <c r="DD679" s="81"/>
      <c r="DE679" s="81"/>
      <c r="DF679" s="81"/>
      <c r="DG679" s="81"/>
      <c r="DH679" s="81"/>
      <c r="DI679" s="81"/>
      <c r="DJ679" s="81"/>
      <c r="DK679" s="81"/>
      <c r="DL679" s="81"/>
      <c r="DM679" s="81"/>
      <c r="DN679" s="81"/>
      <c r="DO679" s="81"/>
      <c r="DP679" s="81"/>
      <c r="DQ679" s="81"/>
      <c r="DR679" s="81"/>
      <c r="DS679" s="81"/>
      <c r="DT679" s="81"/>
      <c r="DU679" s="81"/>
      <c r="DV679" s="81"/>
      <c r="DW679" s="121"/>
    </row>
    <row r="680" spans="1:127" x14ac:dyDescent="0.25">
      <c r="A680" s="2">
        <f>COUNTIF($D$2:D680,'Reporte de Nomina'!$E$2)</f>
        <v>0</v>
      </c>
      <c r="B680" s="125">
        <f>Lista!A679</f>
        <v>0</v>
      </c>
      <c r="C680" s="125">
        <f>Lista!B679</f>
        <v>0</v>
      </c>
      <c r="D680" s="125">
        <f>Lista!C679</f>
        <v>0</v>
      </c>
      <c r="E680" s="125">
        <f>Lista!D679</f>
        <v>0</v>
      </c>
      <c r="F680" s="125">
        <f>Lista!E679</f>
        <v>0</v>
      </c>
      <c r="G680" s="125">
        <f>Lista!F679</f>
        <v>0</v>
      </c>
      <c r="H680" s="125">
        <f>Lista!G679</f>
        <v>0</v>
      </c>
      <c r="I680" s="125">
        <f>Lista!H679</f>
        <v>0</v>
      </c>
      <c r="J680" s="125">
        <f>Lista!I679</f>
        <v>0</v>
      </c>
      <c r="K680" s="125">
        <f>Lista!J679</f>
        <v>0</v>
      </c>
      <c r="L680" s="125">
        <f>Lista!K679</f>
        <v>0</v>
      </c>
      <c r="M680" s="125">
        <f>Lista!L679</f>
        <v>0</v>
      </c>
      <c r="N680" s="125">
        <f>Lista!M679</f>
        <v>0</v>
      </c>
      <c r="O680" s="125">
        <f>Lista!N679</f>
        <v>0</v>
      </c>
      <c r="P680" s="125">
        <f>Lista!O679</f>
        <v>0</v>
      </c>
      <c r="Q680" s="125">
        <f>Lista!P679</f>
        <v>0</v>
      </c>
      <c r="R680" s="125">
        <f>Lista!Q679</f>
        <v>0</v>
      </c>
      <c r="S680" s="125">
        <f>Lista!R679</f>
        <v>0</v>
      </c>
      <c r="T680" s="81"/>
      <c r="U680" s="81"/>
      <c r="V680" s="81"/>
      <c r="W680" s="81"/>
      <c r="X680" s="81"/>
      <c r="Y680" s="81"/>
      <c r="Z680" s="81"/>
      <c r="AA680" s="81"/>
      <c r="AB680" s="81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  <c r="BS680" s="81"/>
      <c r="BT680" s="81"/>
      <c r="BU680" s="81"/>
      <c r="BV680" s="81"/>
      <c r="BW680" s="81"/>
      <c r="BX680" s="81"/>
      <c r="BY680" s="81"/>
      <c r="BZ680" s="81"/>
      <c r="CA680" s="81"/>
      <c r="CB680" s="81"/>
      <c r="CC680" s="81"/>
      <c r="CD680" s="81"/>
      <c r="CE680" s="81"/>
      <c r="CF680" s="81"/>
      <c r="CG680" s="81"/>
      <c r="CH680" s="81"/>
      <c r="CI680" s="81"/>
      <c r="CJ680" s="81"/>
      <c r="CK680" s="81"/>
      <c r="CL680" s="81"/>
      <c r="CM680" s="81"/>
      <c r="CN680" s="81"/>
      <c r="CO680" s="81"/>
      <c r="CP680" s="81"/>
      <c r="CQ680" s="81"/>
      <c r="CR680" s="81"/>
      <c r="CS680" s="81"/>
      <c r="CT680" s="81"/>
      <c r="CU680" s="81"/>
      <c r="CV680" s="81"/>
      <c r="CW680" s="81"/>
      <c r="CX680" s="81"/>
      <c r="CY680" s="81"/>
      <c r="CZ680" s="81"/>
      <c r="DA680" s="81"/>
      <c r="DB680" s="81"/>
      <c r="DC680" s="81"/>
      <c r="DD680" s="81"/>
      <c r="DE680" s="81"/>
      <c r="DF680" s="81"/>
      <c r="DG680" s="81"/>
      <c r="DH680" s="81"/>
      <c r="DI680" s="81"/>
      <c r="DJ680" s="81"/>
      <c r="DK680" s="81"/>
      <c r="DL680" s="81"/>
      <c r="DM680" s="81"/>
      <c r="DN680" s="81"/>
      <c r="DO680" s="81"/>
      <c r="DP680" s="81"/>
      <c r="DQ680" s="81"/>
      <c r="DR680" s="81"/>
      <c r="DS680" s="81"/>
      <c r="DT680" s="81"/>
      <c r="DU680" s="81"/>
      <c r="DV680" s="81"/>
      <c r="DW680" s="121"/>
    </row>
    <row r="681" spans="1:127" x14ac:dyDescent="0.25">
      <c r="A681" s="2">
        <f>COUNTIF($D$2:D681,'Reporte de Nomina'!$E$2)</f>
        <v>0</v>
      </c>
      <c r="B681" s="125">
        <f>Lista!A680</f>
        <v>0</v>
      </c>
      <c r="C681" s="125">
        <f>Lista!B680</f>
        <v>0</v>
      </c>
      <c r="D681" s="125">
        <f>Lista!C680</f>
        <v>0</v>
      </c>
      <c r="E681" s="125">
        <f>Lista!D680</f>
        <v>0</v>
      </c>
      <c r="F681" s="125">
        <f>Lista!E680</f>
        <v>0</v>
      </c>
      <c r="G681" s="125">
        <f>Lista!F680</f>
        <v>0</v>
      </c>
      <c r="H681" s="125">
        <f>Lista!G680</f>
        <v>0</v>
      </c>
      <c r="I681" s="125">
        <f>Lista!H680</f>
        <v>0</v>
      </c>
      <c r="J681" s="125">
        <f>Lista!I680</f>
        <v>0</v>
      </c>
      <c r="K681" s="125">
        <f>Lista!J680</f>
        <v>0</v>
      </c>
      <c r="L681" s="125">
        <f>Lista!K680</f>
        <v>0</v>
      </c>
      <c r="M681" s="125">
        <f>Lista!L680</f>
        <v>0</v>
      </c>
      <c r="N681" s="125">
        <f>Lista!M680</f>
        <v>0</v>
      </c>
      <c r="O681" s="125">
        <f>Lista!N680</f>
        <v>0</v>
      </c>
      <c r="P681" s="125">
        <f>Lista!O680</f>
        <v>0</v>
      </c>
      <c r="Q681" s="125">
        <f>Lista!P680</f>
        <v>0</v>
      </c>
      <c r="R681" s="125">
        <f>Lista!Q680</f>
        <v>0</v>
      </c>
      <c r="S681" s="125">
        <f>Lista!R680</f>
        <v>0</v>
      </c>
      <c r="T681" s="81"/>
      <c r="U681" s="81"/>
      <c r="V681" s="81"/>
      <c r="W681" s="81"/>
      <c r="X681" s="81"/>
      <c r="Y681" s="81"/>
      <c r="Z681" s="81"/>
      <c r="AA681" s="81"/>
      <c r="AB681" s="81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  <c r="BS681" s="81"/>
      <c r="BT681" s="81"/>
      <c r="BU681" s="81"/>
      <c r="BV681" s="81"/>
      <c r="BW681" s="81"/>
      <c r="BX681" s="81"/>
      <c r="BY681" s="81"/>
      <c r="BZ681" s="81"/>
      <c r="CA681" s="81"/>
      <c r="CB681" s="81"/>
      <c r="CC681" s="81"/>
      <c r="CD681" s="81"/>
      <c r="CE681" s="81"/>
      <c r="CF681" s="81"/>
      <c r="CG681" s="81"/>
      <c r="CH681" s="81"/>
      <c r="CI681" s="81"/>
      <c r="CJ681" s="81"/>
      <c r="CK681" s="81"/>
      <c r="CL681" s="81"/>
      <c r="CM681" s="81"/>
      <c r="CN681" s="81"/>
      <c r="CO681" s="81"/>
      <c r="CP681" s="81"/>
      <c r="CQ681" s="81"/>
      <c r="CR681" s="81"/>
      <c r="CS681" s="81"/>
      <c r="CT681" s="81"/>
      <c r="CU681" s="81"/>
      <c r="CV681" s="81"/>
      <c r="CW681" s="81"/>
      <c r="CX681" s="81"/>
      <c r="CY681" s="81"/>
      <c r="CZ681" s="81"/>
      <c r="DA681" s="81"/>
      <c r="DB681" s="81"/>
      <c r="DC681" s="81"/>
      <c r="DD681" s="81"/>
      <c r="DE681" s="81"/>
      <c r="DF681" s="81"/>
      <c r="DG681" s="81"/>
      <c r="DH681" s="81"/>
      <c r="DI681" s="81"/>
      <c r="DJ681" s="81"/>
      <c r="DK681" s="81"/>
      <c r="DL681" s="81"/>
      <c r="DM681" s="81"/>
      <c r="DN681" s="81"/>
      <c r="DO681" s="81"/>
      <c r="DP681" s="81"/>
      <c r="DQ681" s="81"/>
      <c r="DR681" s="81"/>
      <c r="DS681" s="81"/>
      <c r="DT681" s="81"/>
      <c r="DU681" s="81"/>
      <c r="DV681" s="81"/>
      <c r="DW681" s="121"/>
    </row>
    <row r="682" spans="1:127" x14ac:dyDescent="0.25">
      <c r="A682" s="2">
        <f>COUNTIF($D$2:D682,'Reporte de Nomina'!$E$2)</f>
        <v>0</v>
      </c>
      <c r="B682" s="125">
        <f>Lista!A681</f>
        <v>0</v>
      </c>
      <c r="C682" s="125">
        <f>Lista!B681</f>
        <v>0</v>
      </c>
      <c r="D682" s="125">
        <f>Lista!C681</f>
        <v>0</v>
      </c>
      <c r="E682" s="125">
        <f>Lista!D681</f>
        <v>0</v>
      </c>
      <c r="F682" s="125">
        <f>Lista!E681</f>
        <v>0</v>
      </c>
      <c r="G682" s="125">
        <f>Lista!F681</f>
        <v>0</v>
      </c>
      <c r="H682" s="125">
        <f>Lista!G681</f>
        <v>0</v>
      </c>
      <c r="I682" s="125">
        <f>Lista!H681</f>
        <v>0</v>
      </c>
      <c r="J682" s="125">
        <f>Lista!I681</f>
        <v>0</v>
      </c>
      <c r="K682" s="125">
        <f>Lista!J681</f>
        <v>0</v>
      </c>
      <c r="L682" s="125">
        <f>Lista!K681</f>
        <v>0</v>
      </c>
      <c r="M682" s="125">
        <f>Lista!L681</f>
        <v>0</v>
      </c>
      <c r="N682" s="125">
        <f>Lista!M681</f>
        <v>0</v>
      </c>
      <c r="O682" s="125">
        <f>Lista!N681</f>
        <v>0</v>
      </c>
      <c r="P682" s="125">
        <f>Lista!O681</f>
        <v>0</v>
      </c>
      <c r="Q682" s="125">
        <f>Lista!P681</f>
        <v>0</v>
      </c>
      <c r="R682" s="125">
        <f>Lista!Q681</f>
        <v>0</v>
      </c>
      <c r="S682" s="125">
        <f>Lista!R681</f>
        <v>0</v>
      </c>
      <c r="T682" s="81"/>
      <c r="U682" s="81"/>
      <c r="V682" s="81"/>
      <c r="W682" s="81"/>
      <c r="X682" s="81"/>
      <c r="Y682" s="81"/>
      <c r="Z682" s="81"/>
      <c r="AA682" s="81"/>
      <c r="AB682" s="81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  <c r="BS682" s="81"/>
      <c r="BT682" s="81"/>
      <c r="BU682" s="81"/>
      <c r="BV682" s="81"/>
      <c r="BW682" s="81"/>
      <c r="BX682" s="81"/>
      <c r="BY682" s="81"/>
      <c r="BZ682" s="81"/>
      <c r="CA682" s="81"/>
      <c r="CB682" s="81"/>
      <c r="CC682" s="81"/>
      <c r="CD682" s="81"/>
      <c r="CE682" s="81"/>
      <c r="CF682" s="81"/>
      <c r="CG682" s="81"/>
      <c r="CH682" s="81"/>
      <c r="CI682" s="81"/>
      <c r="CJ682" s="81"/>
      <c r="CK682" s="81"/>
      <c r="CL682" s="81"/>
      <c r="CM682" s="81"/>
      <c r="CN682" s="81"/>
      <c r="CO682" s="81"/>
      <c r="CP682" s="81"/>
      <c r="CQ682" s="81"/>
      <c r="CR682" s="81"/>
      <c r="CS682" s="81"/>
      <c r="CT682" s="81"/>
      <c r="CU682" s="81"/>
      <c r="CV682" s="81"/>
      <c r="CW682" s="81"/>
      <c r="CX682" s="81"/>
      <c r="CY682" s="81"/>
      <c r="CZ682" s="81"/>
      <c r="DA682" s="81"/>
      <c r="DB682" s="81"/>
      <c r="DC682" s="81"/>
      <c r="DD682" s="81"/>
      <c r="DE682" s="81"/>
      <c r="DF682" s="81"/>
      <c r="DG682" s="81"/>
      <c r="DH682" s="81"/>
      <c r="DI682" s="81"/>
      <c r="DJ682" s="81"/>
      <c r="DK682" s="81"/>
      <c r="DL682" s="81"/>
      <c r="DM682" s="81"/>
      <c r="DN682" s="81"/>
      <c r="DO682" s="81"/>
      <c r="DP682" s="81"/>
      <c r="DQ682" s="81"/>
      <c r="DR682" s="81"/>
      <c r="DS682" s="81"/>
      <c r="DT682" s="81"/>
      <c r="DU682" s="81"/>
      <c r="DV682" s="81"/>
      <c r="DW682" s="121"/>
    </row>
    <row r="683" spans="1:127" x14ac:dyDescent="0.25">
      <c r="A683" s="2">
        <f>COUNTIF($D$2:D683,'Reporte de Nomina'!$E$2)</f>
        <v>0</v>
      </c>
      <c r="B683" s="125">
        <f>Lista!A682</f>
        <v>0</v>
      </c>
      <c r="C683" s="125">
        <f>Lista!B682</f>
        <v>0</v>
      </c>
      <c r="D683" s="125">
        <f>Lista!C682</f>
        <v>0</v>
      </c>
      <c r="E683" s="125">
        <f>Lista!D682</f>
        <v>0</v>
      </c>
      <c r="F683" s="125">
        <f>Lista!E682</f>
        <v>0</v>
      </c>
      <c r="G683" s="125">
        <f>Lista!F682</f>
        <v>0</v>
      </c>
      <c r="H683" s="125">
        <f>Lista!G682</f>
        <v>0</v>
      </c>
      <c r="I683" s="125">
        <f>Lista!H682</f>
        <v>0</v>
      </c>
      <c r="J683" s="125">
        <f>Lista!I682</f>
        <v>0</v>
      </c>
      <c r="K683" s="125">
        <f>Lista!J682</f>
        <v>0</v>
      </c>
      <c r="L683" s="125">
        <f>Lista!K682</f>
        <v>0</v>
      </c>
      <c r="M683" s="125">
        <f>Lista!L682</f>
        <v>0</v>
      </c>
      <c r="N683" s="125">
        <f>Lista!M682</f>
        <v>0</v>
      </c>
      <c r="O683" s="125">
        <f>Lista!N682</f>
        <v>0</v>
      </c>
      <c r="P683" s="125">
        <f>Lista!O682</f>
        <v>0</v>
      </c>
      <c r="Q683" s="125">
        <f>Lista!P682</f>
        <v>0</v>
      </c>
      <c r="R683" s="125">
        <f>Lista!Q682</f>
        <v>0</v>
      </c>
      <c r="S683" s="125">
        <f>Lista!R682</f>
        <v>0</v>
      </c>
      <c r="T683" s="81"/>
      <c r="U683" s="81"/>
      <c r="V683" s="81"/>
      <c r="W683" s="81"/>
      <c r="X683" s="81"/>
      <c r="Y683" s="81"/>
      <c r="Z683" s="81"/>
      <c r="AA683" s="81"/>
      <c r="AB683" s="81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  <c r="BS683" s="81"/>
      <c r="BT683" s="81"/>
      <c r="BU683" s="81"/>
      <c r="BV683" s="81"/>
      <c r="BW683" s="81"/>
      <c r="BX683" s="81"/>
      <c r="BY683" s="81"/>
      <c r="BZ683" s="81"/>
      <c r="CA683" s="81"/>
      <c r="CB683" s="81"/>
      <c r="CC683" s="81"/>
      <c r="CD683" s="81"/>
      <c r="CE683" s="81"/>
      <c r="CF683" s="81"/>
      <c r="CG683" s="81"/>
      <c r="CH683" s="81"/>
      <c r="CI683" s="81"/>
      <c r="CJ683" s="81"/>
      <c r="CK683" s="81"/>
      <c r="CL683" s="81"/>
      <c r="CM683" s="81"/>
      <c r="CN683" s="81"/>
      <c r="CO683" s="81"/>
      <c r="CP683" s="81"/>
      <c r="CQ683" s="81"/>
      <c r="CR683" s="81"/>
      <c r="CS683" s="81"/>
      <c r="CT683" s="81"/>
      <c r="CU683" s="81"/>
      <c r="CV683" s="81"/>
      <c r="CW683" s="81"/>
      <c r="CX683" s="81"/>
      <c r="CY683" s="81"/>
      <c r="CZ683" s="81"/>
      <c r="DA683" s="81"/>
      <c r="DB683" s="81"/>
      <c r="DC683" s="81"/>
      <c r="DD683" s="81"/>
      <c r="DE683" s="81"/>
      <c r="DF683" s="81"/>
      <c r="DG683" s="81"/>
      <c r="DH683" s="81"/>
      <c r="DI683" s="81"/>
      <c r="DJ683" s="81"/>
      <c r="DK683" s="81"/>
      <c r="DL683" s="81"/>
      <c r="DM683" s="81"/>
      <c r="DN683" s="81"/>
      <c r="DO683" s="81"/>
      <c r="DP683" s="81"/>
      <c r="DQ683" s="81"/>
      <c r="DR683" s="81"/>
      <c r="DS683" s="81"/>
      <c r="DT683" s="81"/>
      <c r="DU683" s="81"/>
      <c r="DV683" s="81"/>
      <c r="DW683" s="121"/>
    </row>
    <row r="684" spans="1:127" x14ac:dyDescent="0.25">
      <c r="A684" s="2">
        <f>COUNTIF($D$2:D684,'Reporte de Nomina'!$E$2)</f>
        <v>0</v>
      </c>
      <c r="B684" s="125">
        <f>Lista!A683</f>
        <v>0</v>
      </c>
      <c r="C684" s="125">
        <f>Lista!B683</f>
        <v>0</v>
      </c>
      <c r="D684" s="125">
        <f>Lista!C683</f>
        <v>0</v>
      </c>
      <c r="E684" s="125">
        <f>Lista!D683</f>
        <v>0</v>
      </c>
      <c r="F684" s="125">
        <f>Lista!E683</f>
        <v>0</v>
      </c>
      <c r="G684" s="125">
        <f>Lista!F683</f>
        <v>0</v>
      </c>
      <c r="H684" s="125">
        <f>Lista!G683</f>
        <v>0</v>
      </c>
      <c r="I684" s="125">
        <f>Lista!H683</f>
        <v>0</v>
      </c>
      <c r="J684" s="125">
        <f>Lista!I683</f>
        <v>0</v>
      </c>
      <c r="K684" s="125">
        <f>Lista!J683</f>
        <v>0</v>
      </c>
      <c r="L684" s="125">
        <f>Lista!K683</f>
        <v>0</v>
      </c>
      <c r="M684" s="125">
        <f>Lista!L683</f>
        <v>0</v>
      </c>
      <c r="N684" s="125">
        <f>Lista!M683</f>
        <v>0</v>
      </c>
      <c r="O684" s="125">
        <f>Lista!N683</f>
        <v>0</v>
      </c>
      <c r="P684" s="125">
        <f>Lista!O683</f>
        <v>0</v>
      </c>
      <c r="Q684" s="125">
        <f>Lista!P683</f>
        <v>0</v>
      </c>
      <c r="R684" s="125">
        <f>Lista!Q683</f>
        <v>0</v>
      </c>
      <c r="S684" s="125">
        <f>Lista!R683</f>
        <v>0</v>
      </c>
      <c r="T684" s="81"/>
      <c r="U684" s="81"/>
      <c r="V684" s="81"/>
      <c r="W684" s="81"/>
      <c r="X684" s="81"/>
      <c r="Y684" s="81"/>
      <c r="Z684" s="81"/>
      <c r="AA684" s="81"/>
      <c r="AB684" s="81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  <c r="BS684" s="81"/>
      <c r="BT684" s="81"/>
      <c r="BU684" s="81"/>
      <c r="BV684" s="81"/>
      <c r="BW684" s="81"/>
      <c r="BX684" s="81"/>
      <c r="BY684" s="81"/>
      <c r="BZ684" s="81"/>
      <c r="CA684" s="81"/>
      <c r="CB684" s="81"/>
      <c r="CC684" s="81"/>
      <c r="CD684" s="81"/>
      <c r="CE684" s="81"/>
      <c r="CF684" s="81"/>
      <c r="CG684" s="81"/>
      <c r="CH684" s="81"/>
      <c r="CI684" s="81"/>
      <c r="CJ684" s="81"/>
      <c r="CK684" s="81"/>
      <c r="CL684" s="81"/>
      <c r="CM684" s="81"/>
      <c r="CN684" s="81"/>
      <c r="CO684" s="81"/>
      <c r="CP684" s="81"/>
      <c r="CQ684" s="81"/>
      <c r="CR684" s="81"/>
      <c r="CS684" s="81"/>
      <c r="CT684" s="81"/>
      <c r="CU684" s="81"/>
      <c r="CV684" s="81"/>
      <c r="CW684" s="81"/>
      <c r="CX684" s="81"/>
      <c r="CY684" s="81"/>
      <c r="CZ684" s="81"/>
      <c r="DA684" s="81"/>
      <c r="DB684" s="81"/>
      <c r="DC684" s="81"/>
      <c r="DD684" s="81"/>
      <c r="DE684" s="81"/>
      <c r="DF684" s="81"/>
      <c r="DG684" s="81"/>
      <c r="DH684" s="81"/>
      <c r="DI684" s="81"/>
      <c r="DJ684" s="81"/>
      <c r="DK684" s="81"/>
      <c r="DL684" s="81"/>
      <c r="DM684" s="81"/>
      <c r="DN684" s="81"/>
      <c r="DO684" s="81"/>
      <c r="DP684" s="81"/>
      <c r="DQ684" s="81"/>
      <c r="DR684" s="81"/>
      <c r="DS684" s="81"/>
      <c r="DT684" s="81"/>
      <c r="DU684" s="81"/>
      <c r="DV684" s="81"/>
      <c r="DW684" s="121"/>
    </row>
    <row r="685" spans="1:127" x14ac:dyDescent="0.25">
      <c r="A685" s="2">
        <f>COUNTIF($D$2:D685,'Reporte de Nomina'!$E$2)</f>
        <v>0</v>
      </c>
      <c r="B685" s="125">
        <f>Lista!A684</f>
        <v>0</v>
      </c>
      <c r="C685" s="125">
        <f>Lista!B684</f>
        <v>0</v>
      </c>
      <c r="D685" s="125">
        <f>Lista!C684</f>
        <v>0</v>
      </c>
      <c r="E685" s="125">
        <f>Lista!D684</f>
        <v>0</v>
      </c>
      <c r="F685" s="125">
        <f>Lista!E684</f>
        <v>0</v>
      </c>
      <c r="G685" s="125">
        <f>Lista!F684</f>
        <v>0</v>
      </c>
      <c r="H685" s="125">
        <f>Lista!G684</f>
        <v>0</v>
      </c>
      <c r="I685" s="125">
        <f>Lista!H684</f>
        <v>0</v>
      </c>
      <c r="J685" s="125">
        <f>Lista!I684</f>
        <v>0</v>
      </c>
      <c r="K685" s="125">
        <f>Lista!J684</f>
        <v>0</v>
      </c>
      <c r="L685" s="125">
        <f>Lista!K684</f>
        <v>0</v>
      </c>
      <c r="M685" s="125">
        <f>Lista!L684</f>
        <v>0</v>
      </c>
      <c r="N685" s="125">
        <f>Lista!M684</f>
        <v>0</v>
      </c>
      <c r="O685" s="125">
        <f>Lista!N684</f>
        <v>0</v>
      </c>
      <c r="P685" s="125">
        <f>Lista!O684</f>
        <v>0</v>
      </c>
      <c r="Q685" s="125">
        <f>Lista!P684</f>
        <v>0</v>
      </c>
      <c r="R685" s="125">
        <f>Lista!Q684</f>
        <v>0</v>
      </c>
      <c r="S685" s="125">
        <f>Lista!R684</f>
        <v>0</v>
      </c>
      <c r="T685" s="81"/>
      <c r="U685" s="81"/>
      <c r="V685" s="81"/>
      <c r="W685" s="81"/>
      <c r="X685" s="81"/>
      <c r="Y685" s="81"/>
      <c r="Z685" s="81"/>
      <c r="AA685" s="81"/>
      <c r="AB685" s="81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  <c r="BS685" s="81"/>
      <c r="BT685" s="81"/>
      <c r="BU685" s="81"/>
      <c r="BV685" s="81"/>
      <c r="BW685" s="81"/>
      <c r="BX685" s="81"/>
      <c r="BY685" s="81"/>
      <c r="BZ685" s="81"/>
      <c r="CA685" s="81"/>
      <c r="CB685" s="81"/>
      <c r="CC685" s="81"/>
      <c r="CD685" s="81"/>
      <c r="CE685" s="81"/>
      <c r="CF685" s="81"/>
      <c r="CG685" s="81"/>
      <c r="CH685" s="81"/>
      <c r="CI685" s="81"/>
      <c r="CJ685" s="81"/>
      <c r="CK685" s="81"/>
      <c r="CL685" s="81"/>
      <c r="CM685" s="81"/>
      <c r="CN685" s="81"/>
      <c r="CO685" s="81"/>
      <c r="CP685" s="81"/>
      <c r="CQ685" s="81"/>
      <c r="CR685" s="81"/>
      <c r="CS685" s="81"/>
      <c r="CT685" s="81"/>
      <c r="CU685" s="81"/>
      <c r="CV685" s="81"/>
      <c r="CW685" s="81"/>
      <c r="CX685" s="81"/>
      <c r="CY685" s="81"/>
      <c r="CZ685" s="81"/>
      <c r="DA685" s="81"/>
      <c r="DB685" s="81"/>
      <c r="DC685" s="81"/>
      <c r="DD685" s="81"/>
      <c r="DE685" s="81"/>
      <c r="DF685" s="81"/>
      <c r="DG685" s="81"/>
      <c r="DH685" s="81"/>
      <c r="DI685" s="81"/>
      <c r="DJ685" s="81"/>
      <c r="DK685" s="81"/>
      <c r="DL685" s="81"/>
      <c r="DM685" s="81"/>
      <c r="DN685" s="81"/>
      <c r="DO685" s="81"/>
      <c r="DP685" s="81"/>
      <c r="DQ685" s="81"/>
      <c r="DR685" s="81"/>
      <c r="DS685" s="81"/>
      <c r="DT685" s="81"/>
      <c r="DU685" s="81"/>
      <c r="DV685" s="81"/>
      <c r="DW685" s="121"/>
    </row>
    <row r="686" spans="1:127" x14ac:dyDescent="0.25">
      <c r="A686" s="2">
        <f>COUNTIF($D$2:D686,'Reporte de Nomina'!$E$2)</f>
        <v>0</v>
      </c>
      <c r="B686" s="125">
        <f>Lista!A685</f>
        <v>0</v>
      </c>
      <c r="C686" s="125">
        <f>Lista!B685</f>
        <v>0</v>
      </c>
      <c r="D686" s="125">
        <f>Lista!C685</f>
        <v>0</v>
      </c>
      <c r="E686" s="125">
        <f>Lista!D685</f>
        <v>0</v>
      </c>
      <c r="F686" s="125">
        <f>Lista!E685</f>
        <v>0</v>
      </c>
      <c r="G686" s="125">
        <f>Lista!F685</f>
        <v>0</v>
      </c>
      <c r="H686" s="125">
        <f>Lista!G685</f>
        <v>0</v>
      </c>
      <c r="I686" s="125">
        <f>Lista!H685</f>
        <v>0</v>
      </c>
      <c r="J686" s="125">
        <f>Lista!I685</f>
        <v>0</v>
      </c>
      <c r="K686" s="125">
        <f>Lista!J685</f>
        <v>0</v>
      </c>
      <c r="L686" s="125">
        <f>Lista!K685</f>
        <v>0</v>
      </c>
      <c r="M686" s="125">
        <f>Lista!L685</f>
        <v>0</v>
      </c>
      <c r="N686" s="125">
        <f>Lista!M685</f>
        <v>0</v>
      </c>
      <c r="O686" s="125">
        <f>Lista!N685</f>
        <v>0</v>
      </c>
      <c r="P686" s="125">
        <f>Lista!O685</f>
        <v>0</v>
      </c>
      <c r="Q686" s="125">
        <f>Lista!P685</f>
        <v>0</v>
      </c>
      <c r="R686" s="125">
        <f>Lista!Q685</f>
        <v>0</v>
      </c>
      <c r="S686" s="125">
        <f>Lista!R685</f>
        <v>0</v>
      </c>
      <c r="T686" s="81"/>
      <c r="U686" s="81"/>
      <c r="V686" s="81"/>
      <c r="W686" s="81"/>
      <c r="X686" s="81"/>
      <c r="Y686" s="81"/>
      <c r="Z686" s="81"/>
      <c r="AA686" s="81"/>
      <c r="AB686" s="81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  <c r="BS686" s="81"/>
      <c r="BT686" s="81"/>
      <c r="BU686" s="81"/>
      <c r="BV686" s="81"/>
      <c r="BW686" s="81"/>
      <c r="BX686" s="81"/>
      <c r="BY686" s="81"/>
      <c r="BZ686" s="81"/>
      <c r="CA686" s="81"/>
      <c r="CB686" s="81"/>
      <c r="CC686" s="81"/>
      <c r="CD686" s="81"/>
      <c r="CE686" s="81"/>
      <c r="CF686" s="81"/>
      <c r="CG686" s="81"/>
      <c r="CH686" s="81"/>
      <c r="CI686" s="81"/>
      <c r="CJ686" s="81"/>
      <c r="CK686" s="81"/>
      <c r="CL686" s="81"/>
      <c r="CM686" s="81"/>
      <c r="CN686" s="81"/>
      <c r="CO686" s="81"/>
      <c r="CP686" s="81"/>
      <c r="CQ686" s="81"/>
      <c r="CR686" s="81"/>
      <c r="CS686" s="81"/>
      <c r="CT686" s="81"/>
      <c r="CU686" s="81"/>
      <c r="CV686" s="81"/>
      <c r="CW686" s="81"/>
      <c r="CX686" s="81"/>
      <c r="CY686" s="81"/>
      <c r="CZ686" s="81"/>
      <c r="DA686" s="81"/>
      <c r="DB686" s="81"/>
      <c r="DC686" s="81"/>
      <c r="DD686" s="81"/>
      <c r="DE686" s="81"/>
      <c r="DF686" s="81"/>
      <c r="DG686" s="81"/>
      <c r="DH686" s="81"/>
      <c r="DI686" s="81"/>
      <c r="DJ686" s="81"/>
      <c r="DK686" s="81"/>
      <c r="DL686" s="81"/>
      <c r="DM686" s="81"/>
      <c r="DN686" s="81"/>
      <c r="DO686" s="81"/>
      <c r="DP686" s="81"/>
      <c r="DQ686" s="81"/>
      <c r="DR686" s="81"/>
      <c r="DS686" s="81"/>
      <c r="DT686" s="81"/>
      <c r="DU686" s="81"/>
      <c r="DV686" s="81"/>
      <c r="DW686" s="121"/>
    </row>
    <row r="687" spans="1:127" x14ac:dyDescent="0.25">
      <c r="A687" s="2">
        <f>COUNTIF($D$2:D687,'Reporte de Nomina'!$E$2)</f>
        <v>0</v>
      </c>
      <c r="B687" s="125">
        <f>Lista!A686</f>
        <v>0</v>
      </c>
      <c r="C687" s="125">
        <f>Lista!B686</f>
        <v>0</v>
      </c>
      <c r="D687" s="125">
        <f>Lista!C686</f>
        <v>0</v>
      </c>
      <c r="E687" s="125">
        <f>Lista!D686</f>
        <v>0</v>
      </c>
      <c r="F687" s="125">
        <f>Lista!E686</f>
        <v>0</v>
      </c>
      <c r="G687" s="125">
        <f>Lista!F686</f>
        <v>0</v>
      </c>
      <c r="H687" s="125">
        <f>Lista!G686</f>
        <v>0</v>
      </c>
      <c r="I687" s="125">
        <f>Lista!H686</f>
        <v>0</v>
      </c>
      <c r="J687" s="125">
        <f>Lista!I686</f>
        <v>0</v>
      </c>
      <c r="K687" s="125">
        <f>Lista!J686</f>
        <v>0</v>
      </c>
      <c r="L687" s="125">
        <f>Lista!K686</f>
        <v>0</v>
      </c>
      <c r="M687" s="125">
        <f>Lista!L686</f>
        <v>0</v>
      </c>
      <c r="N687" s="125">
        <f>Lista!M686</f>
        <v>0</v>
      </c>
      <c r="O687" s="125">
        <f>Lista!N686</f>
        <v>0</v>
      </c>
      <c r="P687" s="125">
        <f>Lista!O686</f>
        <v>0</v>
      </c>
      <c r="Q687" s="125">
        <f>Lista!P686</f>
        <v>0</v>
      </c>
      <c r="R687" s="125">
        <f>Lista!Q686</f>
        <v>0</v>
      </c>
      <c r="S687" s="125">
        <f>Lista!R686</f>
        <v>0</v>
      </c>
      <c r="T687" s="81"/>
      <c r="U687" s="81"/>
      <c r="V687" s="81"/>
      <c r="W687" s="81"/>
      <c r="X687" s="81"/>
      <c r="Y687" s="81"/>
      <c r="Z687" s="81"/>
      <c r="AA687" s="81"/>
      <c r="AB687" s="81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  <c r="BS687" s="81"/>
      <c r="BT687" s="81"/>
      <c r="BU687" s="81"/>
      <c r="BV687" s="81"/>
      <c r="BW687" s="81"/>
      <c r="BX687" s="81"/>
      <c r="BY687" s="81"/>
      <c r="BZ687" s="81"/>
      <c r="CA687" s="81"/>
      <c r="CB687" s="81"/>
      <c r="CC687" s="81"/>
      <c r="CD687" s="81"/>
      <c r="CE687" s="81"/>
      <c r="CF687" s="81"/>
      <c r="CG687" s="81"/>
      <c r="CH687" s="81"/>
      <c r="CI687" s="81"/>
      <c r="CJ687" s="81"/>
      <c r="CK687" s="81"/>
      <c r="CL687" s="81"/>
      <c r="CM687" s="81"/>
      <c r="CN687" s="81"/>
      <c r="CO687" s="81"/>
      <c r="CP687" s="81"/>
      <c r="CQ687" s="81"/>
      <c r="CR687" s="81"/>
      <c r="CS687" s="81"/>
      <c r="CT687" s="81"/>
      <c r="CU687" s="81"/>
      <c r="CV687" s="81"/>
      <c r="CW687" s="81"/>
      <c r="CX687" s="81"/>
      <c r="CY687" s="81"/>
      <c r="CZ687" s="81"/>
      <c r="DA687" s="81"/>
      <c r="DB687" s="81"/>
      <c r="DC687" s="81"/>
      <c r="DD687" s="81"/>
      <c r="DE687" s="81"/>
      <c r="DF687" s="81"/>
      <c r="DG687" s="81"/>
      <c r="DH687" s="81"/>
      <c r="DI687" s="81"/>
      <c r="DJ687" s="81"/>
      <c r="DK687" s="81"/>
      <c r="DL687" s="81"/>
      <c r="DM687" s="81"/>
      <c r="DN687" s="81"/>
      <c r="DO687" s="81"/>
      <c r="DP687" s="81"/>
      <c r="DQ687" s="81"/>
      <c r="DR687" s="81"/>
      <c r="DS687" s="81"/>
      <c r="DT687" s="81"/>
      <c r="DU687" s="81"/>
      <c r="DV687" s="81"/>
      <c r="DW687" s="121"/>
    </row>
    <row r="688" spans="1:127" x14ac:dyDescent="0.25">
      <c r="A688" s="2">
        <f>COUNTIF($D$2:D688,'Reporte de Nomina'!$E$2)</f>
        <v>0</v>
      </c>
      <c r="B688" s="125">
        <f>Lista!A687</f>
        <v>0</v>
      </c>
      <c r="C688" s="125">
        <f>Lista!B687</f>
        <v>0</v>
      </c>
      <c r="D688" s="125">
        <f>Lista!C687</f>
        <v>0</v>
      </c>
      <c r="E688" s="125">
        <f>Lista!D687</f>
        <v>0</v>
      </c>
      <c r="F688" s="125">
        <f>Lista!E687</f>
        <v>0</v>
      </c>
      <c r="G688" s="125">
        <f>Lista!F687</f>
        <v>0</v>
      </c>
      <c r="H688" s="125">
        <f>Lista!G687</f>
        <v>0</v>
      </c>
      <c r="I688" s="125">
        <f>Lista!H687</f>
        <v>0</v>
      </c>
      <c r="J688" s="125">
        <f>Lista!I687</f>
        <v>0</v>
      </c>
      <c r="K688" s="125">
        <f>Lista!J687</f>
        <v>0</v>
      </c>
      <c r="L688" s="125">
        <f>Lista!K687</f>
        <v>0</v>
      </c>
      <c r="M688" s="125">
        <f>Lista!L687</f>
        <v>0</v>
      </c>
      <c r="N688" s="125">
        <f>Lista!M687</f>
        <v>0</v>
      </c>
      <c r="O688" s="125">
        <f>Lista!N687</f>
        <v>0</v>
      </c>
      <c r="P688" s="125">
        <f>Lista!O687</f>
        <v>0</v>
      </c>
      <c r="Q688" s="125">
        <f>Lista!P687</f>
        <v>0</v>
      </c>
      <c r="R688" s="125">
        <f>Lista!Q687</f>
        <v>0</v>
      </c>
      <c r="S688" s="125">
        <f>Lista!R687</f>
        <v>0</v>
      </c>
      <c r="T688" s="81"/>
      <c r="U688" s="81"/>
      <c r="V688" s="81"/>
      <c r="W688" s="81"/>
      <c r="X688" s="81"/>
      <c r="Y688" s="81"/>
      <c r="Z688" s="81"/>
      <c r="AA688" s="81"/>
      <c r="AB688" s="81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  <c r="BS688" s="81"/>
      <c r="BT688" s="81"/>
      <c r="BU688" s="81"/>
      <c r="BV688" s="81"/>
      <c r="BW688" s="81"/>
      <c r="BX688" s="81"/>
      <c r="BY688" s="81"/>
      <c r="BZ688" s="81"/>
      <c r="CA688" s="81"/>
      <c r="CB688" s="81"/>
      <c r="CC688" s="81"/>
      <c r="CD688" s="81"/>
      <c r="CE688" s="81"/>
      <c r="CF688" s="81"/>
      <c r="CG688" s="81"/>
      <c r="CH688" s="81"/>
      <c r="CI688" s="81"/>
      <c r="CJ688" s="81"/>
      <c r="CK688" s="81"/>
      <c r="CL688" s="81"/>
      <c r="CM688" s="81"/>
      <c r="CN688" s="81"/>
      <c r="CO688" s="81"/>
      <c r="CP688" s="81"/>
      <c r="CQ688" s="81"/>
      <c r="CR688" s="81"/>
      <c r="CS688" s="81"/>
      <c r="CT688" s="81"/>
      <c r="CU688" s="81"/>
      <c r="CV688" s="81"/>
      <c r="CW688" s="81"/>
      <c r="CX688" s="81"/>
      <c r="CY688" s="81"/>
      <c r="CZ688" s="81"/>
      <c r="DA688" s="81"/>
      <c r="DB688" s="81"/>
      <c r="DC688" s="81"/>
      <c r="DD688" s="81"/>
      <c r="DE688" s="81"/>
      <c r="DF688" s="81"/>
      <c r="DG688" s="81"/>
      <c r="DH688" s="81"/>
      <c r="DI688" s="81"/>
      <c r="DJ688" s="81"/>
      <c r="DK688" s="81"/>
      <c r="DL688" s="81"/>
      <c r="DM688" s="81"/>
      <c r="DN688" s="81"/>
      <c r="DO688" s="81"/>
      <c r="DP688" s="81"/>
      <c r="DQ688" s="81"/>
      <c r="DR688" s="81"/>
      <c r="DS688" s="81"/>
      <c r="DT688" s="81"/>
      <c r="DU688" s="81"/>
      <c r="DV688" s="81"/>
      <c r="DW688" s="121"/>
    </row>
    <row r="689" spans="1:127" x14ac:dyDescent="0.25">
      <c r="A689" s="2">
        <f>COUNTIF($D$2:D689,'Reporte de Nomina'!$E$2)</f>
        <v>0</v>
      </c>
      <c r="B689" s="125">
        <f>Lista!A688</f>
        <v>0</v>
      </c>
      <c r="C689" s="125">
        <f>Lista!B688</f>
        <v>0</v>
      </c>
      <c r="D689" s="125">
        <f>Lista!C688</f>
        <v>0</v>
      </c>
      <c r="E689" s="125">
        <f>Lista!D688</f>
        <v>0</v>
      </c>
      <c r="F689" s="125">
        <f>Lista!E688</f>
        <v>0</v>
      </c>
      <c r="G689" s="125">
        <f>Lista!F688</f>
        <v>0</v>
      </c>
      <c r="H689" s="125">
        <f>Lista!G688</f>
        <v>0</v>
      </c>
      <c r="I689" s="125">
        <f>Lista!H688</f>
        <v>0</v>
      </c>
      <c r="J689" s="125">
        <f>Lista!I688</f>
        <v>0</v>
      </c>
      <c r="K689" s="125">
        <f>Lista!J688</f>
        <v>0</v>
      </c>
      <c r="L689" s="125">
        <f>Lista!K688</f>
        <v>0</v>
      </c>
      <c r="M689" s="125">
        <f>Lista!L688</f>
        <v>0</v>
      </c>
      <c r="N689" s="125">
        <f>Lista!M688</f>
        <v>0</v>
      </c>
      <c r="O689" s="125">
        <f>Lista!N688</f>
        <v>0</v>
      </c>
      <c r="P689" s="125">
        <f>Lista!O688</f>
        <v>0</v>
      </c>
      <c r="Q689" s="125">
        <f>Lista!P688</f>
        <v>0</v>
      </c>
      <c r="R689" s="125">
        <f>Lista!Q688</f>
        <v>0</v>
      </c>
      <c r="S689" s="125">
        <f>Lista!R688</f>
        <v>0</v>
      </c>
      <c r="T689" s="81"/>
      <c r="U689" s="81"/>
      <c r="V689" s="81"/>
      <c r="W689" s="81"/>
      <c r="X689" s="81"/>
      <c r="Y689" s="81"/>
      <c r="Z689" s="81"/>
      <c r="AA689" s="81"/>
      <c r="AB689" s="81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  <c r="BS689" s="81"/>
      <c r="BT689" s="81"/>
      <c r="BU689" s="81"/>
      <c r="BV689" s="81"/>
      <c r="BW689" s="81"/>
      <c r="BX689" s="81"/>
      <c r="BY689" s="81"/>
      <c r="BZ689" s="81"/>
      <c r="CA689" s="81"/>
      <c r="CB689" s="81"/>
      <c r="CC689" s="81"/>
      <c r="CD689" s="81"/>
      <c r="CE689" s="81"/>
      <c r="CF689" s="81"/>
      <c r="CG689" s="81"/>
      <c r="CH689" s="81"/>
      <c r="CI689" s="81"/>
      <c r="CJ689" s="81"/>
      <c r="CK689" s="81"/>
      <c r="CL689" s="81"/>
      <c r="CM689" s="81"/>
      <c r="CN689" s="81"/>
      <c r="CO689" s="81"/>
      <c r="CP689" s="81"/>
      <c r="CQ689" s="81"/>
      <c r="CR689" s="81"/>
      <c r="CS689" s="81"/>
      <c r="CT689" s="81"/>
      <c r="CU689" s="81"/>
      <c r="CV689" s="81"/>
      <c r="CW689" s="81"/>
      <c r="CX689" s="81"/>
      <c r="CY689" s="81"/>
      <c r="CZ689" s="81"/>
      <c r="DA689" s="81"/>
      <c r="DB689" s="81"/>
      <c r="DC689" s="81"/>
      <c r="DD689" s="81"/>
      <c r="DE689" s="81"/>
      <c r="DF689" s="81"/>
      <c r="DG689" s="81"/>
      <c r="DH689" s="81"/>
      <c r="DI689" s="81"/>
      <c r="DJ689" s="81"/>
      <c r="DK689" s="81"/>
      <c r="DL689" s="81"/>
      <c r="DM689" s="81"/>
      <c r="DN689" s="81"/>
      <c r="DO689" s="81"/>
      <c r="DP689" s="81"/>
      <c r="DQ689" s="81"/>
      <c r="DR689" s="81"/>
      <c r="DS689" s="81"/>
      <c r="DT689" s="81"/>
      <c r="DU689" s="81"/>
      <c r="DV689" s="81"/>
      <c r="DW689" s="121"/>
    </row>
    <row r="690" spans="1:127" x14ac:dyDescent="0.25">
      <c r="A690" s="2">
        <f>COUNTIF($D$2:D690,'Reporte de Nomina'!$E$2)</f>
        <v>0</v>
      </c>
      <c r="B690" s="125">
        <f>Lista!A689</f>
        <v>0</v>
      </c>
      <c r="C690" s="125">
        <f>Lista!B689</f>
        <v>0</v>
      </c>
      <c r="D690" s="125">
        <f>Lista!C689</f>
        <v>0</v>
      </c>
      <c r="E690" s="125">
        <f>Lista!D689</f>
        <v>0</v>
      </c>
      <c r="F690" s="125">
        <f>Lista!E689</f>
        <v>0</v>
      </c>
      <c r="G690" s="125">
        <f>Lista!F689</f>
        <v>0</v>
      </c>
      <c r="H690" s="125">
        <f>Lista!G689</f>
        <v>0</v>
      </c>
      <c r="I690" s="125">
        <f>Lista!H689</f>
        <v>0</v>
      </c>
      <c r="J690" s="125">
        <f>Lista!I689</f>
        <v>0</v>
      </c>
      <c r="K690" s="125">
        <f>Lista!J689</f>
        <v>0</v>
      </c>
      <c r="L690" s="125">
        <f>Lista!K689</f>
        <v>0</v>
      </c>
      <c r="M690" s="125">
        <f>Lista!L689</f>
        <v>0</v>
      </c>
      <c r="N690" s="125">
        <f>Lista!M689</f>
        <v>0</v>
      </c>
      <c r="O690" s="125">
        <f>Lista!N689</f>
        <v>0</v>
      </c>
      <c r="P690" s="125">
        <f>Lista!O689</f>
        <v>0</v>
      </c>
      <c r="Q690" s="125">
        <f>Lista!P689</f>
        <v>0</v>
      </c>
      <c r="R690" s="125">
        <f>Lista!Q689</f>
        <v>0</v>
      </c>
      <c r="S690" s="125">
        <f>Lista!R689</f>
        <v>0</v>
      </c>
      <c r="T690" s="81"/>
      <c r="U690" s="81"/>
      <c r="V690" s="81"/>
      <c r="W690" s="81"/>
      <c r="X690" s="81"/>
      <c r="Y690" s="81"/>
      <c r="Z690" s="81"/>
      <c r="AA690" s="81"/>
      <c r="AB690" s="81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  <c r="BS690" s="81"/>
      <c r="BT690" s="81"/>
      <c r="BU690" s="81"/>
      <c r="BV690" s="81"/>
      <c r="BW690" s="81"/>
      <c r="BX690" s="81"/>
      <c r="BY690" s="81"/>
      <c r="BZ690" s="81"/>
      <c r="CA690" s="81"/>
      <c r="CB690" s="81"/>
      <c r="CC690" s="81"/>
      <c r="CD690" s="81"/>
      <c r="CE690" s="81"/>
      <c r="CF690" s="81"/>
      <c r="CG690" s="81"/>
      <c r="CH690" s="81"/>
      <c r="CI690" s="81"/>
      <c r="CJ690" s="81"/>
      <c r="CK690" s="81"/>
      <c r="CL690" s="81"/>
      <c r="CM690" s="81"/>
      <c r="CN690" s="81"/>
      <c r="CO690" s="81"/>
      <c r="CP690" s="81"/>
      <c r="CQ690" s="81"/>
      <c r="CR690" s="81"/>
      <c r="CS690" s="81"/>
      <c r="CT690" s="81"/>
      <c r="CU690" s="81"/>
      <c r="CV690" s="81"/>
      <c r="CW690" s="81"/>
      <c r="CX690" s="81"/>
      <c r="CY690" s="81"/>
      <c r="CZ690" s="81"/>
      <c r="DA690" s="81"/>
      <c r="DB690" s="81"/>
      <c r="DC690" s="81"/>
      <c r="DD690" s="81"/>
      <c r="DE690" s="81"/>
      <c r="DF690" s="81"/>
      <c r="DG690" s="81"/>
      <c r="DH690" s="81"/>
      <c r="DI690" s="81"/>
      <c r="DJ690" s="81"/>
      <c r="DK690" s="81"/>
      <c r="DL690" s="81"/>
      <c r="DM690" s="81"/>
      <c r="DN690" s="81"/>
      <c r="DO690" s="81"/>
      <c r="DP690" s="81"/>
      <c r="DQ690" s="81"/>
      <c r="DR690" s="81"/>
      <c r="DS690" s="81"/>
      <c r="DT690" s="81"/>
      <c r="DU690" s="81"/>
      <c r="DV690" s="81"/>
      <c r="DW690" s="121"/>
    </row>
    <row r="691" spans="1:127" x14ac:dyDescent="0.25">
      <c r="A691" s="2">
        <f>COUNTIF($D$2:D691,'Reporte de Nomina'!$E$2)</f>
        <v>0</v>
      </c>
      <c r="B691" s="125">
        <f>Lista!A690</f>
        <v>0</v>
      </c>
      <c r="C691" s="125">
        <f>Lista!B690</f>
        <v>0</v>
      </c>
      <c r="D691" s="125">
        <f>Lista!C690</f>
        <v>0</v>
      </c>
      <c r="E691" s="125">
        <f>Lista!D690</f>
        <v>0</v>
      </c>
      <c r="F691" s="125">
        <f>Lista!E690</f>
        <v>0</v>
      </c>
      <c r="G691" s="125">
        <f>Lista!F690</f>
        <v>0</v>
      </c>
      <c r="H691" s="125">
        <f>Lista!G690</f>
        <v>0</v>
      </c>
      <c r="I691" s="125">
        <f>Lista!H690</f>
        <v>0</v>
      </c>
      <c r="J691" s="125">
        <f>Lista!I690</f>
        <v>0</v>
      </c>
      <c r="K691" s="125">
        <f>Lista!J690</f>
        <v>0</v>
      </c>
      <c r="L691" s="125">
        <f>Lista!K690</f>
        <v>0</v>
      </c>
      <c r="M691" s="125">
        <f>Lista!L690</f>
        <v>0</v>
      </c>
      <c r="N691" s="125">
        <f>Lista!M690</f>
        <v>0</v>
      </c>
      <c r="O691" s="125">
        <f>Lista!N690</f>
        <v>0</v>
      </c>
      <c r="P691" s="125">
        <f>Lista!O690</f>
        <v>0</v>
      </c>
      <c r="Q691" s="125">
        <f>Lista!P690</f>
        <v>0</v>
      </c>
      <c r="R691" s="125">
        <f>Lista!Q690</f>
        <v>0</v>
      </c>
      <c r="S691" s="125">
        <f>Lista!R690</f>
        <v>0</v>
      </c>
      <c r="T691" s="81"/>
      <c r="U691" s="81"/>
      <c r="V691" s="81"/>
      <c r="W691" s="81"/>
      <c r="X691" s="81"/>
      <c r="Y691" s="81"/>
      <c r="Z691" s="81"/>
      <c r="AA691" s="81"/>
      <c r="AB691" s="81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  <c r="BS691" s="81"/>
      <c r="BT691" s="81"/>
      <c r="BU691" s="81"/>
      <c r="BV691" s="81"/>
      <c r="BW691" s="81"/>
      <c r="BX691" s="81"/>
      <c r="BY691" s="81"/>
      <c r="BZ691" s="81"/>
      <c r="CA691" s="81"/>
      <c r="CB691" s="81"/>
      <c r="CC691" s="81"/>
      <c r="CD691" s="81"/>
      <c r="CE691" s="81"/>
      <c r="CF691" s="81"/>
      <c r="CG691" s="81"/>
      <c r="CH691" s="81"/>
      <c r="CI691" s="81"/>
      <c r="CJ691" s="81"/>
      <c r="CK691" s="81"/>
      <c r="CL691" s="81"/>
      <c r="CM691" s="81"/>
      <c r="CN691" s="81"/>
      <c r="CO691" s="81"/>
      <c r="CP691" s="81"/>
      <c r="CQ691" s="81"/>
      <c r="CR691" s="81"/>
      <c r="CS691" s="81"/>
      <c r="CT691" s="81"/>
      <c r="CU691" s="81"/>
      <c r="CV691" s="81"/>
      <c r="CW691" s="81"/>
      <c r="CX691" s="81"/>
      <c r="CY691" s="81"/>
      <c r="CZ691" s="81"/>
      <c r="DA691" s="81"/>
      <c r="DB691" s="81"/>
      <c r="DC691" s="81"/>
      <c r="DD691" s="81"/>
      <c r="DE691" s="81"/>
      <c r="DF691" s="81"/>
      <c r="DG691" s="81"/>
      <c r="DH691" s="81"/>
      <c r="DI691" s="81"/>
      <c r="DJ691" s="81"/>
      <c r="DK691" s="81"/>
      <c r="DL691" s="81"/>
      <c r="DM691" s="81"/>
      <c r="DN691" s="81"/>
      <c r="DO691" s="81"/>
      <c r="DP691" s="81"/>
      <c r="DQ691" s="81"/>
      <c r="DR691" s="81"/>
      <c r="DS691" s="81"/>
      <c r="DT691" s="81"/>
      <c r="DU691" s="81"/>
      <c r="DV691" s="81"/>
      <c r="DW691" s="121"/>
    </row>
    <row r="692" spans="1:127" x14ac:dyDescent="0.25">
      <c r="A692" s="2">
        <f>COUNTIF($D$2:D692,'Reporte de Nomina'!$E$2)</f>
        <v>0</v>
      </c>
      <c r="B692" s="125">
        <f>Lista!A691</f>
        <v>0</v>
      </c>
      <c r="C692" s="125">
        <f>Lista!B691</f>
        <v>0</v>
      </c>
      <c r="D692" s="125">
        <f>Lista!C691</f>
        <v>0</v>
      </c>
      <c r="E692" s="125">
        <f>Lista!D691</f>
        <v>0</v>
      </c>
      <c r="F692" s="125">
        <f>Lista!E691</f>
        <v>0</v>
      </c>
      <c r="G692" s="125">
        <f>Lista!F691</f>
        <v>0</v>
      </c>
      <c r="H692" s="125">
        <f>Lista!G691</f>
        <v>0</v>
      </c>
      <c r="I692" s="125">
        <f>Lista!H691</f>
        <v>0</v>
      </c>
      <c r="J692" s="125">
        <f>Lista!I691</f>
        <v>0</v>
      </c>
      <c r="K692" s="125">
        <f>Lista!J691</f>
        <v>0</v>
      </c>
      <c r="L692" s="125">
        <f>Lista!K691</f>
        <v>0</v>
      </c>
      <c r="M692" s="125">
        <f>Lista!L691</f>
        <v>0</v>
      </c>
      <c r="N692" s="125">
        <f>Lista!M691</f>
        <v>0</v>
      </c>
      <c r="O692" s="125">
        <f>Lista!N691</f>
        <v>0</v>
      </c>
      <c r="P692" s="125">
        <f>Lista!O691</f>
        <v>0</v>
      </c>
      <c r="Q692" s="125">
        <f>Lista!P691</f>
        <v>0</v>
      </c>
      <c r="R692" s="125">
        <f>Lista!Q691</f>
        <v>0</v>
      </c>
      <c r="S692" s="125">
        <f>Lista!R691</f>
        <v>0</v>
      </c>
      <c r="T692" s="81"/>
      <c r="U692" s="81"/>
      <c r="V692" s="81"/>
      <c r="W692" s="81"/>
      <c r="X692" s="81"/>
      <c r="Y692" s="81"/>
      <c r="Z692" s="81"/>
      <c r="AA692" s="81"/>
      <c r="AB692" s="81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  <c r="BS692" s="81"/>
      <c r="BT692" s="81"/>
      <c r="BU692" s="81"/>
      <c r="BV692" s="81"/>
      <c r="BW692" s="81"/>
      <c r="BX692" s="81"/>
      <c r="BY692" s="81"/>
      <c r="BZ692" s="81"/>
      <c r="CA692" s="81"/>
      <c r="CB692" s="81"/>
      <c r="CC692" s="81"/>
      <c r="CD692" s="81"/>
      <c r="CE692" s="81"/>
      <c r="CF692" s="81"/>
      <c r="CG692" s="81"/>
      <c r="CH692" s="81"/>
      <c r="CI692" s="81"/>
      <c r="CJ692" s="81"/>
      <c r="CK692" s="81"/>
      <c r="CL692" s="81"/>
      <c r="CM692" s="81"/>
      <c r="CN692" s="81"/>
      <c r="CO692" s="81"/>
      <c r="CP692" s="81"/>
      <c r="CQ692" s="81"/>
      <c r="CR692" s="81"/>
      <c r="CS692" s="81"/>
      <c r="CT692" s="81"/>
      <c r="CU692" s="81"/>
      <c r="CV692" s="81"/>
      <c r="CW692" s="81"/>
      <c r="CX692" s="81"/>
      <c r="CY692" s="81"/>
      <c r="CZ692" s="81"/>
      <c r="DA692" s="81"/>
      <c r="DB692" s="81"/>
      <c r="DC692" s="81"/>
      <c r="DD692" s="81"/>
      <c r="DE692" s="81"/>
      <c r="DF692" s="81"/>
      <c r="DG692" s="81"/>
      <c r="DH692" s="81"/>
      <c r="DI692" s="81"/>
      <c r="DJ692" s="81"/>
      <c r="DK692" s="81"/>
      <c r="DL692" s="81"/>
      <c r="DM692" s="81"/>
      <c r="DN692" s="81"/>
      <c r="DO692" s="81"/>
      <c r="DP692" s="81"/>
      <c r="DQ692" s="81"/>
      <c r="DR692" s="81"/>
      <c r="DS692" s="81"/>
      <c r="DT692" s="81"/>
      <c r="DU692" s="81"/>
      <c r="DV692" s="81"/>
      <c r="DW692" s="121"/>
    </row>
    <row r="693" spans="1:127" x14ac:dyDescent="0.25">
      <c r="A693" s="2">
        <f>COUNTIF($D$2:D693,'Reporte de Nomina'!$E$2)</f>
        <v>0</v>
      </c>
      <c r="B693" s="125">
        <f>Lista!A692</f>
        <v>0</v>
      </c>
      <c r="C693" s="125">
        <f>Lista!B692</f>
        <v>0</v>
      </c>
      <c r="D693" s="125">
        <f>Lista!C692</f>
        <v>0</v>
      </c>
      <c r="E693" s="125">
        <f>Lista!D692</f>
        <v>0</v>
      </c>
      <c r="F693" s="125">
        <f>Lista!E692</f>
        <v>0</v>
      </c>
      <c r="G693" s="125">
        <f>Lista!F692</f>
        <v>0</v>
      </c>
      <c r="H693" s="125">
        <f>Lista!G692</f>
        <v>0</v>
      </c>
      <c r="I693" s="125">
        <f>Lista!H692</f>
        <v>0</v>
      </c>
      <c r="J693" s="125">
        <f>Lista!I692</f>
        <v>0</v>
      </c>
      <c r="K693" s="125">
        <f>Lista!J692</f>
        <v>0</v>
      </c>
      <c r="L693" s="125">
        <f>Lista!K692</f>
        <v>0</v>
      </c>
      <c r="M693" s="125">
        <f>Lista!L692</f>
        <v>0</v>
      </c>
      <c r="N693" s="125">
        <f>Lista!M692</f>
        <v>0</v>
      </c>
      <c r="O693" s="125">
        <f>Lista!N692</f>
        <v>0</v>
      </c>
      <c r="P693" s="125">
        <f>Lista!O692</f>
        <v>0</v>
      </c>
      <c r="Q693" s="125">
        <f>Lista!P692</f>
        <v>0</v>
      </c>
      <c r="R693" s="125">
        <f>Lista!Q692</f>
        <v>0</v>
      </c>
      <c r="S693" s="125">
        <f>Lista!R692</f>
        <v>0</v>
      </c>
      <c r="T693" s="81"/>
      <c r="U693" s="81"/>
      <c r="V693" s="81"/>
      <c r="W693" s="81"/>
      <c r="X693" s="81"/>
      <c r="Y693" s="81"/>
      <c r="Z693" s="81"/>
      <c r="AA693" s="81"/>
      <c r="AB693" s="81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  <c r="BS693" s="81"/>
      <c r="BT693" s="81"/>
      <c r="BU693" s="81"/>
      <c r="BV693" s="81"/>
      <c r="BW693" s="81"/>
      <c r="BX693" s="81"/>
      <c r="BY693" s="81"/>
      <c r="BZ693" s="81"/>
      <c r="CA693" s="81"/>
      <c r="CB693" s="81"/>
      <c r="CC693" s="81"/>
      <c r="CD693" s="81"/>
      <c r="CE693" s="81"/>
      <c r="CF693" s="81"/>
      <c r="CG693" s="81"/>
      <c r="CH693" s="81"/>
      <c r="CI693" s="81"/>
      <c r="CJ693" s="81"/>
      <c r="CK693" s="81"/>
      <c r="CL693" s="81"/>
      <c r="CM693" s="81"/>
      <c r="CN693" s="81"/>
      <c r="CO693" s="81"/>
      <c r="CP693" s="81"/>
      <c r="CQ693" s="81"/>
      <c r="CR693" s="81"/>
      <c r="CS693" s="81"/>
      <c r="CT693" s="81"/>
      <c r="CU693" s="81"/>
      <c r="CV693" s="81"/>
      <c r="CW693" s="81"/>
      <c r="CX693" s="81"/>
      <c r="CY693" s="81"/>
      <c r="CZ693" s="81"/>
      <c r="DA693" s="81"/>
      <c r="DB693" s="81"/>
      <c r="DC693" s="81"/>
      <c r="DD693" s="81"/>
      <c r="DE693" s="81"/>
      <c r="DF693" s="81"/>
      <c r="DG693" s="81"/>
      <c r="DH693" s="81"/>
      <c r="DI693" s="81"/>
      <c r="DJ693" s="81"/>
      <c r="DK693" s="81"/>
      <c r="DL693" s="81"/>
      <c r="DM693" s="81"/>
      <c r="DN693" s="81"/>
      <c r="DO693" s="81"/>
      <c r="DP693" s="81"/>
      <c r="DQ693" s="81"/>
      <c r="DR693" s="81"/>
      <c r="DS693" s="81"/>
      <c r="DT693" s="81"/>
      <c r="DU693" s="81"/>
      <c r="DV693" s="81"/>
      <c r="DW693" s="121"/>
    </row>
    <row r="694" spans="1:127" x14ac:dyDescent="0.25">
      <c r="A694" s="2">
        <f>COUNTIF($D$2:D694,'Reporte de Nomina'!$E$2)</f>
        <v>0</v>
      </c>
      <c r="B694" s="125">
        <f>Lista!A693</f>
        <v>0</v>
      </c>
      <c r="C694" s="125">
        <f>Lista!B693</f>
        <v>0</v>
      </c>
      <c r="D694" s="125">
        <f>Lista!C693</f>
        <v>0</v>
      </c>
      <c r="E694" s="125">
        <f>Lista!D693</f>
        <v>0</v>
      </c>
      <c r="F694" s="125">
        <f>Lista!E693</f>
        <v>0</v>
      </c>
      <c r="G694" s="125">
        <f>Lista!F693</f>
        <v>0</v>
      </c>
      <c r="H694" s="125">
        <f>Lista!G693</f>
        <v>0</v>
      </c>
      <c r="I694" s="125">
        <f>Lista!H693</f>
        <v>0</v>
      </c>
      <c r="J694" s="125">
        <f>Lista!I693</f>
        <v>0</v>
      </c>
      <c r="K694" s="125">
        <f>Lista!J693</f>
        <v>0</v>
      </c>
      <c r="L694" s="125">
        <f>Lista!K693</f>
        <v>0</v>
      </c>
      <c r="M694" s="125">
        <f>Lista!L693</f>
        <v>0</v>
      </c>
      <c r="N694" s="125">
        <f>Lista!M693</f>
        <v>0</v>
      </c>
      <c r="O694" s="125">
        <f>Lista!N693</f>
        <v>0</v>
      </c>
      <c r="P694" s="125">
        <f>Lista!O693</f>
        <v>0</v>
      </c>
      <c r="Q694" s="125">
        <f>Lista!P693</f>
        <v>0</v>
      </c>
      <c r="R694" s="125">
        <f>Lista!Q693</f>
        <v>0</v>
      </c>
      <c r="S694" s="125">
        <f>Lista!R693</f>
        <v>0</v>
      </c>
      <c r="T694" s="81"/>
      <c r="U694" s="81"/>
      <c r="V694" s="81"/>
      <c r="W694" s="81"/>
      <c r="X694" s="81"/>
      <c r="Y694" s="81"/>
      <c r="Z694" s="81"/>
      <c r="AA694" s="81"/>
      <c r="AB694" s="81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  <c r="BS694" s="81"/>
      <c r="BT694" s="81"/>
      <c r="BU694" s="81"/>
      <c r="BV694" s="81"/>
      <c r="BW694" s="81"/>
      <c r="BX694" s="81"/>
      <c r="BY694" s="81"/>
      <c r="BZ694" s="81"/>
      <c r="CA694" s="81"/>
      <c r="CB694" s="81"/>
      <c r="CC694" s="81"/>
      <c r="CD694" s="81"/>
      <c r="CE694" s="81"/>
      <c r="CF694" s="81"/>
      <c r="CG694" s="81"/>
      <c r="CH694" s="81"/>
      <c r="CI694" s="81"/>
      <c r="CJ694" s="81"/>
      <c r="CK694" s="81"/>
      <c r="CL694" s="81"/>
      <c r="CM694" s="81"/>
      <c r="CN694" s="81"/>
      <c r="CO694" s="81"/>
      <c r="CP694" s="81"/>
      <c r="CQ694" s="81"/>
      <c r="CR694" s="81"/>
      <c r="CS694" s="81"/>
      <c r="CT694" s="81"/>
      <c r="CU694" s="81"/>
      <c r="CV694" s="81"/>
      <c r="CW694" s="81"/>
      <c r="CX694" s="81"/>
      <c r="CY694" s="81"/>
      <c r="CZ694" s="81"/>
      <c r="DA694" s="81"/>
      <c r="DB694" s="81"/>
      <c r="DC694" s="81"/>
      <c r="DD694" s="81"/>
      <c r="DE694" s="81"/>
      <c r="DF694" s="81"/>
      <c r="DG694" s="81"/>
      <c r="DH694" s="81"/>
      <c r="DI694" s="81"/>
      <c r="DJ694" s="81"/>
      <c r="DK694" s="81"/>
      <c r="DL694" s="81"/>
      <c r="DM694" s="81"/>
      <c r="DN694" s="81"/>
      <c r="DO694" s="81"/>
      <c r="DP694" s="81"/>
      <c r="DQ694" s="81"/>
      <c r="DR694" s="81"/>
      <c r="DS694" s="81"/>
      <c r="DT694" s="81"/>
      <c r="DU694" s="81"/>
      <c r="DV694" s="81"/>
      <c r="DW694" s="121"/>
    </row>
    <row r="695" spans="1:127" x14ac:dyDescent="0.25">
      <c r="A695" s="2">
        <f>COUNTIF($D$2:D695,'Reporte de Nomina'!$E$2)</f>
        <v>0</v>
      </c>
      <c r="B695" s="125">
        <f>Lista!A694</f>
        <v>0</v>
      </c>
      <c r="C695" s="125">
        <f>Lista!B694</f>
        <v>0</v>
      </c>
      <c r="D695" s="125">
        <f>Lista!C694</f>
        <v>0</v>
      </c>
      <c r="E695" s="125">
        <f>Lista!D694</f>
        <v>0</v>
      </c>
      <c r="F695" s="125">
        <f>Lista!E694</f>
        <v>0</v>
      </c>
      <c r="G695" s="125">
        <f>Lista!F694</f>
        <v>0</v>
      </c>
      <c r="H695" s="125">
        <f>Lista!G694</f>
        <v>0</v>
      </c>
      <c r="I695" s="125">
        <f>Lista!H694</f>
        <v>0</v>
      </c>
      <c r="J695" s="125">
        <f>Lista!I694</f>
        <v>0</v>
      </c>
      <c r="K695" s="125">
        <f>Lista!J694</f>
        <v>0</v>
      </c>
      <c r="L695" s="125">
        <f>Lista!K694</f>
        <v>0</v>
      </c>
      <c r="M695" s="125">
        <f>Lista!L694</f>
        <v>0</v>
      </c>
      <c r="N695" s="125">
        <f>Lista!M694</f>
        <v>0</v>
      </c>
      <c r="O695" s="125">
        <f>Lista!N694</f>
        <v>0</v>
      </c>
      <c r="P695" s="125">
        <f>Lista!O694</f>
        <v>0</v>
      </c>
      <c r="Q695" s="125">
        <f>Lista!P694</f>
        <v>0</v>
      </c>
      <c r="R695" s="125">
        <f>Lista!Q694</f>
        <v>0</v>
      </c>
      <c r="S695" s="125">
        <f>Lista!R694</f>
        <v>0</v>
      </c>
      <c r="T695" s="81"/>
      <c r="U695" s="81"/>
      <c r="V695" s="81"/>
      <c r="W695" s="81"/>
      <c r="X695" s="81"/>
      <c r="Y695" s="81"/>
      <c r="Z695" s="81"/>
      <c r="AA695" s="81"/>
      <c r="AB695" s="81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  <c r="BS695" s="81"/>
      <c r="BT695" s="81"/>
      <c r="BU695" s="81"/>
      <c r="BV695" s="81"/>
      <c r="BW695" s="81"/>
      <c r="BX695" s="81"/>
      <c r="BY695" s="81"/>
      <c r="BZ695" s="81"/>
      <c r="CA695" s="81"/>
      <c r="CB695" s="81"/>
      <c r="CC695" s="81"/>
      <c r="CD695" s="81"/>
      <c r="CE695" s="81"/>
      <c r="CF695" s="81"/>
      <c r="CG695" s="81"/>
      <c r="CH695" s="81"/>
      <c r="CI695" s="81"/>
      <c r="CJ695" s="81"/>
      <c r="CK695" s="81"/>
      <c r="CL695" s="81"/>
      <c r="CM695" s="81"/>
      <c r="CN695" s="81"/>
      <c r="CO695" s="81"/>
      <c r="CP695" s="81"/>
      <c r="CQ695" s="81"/>
      <c r="CR695" s="81"/>
      <c r="CS695" s="81"/>
      <c r="CT695" s="81"/>
      <c r="CU695" s="81"/>
      <c r="CV695" s="81"/>
      <c r="CW695" s="81"/>
      <c r="CX695" s="81"/>
      <c r="CY695" s="81"/>
      <c r="CZ695" s="81"/>
      <c r="DA695" s="81"/>
      <c r="DB695" s="81"/>
      <c r="DC695" s="81"/>
      <c r="DD695" s="81"/>
      <c r="DE695" s="81"/>
      <c r="DF695" s="81"/>
      <c r="DG695" s="81"/>
      <c r="DH695" s="81"/>
      <c r="DI695" s="81"/>
      <c r="DJ695" s="81"/>
      <c r="DK695" s="81"/>
      <c r="DL695" s="81"/>
      <c r="DM695" s="81"/>
      <c r="DN695" s="81"/>
      <c r="DO695" s="81"/>
      <c r="DP695" s="81"/>
      <c r="DQ695" s="81"/>
      <c r="DR695" s="81"/>
      <c r="DS695" s="81"/>
      <c r="DT695" s="81"/>
      <c r="DU695" s="81"/>
      <c r="DV695" s="81"/>
      <c r="DW695" s="121"/>
    </row>
    <row r="696" spans="1:127" x14ac:dyDescent="0.25">
      <c r="A696" s="2">
        <f>COUNTIF($D$2:D696,'Reporte de Nomina'!$E$2)</f>
        <v>0</v>
      </c>
      <c r="B696" s="125">
        <f>Lista!A695</f>
        <v>0</v>
      </c>
      <c r="C696" s="125">
        <f>Lista!B695</f>
        <v>0</v>
      </c>
      <c r="D696" s="125">
        <f>Lista!C695</f>
        <v>0</v>
      </c>
      <c r="E696" s="125">
        <f>Lista!D695</f>
        <v>0</v>
      </c>
      <c r="F696" s="125">
        <f>Lista!E695</f>
        <v>0</v>
      </c>
      <c r="G696" s="125">
        <f>Lista!F695</f>
        <v>0</v>
      </c>
      <c r="H696" s="125">
        <f>Lista!G695</f>
        <v>0</v>
      </c>
      <c r="I696" s="125">
        <f>Lista!H695</f>
        <v>0</v>
      </c>
      <c r="J696" s="125">
        <f>Lista!I695</f>
        <v>0</v>
      </c>
      <c r="K696" s="125">
        <f>Lista!J695</f>
        <v>0</v>
      </c>
      <c r="L696" s="125">
        <f>Lista!K695</f>
        <v>0</v>
      </c>
      <c r="M696" s="125">
        <f>Lista!L695</f>
        <v>0</v>
      </c>
      <c r="N696" s="125">
        <f>Lista!M695</f>
        <v>0</v>
      </c>
      <c r="O696" s="125">
        <f>Lista!N695</f>
        <v>0</v>
      </c>
      <c r="P696" s="125">
        <f>Lista!O695</f>
        <v>0</v>
      </c>
      <c r="Q696" s="125">
        <f>Lista!P695</f>
        <v>0</v>
      </c>
      <c r="R696" s="125">
        <f>Lista!Q695</f>
        <v>0</v>
      </c>
      <c r="S696" s="125">
        <f>Lista!R695</f>
        <v>0</v>
      </c>
      <c r="T696" s="81"/>
      <c r="U696" s="81"/>
      <c r="V696" s="81"/>
      <c r="W696" s="81"/>
      <c r="X696" s="81"/>
      <c r="Y696" s="81"/>
      <c r="Z696" s="81"/>
      <c r="AA696" s="81"/>
      <c r="AB696" s="81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  <c r="BS696" s="81"/>
      <c r="BT696" s="81"/>
      <c r="BU696" s="81"/>
      <c r="BV696" s="81"/>
      <c r="BW696" s="81"/>
      <c r="BX696" s="81"/>
      <c r="BY696" s="81"/>
      <c r="BZ696" s="81"/>
      <c r="CA696" s="81"/>
      <c r="CB696" s="81"/>
      <c r="CC696" s="81"/>
      <c r="CD696" s="81"/>
      <c r="CE696" s="81"/>
      <c r="CF696" s="81"/>
      <c r="CG696" s="81"/>
      <c r="CH696" s="81"/>
      <c r="CI696" s="81"/>
      <c r="CJ696" s="81"/>
      <c r="CK696" s="81"/>
      <c r="CL696" s="81"/>
      <c r="CM696" s="81"/>
      <c r="CN696" s="81"/>
      <c r="CO696" s="81"/>
      <c r="CP696" s="81"/>
      <c r="CQ696" s="81"/>
      <c r="CR696" s="81"/>
      <c r="CS696" s="81"/>
      <c r="CT696" s="81"/>
      <c r="CU696" s="81"/>
      <c r="CV696" s="81"/>
      <c r="CW696" s="81"/>
      <c r="CX696" s="81"/>
      <c r="CY696" s="81"/>
      <c r="CZ696" s="81"/>
      <c r="DA696" s="81"/>
      <c r="DB696" s="81"/>
      <c r="DC696" s="81"/>
      <c r="DD696" s="81"/>
      <c r="DE696" s="81"/>
      <c r="DF696" s="81"/>
      <c r="DG696" s="81"/>
      <c r="DH696" s="81"/>
      <c r="DI696" s="81"/>
      <c r="DJ696" s="81"/>
      <c r="DK696" s="81"/>
      <c r="DL696" s="81"/>
      <c r="DM696" s="81"/>
      <c r="DN696" s="81"/>
      <c r="DO696" s="81"/>
      <c r="DP696" s="81"/>
      <c r="DQ696" s="81"/>
      <c r="DR696" s="81"/>
      <c r="DS696" s="81"/>
      <c r="DT696" s="81"/>
      <c r="DU696" s="81"/>
      <c r="DV696" s="81"/>
      <c r="DW696" s="121"/>
    </row>
    <row r="697" spans="1:127" x14ac:dyDescent="0.25">
      <c r="A697" s="2">
        <f>COUNTIF($D$2:D697,'Reporte de Nomina'!$E$2)</f>
        <v>0</v>
      </c>
      <c r="B697" s="125">
        <f>Lista!A696</f>
        <v>0</v>
      </c>
      <c r="C697" s="125">
        <f>Lista!B696</f>
        <v>0</v>
      </c>
      <c r="D697" s="125">
        <f>Lista!C696</f>
        <v>0</v>
      </c>
      <c r="E697" s="125">
        <f>Lista!D696</f>
        <v>0</v>
      </c>
      <c r="F697" s="125">
        <f>Lista!E696</f>
        <v>0</v>
      </c>
      <c r="G697" s="125">
        <f>Lista!F696</f>
        <v>0</v>
      </c>
      <c r="H697" s="125">
        <f>Lista!G696</f>
        <v>0</v>
      </c>
      <c r="I697" s="125">
        <f>Lista!H696</f>
        <v>0</v>
      </c>
      <c r="J697" s="125">
        <f>Lista!I696</f>
        <v>0</v>
      </c>
      <c r="K697" s="125">
        <f>Lista!J696</f>
        <v>0</v>
      </c>
      <c r="L697" s="125">
        <f>Lista!K696</f>
        <v>0</v>
      </c>
      <c r="M697" s="125">
        <f>Lista!L696</f>
        <v>0</v>
      </c>
      <c r="N697" s="125">
        <f>Lista!M696</f>
        <v>0</v>
      </c>
      <c r="O697" s="125">
        <f>Lista!N696</f>
        <v>0</v>
      </c>
      <c r="P697" s="125">
        <f>Lista!O696</f>
        <v>0</v>
      </c>
      <c r="Q697" s="125">
        <f>Lista!P696</f>
        <v>0</v>
      </c>
      <c r="R697" s="125">
        <f>Lista!Q696</f>
        <v>0</v>
      </c>
      <c r="S697" s="125">
        <f>Lista!R696</f>
        <v>0</v>
      </c>
      <c r="T697" s="81"/>
      <c r="U697" s="81"/>
      <c r="V697" s="81"/>
      <c r="W697" s="81"/>
      <c r="X697" s="81"/>
      <c r="Y697" s="81"/>
      <c r="Z697" s="81"/>
      <c r="AA697" s="81"/>
      <c r="AB697" s="81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  <c r="BS697" s="81"/>
      <c r="BT697" s="81"/>
      <c r="BU697" s="81"/>
      <c r="BV697" s="81"/>
      <c r="BW697" s="81"/>
      <c r="BX697" s="81"/>
      <c r="BY697" s="81"/>
      <c r="BZ697" s="81"/>
      <c r="CA697" s="81"/>
      <c r="CB697" s="81"/>
      <c r="CC697" s="81"/>
      <c r="CD697" s="81"/>
      <c r="CE697" s="81"/>
      <c r="CF697" s="81"/>
      <c r="CG697" s="81"/>
      <c r="CH697" s="81"/>
      <c r="CI697" s="81"/>
      <c r="CJ697" s="81"/>
      <c r="CK697" s="81"/>
      <c r="CL697" s="81"/>
      <c r="CM697" s="81"/>
      <c r="CN697" s="81"/>
      <c r="CO697" s="81"/>
      <c r="CP697" s="81"/>
      <c r="CQ697" s="81"/>
      <c r="CR697" s="81"/>
      <c r="CS697" s="81"/>
      <c r="CT697" s="81"/>
      <c r="CU697" s="81"/>
      <c r="CV697" s="81"/>
      <c r="CW697" s="81"/>
      <c r="CX697" s="81"/>
      <c r="CY697" s="81"/>
      <c r="CZ697" s="81"/>
      <c r="DA697" s="81"/>
      <c r="DB697" s="81"/>
      <c r="DC697" s="81"/>
      <c r="DD697" s="81"/>
      <c r="DE697" s="81"/>
      <c r="DF697" s="81"/>
      <c r="DG697" s="81"/>
      <c r="DH697" s="81"/>
      <c r="DI697" s="81"/>
      <c r="DJ697" s="81"/>
      <c r="DK697" s="81"/>
      <c r="DL697" s="81"/>
      <c r="DM697" s="81"/>
      <c r="DN697" s="81"/>
      <c r="DO697" s="81"/>
      <c r="DP697" s="81"/>
      <c r="DQ697" s="81"/>
      <c r="DR697" s="81"/>
      <c r="DS697" s="81"/>
      <c r="DT697" s="81"/>
      <c r="DU697" s="81"/>
      <c r="DV697" s="81"/>
      <c r="DW697" s="121"/>
    </row>
    <row r="698" spans="1:127" x14ac:dyDescent="0.25">
      <c r="A698" s="2">
        <f>COUNTIF($D$2:D698,'Reporte de Nomina'!$E$2)</f>
        <v>0</v>
      </c>
      <c r="B698" s="125">
        <f>Lista!A697</f>
        <v>0</v>
      </c>
      <c r="C698" s="125">
        <f>Lista!B697</f>
        <v>0</v>
      </c>
      <c r="D698" s="125">
        <f>Lista!C697</f>
        <v>0</v>
      </c>
      <c r="E698" s="125">
        <f>Lista!D697</f>
        <v>0</v>
      </c>
      <c r="F698" s="125">
        <f>Lista!E697</f>
        <v>0</v>
      </c>
      <c r="G698" s="125">
        <f>Lista!F697</f>
        <v>0</v>
      </c>
      <c r="H698" s="125">
        <f>Lista!G697</f>
        <v>0</v>
      </c>
      <c r="I698" s="125">
        <f>Lista!H697</f>
        <v>0</v>
      </c>
      <c r="J698" s="125">
        <f>Lista!I697</f>
        <v>0</v>
      </c>
      <c r="K698" s="125">
        <f>Lista!J697</f>
        <v>0</v>
      </c>
      <c r="L698" s="125">
        <f>Lista!K697</f>
        <v>0</v>
      </c>
      <c r="M698" s="125">
        <f>Lista!L697</f>
        <v>0</v>
      </c>
      <c r="N698" s="125">
        <f>Lista!M697</f>
        <v>0</v>
      </c>
      <c r="O698" s="125">
        <f>Lista!N697</f>
        <v>0</v>
      </c>
      <c r="P698" s="125">
        <f>Lista!O697</f>
        <v>0</v>
      </c>
      <c r="Q698" s="125">
        <f>Lista!P697</f>
        <v>0</v>
      </c>
      <c r="R698" s="125">
        <f>Lista!Q697</f>
        <v>0</v>
      </c>
      <c r="S698" s="125">
        <f>Lista!R697</f>
        <v>0</v>
      </c>
      <c r="T698" s="81"/>
      <c r="U698" s="81"/>
      <c r="V698" s="81"/>
      <c r="W698" s="81"/>
      <c r="X698" s="81"/>
      <c r="Y698" s="81"/>
      <c r="Z698" s="81"/>
      <c r="AA698" s="81"/>
      <c r="AB698" s="81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  <c r="BS698" s="81"/>
      <c r="BT698" s="81"/>
      <c r="BU698" s="81"/>
      <c r="BV698" s="81"/>
      <c r="BW698" s="81"/>
      <c r="BX698" s="81"/>
      <c r="BY698" s="81"/>
      <c r="BZ698" s="81"/>
      <c r="CA698" s="81"/>
      <c r="CB698" s="81"/>
      <c r="CC698" s="81"/>
      <c r="CD698" s="81"/>
      <c r="CE698" s="81"/>
      <c r="CF698" s="81"/>
      <c r="CG698" s="81"/>
      <c r="CH698" s="81"/>
      <c r="CI698" s="81"/>
      <c r="CJ698" s="81"/>
      <c r="CK698" s="81"/>
      <c r="CL698" s="81"/>
      <c r="CM698" s="81"/>
      <c r="CN698" s="81"/>
      <c r="CO698" s="81"/>
      <c r="CP698" s="81"/>
      <c r="CQ698" s="81"/>
      <c r="CR698" s="81"/>
      <c r="CS698" s="81"/>
      <c r="CT698" s="81"/>
      <c r="CU698" s="81"/>
      <c r="CV698" s="81"/>
      <c r="CW698" s="81"/>
      <c r="CX698" s="81"/>
      <c r="CY698" s="81"/>
      <c r="CZ698" s="81"/>
      <c r="DA698" s="81"/>
      <c r="DB698" s="81"/>
      <c r="DC698" s="81"/>
      <c r="DD698" s="81"/>
      <c r="DE698" s="81"/>
      <c r="DF698" s="81"/>
      <c r="DG698" s="81"/>
      <c r="DH698" s="81"/>
      <c r="DI698" s="81"/>
      <c r="DJ698" s="81"/>
      <c r="DK698" s="81"/>
      <c r="DL698" s="81"/>
      <c r="DM698" s="81"/>
      <c r="DN698" s="81"/>
      <c r="DO698" s="81"/>
      <c r="DP698" s="81"/>
      <c r="DQ698" s="81"/>
      <c r="DR698" s="81"/>
      <c r="DS698" s="81"/>
      <c r="DT698" s="81"/>
      <c r="DU698" s="81"/>
      <c r="DV698" s="81"/>
      <c r="DW698" s="121"/>
    </row>
    <row r="699" spans="1:127" x14ac:dyDescent="0.25">
      <c r="A699" s="2">
        <f>COUNTIF($D$2:D699,'Reporte de Nomina'!$E$2)</f>
        <v>0</v>
      </c>
      <c r="B699" s="125">
        <f>Lista!A698</f>
        <v>0</v>
      </c>
      <c r="C699" s="125">
        <f>Lista!B698</f>
        <v>0</v>
      </c>
      <c r="D699" s="125">
        <f>Lista!C698</f>
        <v>0</v>
      </c>
      <c r="E699" s="125">
        <f>Lista!D698</f>
        <v>0</v>
      </c>
      <c r="F699" s="125">
        <f>Lista!E698</f>
        <v>0</v>
      </c>
      <c r="G699" s="125">
        <f>Lista!F698</f>
        <v>0</v>
      </c>
      <c r="H699" s="125">
        <f>Lista!G698</f>
        <v>0</v>
      </c>
      <c r="I699" s="125">
        <f>Lista!H698</f>
        <v>0</v>
      </c>
      <c r="J699" s="125">
        <f>Lista!I698</f>
        <v>0</v>
      </c>
      <c r="K699" s="125">
        <f>Lista!J698</f>
        <v>0</v>
      </c>
      <c r="L699" s="125">
        <f>Lista!K698</f>
        <v>0</v>
      </c>
      <c r="M699" s="125">
        <f>Lista!L698</f>
        <v>0</v>
      </c>
      <c r="N699" s="125">
        <f>Lista!M698</f>
        <v>0</v>
      </c>
      <c r="O699" s="125">
        <f>Lista!N698</f>
        <v>0</v>
      </c>
      <c r="P699" s="125">
        <f>Lista!O698</f>
        <v>0</v>
      </c>
      <c r="Q699" s="125">
        <f>Lista!P698</f>
        <v>0</v>
      </c>
      <c r="R699" s="125">
        <f>Lista!Q698</f>
        <v>0</v>
      </c>
      <c r="S699" s="125">
        <f>Lista!R698</f>
        <v>0</v>
      </c>
      <c r="T699" s="81"/>
      <c r="U699" s="81"/>
      <c r="V699" s="81"/>
      <c r="W699" s="81"/>
      <c r="X699" s="81"/>
      <c r="Y699" s="81"/>
      <c r="Z699" s="81"/>
      <c r="AA699" s="81"/>
      <c r="AB699" s="81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  <c r="BS699" s="81"/>
      <c r="BT699" s="81"/>
      <c r="BU699" s="81"/>
      <c r="BV699" s="81"/>
      <c r="BW699" s="81"/>
      <c r="BX699" s="81"/>
      <c r="BY699" s="81"/>
      <c r="BZ699" s="81"/>
      <c r="CA699" s="81"/>
      <c r="CB699" s="81"/>
      <c r="CC699" s="81"/>
      <c r="CD699" s="81"/>
      <c r="CE699" s="81"/>
      <c r="CF699" s="81"/>
      <c r="CG699" s="81"/>
      <c r="CH699" s="81"/>
      <c r="CI699" s="81"/>
      <c r="CJ699" s="81"/>
      <c r="CK699" s="81"/>
      <c r="CL699" s="81"/>
      <c r="CM699" s="81"/>
      <c r="CN699" s="81"/>
      <c r="CO699" s="81"/>
      <c r="CP699" s="81"/>
      <c r="CQ699" s="81"/>
      <c r="CR699" s="81"/>
      <c r="CS699" s="81"/>
      <c r="CT699" s="81"/>
      <c r="CU699" s="81"/>
      <c r="CV699" s="81"/>
      <c r="CW699" s="81"/>
      <c r="CX699" s="81"/>
      <c r="CY699" s="81"/>
      <c r="CZ699" s="81"/>
      <c r="DA699" s="81"/>
      <c r="DB699" s="81"/>
      <c r="DC699" s="81"/>
      <c r="DD699" s="81"/>
      <c r="DE699" s="81"/>
      <c r="DF699" s="81"/>
      <c r="DG699" s="81"/>
      <c r="DH699" s="81"/>
      <c r="DI699" s="81"/>
      <c r="DJ699" s="81"/>
      <c r="DK699" s="81"/>
      <c r="DL699" s="81"/>
      <c r="DM699" s="81"/>
      <c r="DN699" s="81"/>
      <c r="DO699" s="81"/>
      <c r="DP699" s="81"/>
      <c r="DQ699" s="81"/>
      <c r="DR699" s="81"/>
      <c r="DS699" s="81"/>
      <c r="DT699" s="81"/>
      <c r="DU699" s="81"/>
      <c r="DV699" s="81"/>
      <c r="DW699" s="121"/>
    </row>
    <row r="700" spans="1:127" x14ac:dyDescent="0.25">
      <c r="A700" s="2">
        <f>COUNTIF($D$2:D700,'Reporte de Nomina'!$E$2)</f>
        <v>0</v>
      </c>
      <c r="B700" s="125">
        <f>Lista!A699</f>
        <v>0</v>
      </c>
      <c r="C700" s="125">
        <f>Lista!B699</f>
        <v>0</v>
      </c>
      <c r="D700" s="125">
        <f>Lista!C699</f>
        <v>0</v>
      </c>
      <c r="E700" s="125">
        <f>Lista!D699</f>
        <v>0</v>
      </c>
      <c r="F700" s="125">
        <f>Lista!E699</f>
        <v>0</v>
      </c>
      <c r="G700" s="125">
        <f>Lista!F699</f>
        <v>0</v>
      </c>
      <c r="H700" s="125">
        <f>Lista!G699</f>
        <v>0</v>
      </c>
      <c r="I700" s="125">
        <f>Lista!H699</f>
        <v>0</v>
      </c>
      <c r="J700" s="125">
        <f>Lista!I699</f>
        <v>0</v>
      </c>
      <c r="K700" s="125">
        <f>Lista!J699</f>
        <v>0</v>
      </c>
      <c r="L700" s="125">
        <f>Lista!K699</f>
        <v>0</v>
      </c>
      <c r="M700" s="125">
        <f>Lista!L699</f>
        <v>0</v>
      </c>
      <c r="N700" s="125">
        <f>Lista!M699</f>
        <v>0</v>
      </c>
      <c r="O700" s="125">
        <f>Lista!N699</f>
        <v>0</v>
      </c>
      <c r="P700" s="125">
        <f>Lista!O699</f>
        <v>0</v>
      </c>
      <c r="Q700" s="125">
        <f>Lista!P699</f>
        <v>0</v>
      </c>
      <c r="R700" s="125">
        <f>Lista!Q699</f>
        <v>0</v>
      </c>
      <c r="S700" s="125">
        <f>Lista!R699</f>
        <v>0</v>
      </c>
      <c r="T700" s="81"/>
      <c r="U700" s="81"/>
      <c r="V700" s="81"/>
      <c r="W700" s="81"/>
      <c r="X700" s="81"/>
      <c r="Y700" s="81"/>
      <c r="Z700" s="81"/>
      <c r="AA700" s="81"/>
      <c r="AB700" s="81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  <c r="BS700" s="81"/>
      <c r="BT700" s="81"/>
      <c r="BU700" s="81"/>
      <c r="BV700" s="81"/>
      <c r="BW700" s="81"/>
      <c r="BX700" s="81"/>
      <c r="BY700" s="81"/>
      <c r="BZ700" s="81"/>
      <c r="CA700" s="81"/>
      <c r="CB700" s="81"/>
      <c r="CC700" s="81"/>
      <c r="CD700" s="81"/>
      <c r="CE700" s="81"/>
      <c r="CF700" s="81"/>
      <c r="CG700" s="81"/>
      <c r="CH700" s="81"/>
      <c r="CI700" s="81"/>
      <c r="CJ700" s="81"/>
      <c r="CK700" s="81"/>
      <c r="CL700" s="81"/>
      <c r="CM700" s="81"/>
      <c r="CN700" s="81"/>
      <c r="CO700" s="81"/>
      <c r="CP700" s="81"/>
      <c r="CQ700" s="81"/>
      <c r="CR700" s="81"/>
      <c r="CS700" s="81"/>
      <c r="CT700" s="81"/>
      <c r="CU700" s="81"/>
      <c r="CV700" s="81"/>
      <c r="CW700" s="81"/>
      <c r="CX700" s="81"/>
      <c r="CY700" s="81"/>
      <c r="CZ700" s="81"/>
      <c r="DA700" s="81"/>
      <c r="DB700" s="81"/>
      <c r="DC700" s="81"/>
      <c r="DD700" s="81"/>
      <c r="DE700" s="81"/>
      <c r="DF700" s="81"/>
      <c r="DG700" s="81"/>
      <c r="DH700" s="81"/>
      <c r="DI700" s="81"/>
      <c r="DJ700" s="81"/>
      <c r="DK700" s="81"/>
      <c r="DL700" s="81"/>
      <c r="DM700" s="81"/>
      <c r="DN700" s="81"/>
      <c r="DO700" s="81"/>
      <c r="DP700" s="81"/>
      <c r="DQ700" s="81"/>
      <c r="DR700" s="81"/>
      <c r="DS700" s="81"/>
      <c r="DT700" s="81"/>
      <c r="DU700" s="81"/>
      <c r="DV700" s="81"/>
      <c r="DW700" s="121"/>
    </row>
    <row r="701" spans="1:127" x14ac:dyDescent="0.25">
      <c r="A701" s="2">
        <f>COUNTIF($D$2:D701,'Reporte de Nomina'!$E$2)</f>
        <v>0</v>
      </c>
      <c r="B701" s="125">
        <f>Lista!A700</f>
        <v>0</v>
      </c>
      <c r="C701" s="125">
        <f>Lista!B700</f>
        <v>0</v>
      </c>
      <c r="D701" s="125">
        <f>Lista!C700</f>
        <v>0</v>
      </c>
      <c r="E701" s="125">
        <f>Lista!D700</f>
        <v>0</v>
      </c>
      <c r="F701" s="125">
        <f>Lista!E700</f>
        <v>0</v>
      </c>
      <c r="G701" s="125">
        <f>Lista!F700</f>
        <v>0</v>
      </c>
      <c r="H701" s="125">
        <f>Lista!G700</f>
        <v>0</v>
      </c>
      <c r="I701" s="125">
        <f>Lista!H700</f>
        <v>0</v>
      </c>
      <c r="J701" s="125">
        <f>Lista!I700</f>
        <v>0</v>
      </c>
      <c r="K701" s="125">
        <f>Lista!J700</f>
        <v>0</v>
      </c>
      <c r="L701" s="125">
        <f>Lista!K700</f>
        <v>0</v>
      </c>
      <c r="M701" s="125">
        <f>Lista!L700</f>
        <v>0</v>
      </c>
      <c r="N701" s="125">
        <f>Lista!M700</f>
        <v>0</v>
      </c>
      <c r="O701" s="125">
        <f>Lista!N700</f>
        <v>0</v>
      </c>
      <c r="P701" s="125">
        <f>Lista!O700</f>
        <v>0</v>
      </c>
      <c r="Q701" s="125">
        <f>Lista!P700</f>
        <v>0</v>
      </c>
      <c r="R701" s="125">
        <f>Lista!Q700</f>
        <v>0</v>
      </c>
      <c r="S701" s="125">
        <f>Lista!R700</f>
        <v>0</v>
      </c>
      <c r="T701" s="81"/>
      <c r="U701" s="81"/>
      <c r="V701" s="81"/>
      <c r="W701" s="81"/>
      <c r="X701" s="81"/>
      <c r="Y701" s="81"/>
      <c r="Z701" s="81"/>
      <c r="AA701" s="81"/>
      <c r="AB701" s="81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  <c r="BS701" s="81"/>
      <c r="BT701" s="81"/>
      <c r="BU701" s="81"/>
      <c r="BV701" s="81"/>
      <c r="BW701" s="81"/>
      <c r="BX701" s="81"/>
      <c r="BY701" s="81"/>
      <c r="BZ701" s="81"/>
      <c r="CA701" s="81"/>
      <c r="CB701" s="81"/>
      <c r="CC701" s="81"/>
      <c r="CD701" s="81"/>
      <c r="CE701" s="81"/>
      <c r="CF701" s="81"/>
      <c r="CG701" s="81"/>
      <c r="CH701" s="81"/>
      <c r="CI701" s="81"/>
      <c r="CJ701" s="81"/>
      <c r="CK701" s="81"/>
      <c r="CL701" s="81"/>
      <c r="CM701" s="81"/>
      <c r="CN701" s="81"/>
      <c r="CO701" s="81"/>
      <c r="CP701" s="81"/>
      <c r="CQ701" s="81"/>
      <c r="CR701" s="81"/>
      <c r="CS701" s="81"/>
      <c r="CT701" s="81"/>
      <c r="CU701" s="81"/>
      <c r="CV701" s="81"/>
      <c r="CW701" s="81"/>
      <c r="CX701" s="81"/>
      <c r="CY701" s="81"/>
      <c r="CZ701" s="81"/>
      <c r="DA701" s="81"/>
      <c r="DB701" s="81"/>
      <c r="DC701" s="81"/>
      <c r="DD701" s="81"/>
      <c r="DE701" s="81"/>
      <c r="DF701" s="81"/>
      <c r="DG701" s="81"/>
      <c r="DH701" s="81"/>
      <c r="DI701" s="81"/>
      <c r="DJ701" s="81"/>
      <c r="DK701" s="81"/>
      <c r="DL701" s="81"/>
      <c r="DM701" s="81"/>
      <c r="DN701" s="81"/>
      <c r="DO701" s="81"/>
      <c r="DP701" s="81"/>
      <c r="DQ701" s="81"/>
      <c r="DR701" s="81"/>
      <c r="DS701" s="81"/>
      <c r="DT701" s="81"/>
      <c r="DU701" s="81"/>
      <c r="DV701" s="81"/>
      <c r="DW701" s="121"/>
    </row>
    <row r="702" spans="1:127" x14ac:dyDescent="0.25">
      <c r="A702" s="2">
        <f>COUNTIF($D$2:D702,'Reporte de Nomina'!$E$2)</f>
        <v>0</v>
      </c>
      <c r="B702" s="125">
        <f>Lista!A701</f>
        <v>0</v>
      </c>
      <c r="C702" s="125">
        <f>Lista!B701</f>
        <v>0</v>
      </c>
      <c r="D702" s="125">
        <f>Lista!C701</f>
        <v>0</v>
      </c>
      <c r="E702" s="125">
        <f>Lista!D701</f>
        <v>0</v>
      </c>
      <c r="F702" s="125">
        <f>Lista!E701</f>
        <v>0</v>
      </c>
      <c r="G702" s="125">
        <f>Lista!F701</f>
        <v>0</v>
      </c>
      <c r="H702" s="125">
        <f>Lista!G701</f>
        <v>0</v>
      </c>
      <c r="I702" s="125">
        <f>Lista!H701</f>
        <v>0</v>
      </c>
      <c r="J702" s="125">
        <f>Lista!I701</f>
        <v>0</v>
      </c>
      <c r="K702" s="125">
        <f>Lista!J701</f>
        <v>0</v>
      </c>
      <c r="L702" s="125">
        <f>Lista!K701</f>
        <v>0</v>
      </c>
      <c r="M702" s="125">
        <f>Lista!L701</f>
        <v>0</v>
      </c>
      <c r="N702" s="125">
        <f>Lista!M701</f>
        <v>0</v>
      </c>
      <c r="O702" s="125">
        <f>Lista!N701</f>
        <v>0</v>
      </c>
      <c r="P702" s="125">
        <f>Lista!O701</f>
        <v>0</v>
      </c>
      <c r="Q702" s="125">
        <f>Lista!P701</f>
        <v>0</v>
      </c>
      <c r="R702" s="125">
        <f>Lista!Q701</f>
        <v>0</v>
      </c>
      <c r="S702" s="125">
        <f>Lista!R701</f>
        <v>0</v>
      </c>
      <c r="T702" s="81"/>
      <c r="U702" s="81"/>
      <c r="V702" s="81"/>
      <c r="W702" s="81"/>
      <c r="X702" s="81"/>
      <c r="Y702" s="81"/>
      <c r="Z702" s="81"/>
      <c r="AA702" s="81"/>
      <c r="AB702" s="81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  <c r="BS702" s="81"/>
      <c r="BT702" s="81"/>
      <c r="BU702" s="81"/>
      <c r="BV702" s="81"/>
      <c r="BW702" s="81"/>
      <c r="BX702" s="81"/>
      <c r="BY702" s="81"/>
      <c r="BZ702" s="81"/>
      <c r="CA702" s="81"/>
      <c r="CB702" s="81"/>
      <c r="CC702" s="81"/>
      <c r="CD702" s="81"/>
      <c r="CE702" s="81"/>
      <c r="CF702" s="81"/>
      <c r="CG702" s="81"/>
      <c r="CH702" s="81"/>
      <c r="CI702" s="81"/>
      <c r="CJ702" s="81"/>
      <c r="CK702" s="81"/>
      <c r="CL702" s="81"/>
      <c r="CM702" s="81"/>
      <c r="CN702" s="81"/>
      <c r="CO702" s="81"/>
      <c r="CP702" s="81"/>
      <c r="CQ702" s="81"/>
      <c r="CR702" s="81"/>
      <c r="CS702" s="81"/>
      <c r="CT702" s="81"/>
      <c r="CU702" s="81"/>
      <c r="CV702" s="81"/>
      <c r="CW702" s="81"/>
      <c r="CX702" s="81"/>
      <c r="CY702" s="81"/>
      <c r="CZ702" s="81"/>
      <c r="DA702" s="81"/>
      <c r="DB702" s="81"/>
      <c r="DC702" s="81"/>
      <c r="DD702" s="81"/>
      <c r="DE702" s="81"/>
      <c r="DF702" s="81"/>
      <c r="DG702" s="81"/>
      <c r="DH702" s="81"/>
      <c r="DI702" s="81"/>
      <c r="DJ702" s="81"/>
      <c r="DK702" s="81"/>
      <c r="DL702" s="81"/>
      <c r="DM702" s="81"/>
      <c r="DN702" s="81"/>
      <c r="DO702" s="81"/>
      <c r="DP702" s="81"/>
      <c r="DQ702" s="81"/>
      <c r="DR702" s="81"/>
      <c r="DS702" s="81"/>
      <c r="DT702" s="81"/>
      <c r="DU702" s="81"/>
      <c r="DV702" s="81"/>
      <c r="DW702" s="121"/>
    </row>
    <row r="703" spans="1:127" x14ac:dyDescent="0.25">
      <c r="A703" s="2">
        <f>COUNTIF($D$2:D703,'Reporte de Nomina'!$E$2)</f>
        <v>0</v>
      </c>
      <c r="B703" s="125">
        <f>Lista!A702</f>
        <v>0</v>
      </c>
      <c r="C703" s="125">
        <f>Lista!B702</f>
        <v>0</v>
      </c>
      <c r="D703" s="125">
        <f>Lista!C702</f>
        <v>0</v>
      </c>
      <c r="E703" s="125">
        <f>Lista!D702</f>
        <v>0</v>
      </c>
      <c r="F703" s="125">
        <f>Lista!E702</f>
        <v>0</v>
      </c>
      <c r="G703" s="125">
        <f>Lista!F702</f>
        <v>0</v>
      </c>
      <c r="H703" s="125">
        <f>Lista!G702</f>
        <v>0</v>
      </c>
      <c r="I703" s="125">
        <f>Lista!H702</f>
        <v>0</v>
      </c>
      <c r="J703" s="125">
        <f>Lista!I702</f>
        <v>0</v>
      </c>
      <c r="K703" s="125">
        <f>Lista!J702</f>
        <v>0</v>
      </c>
      <c r="L703" s="125">
        <f>Lista!K702</f>
        <v>0</v>
      </c>
      <c r="M703" s="125">
        <f>Lista!L702</f>
        <v>0</v>
      </c>
      <c r="N703" s="125">
        <f>Lista!M702</f>
        <v>0</v>
      </c>
      <c r="O703" s="125">
        <f>Lista!N702</f>
        <v>0</v>
      </c>
      <c r="P703" s="125">
        <f>Lista!O702</f>
        <v>0</v>
      </c>
      <c r="Q703" s="125">
        <f>Lista!P702</f>
        <v>0</v>
      </c>
      <c r="R703" s="125">
        <f>Lista!Q702</f>
        <v>0</v>
      </c>
      <c r="S703" s="125">
        <f>Lista!R702</f>
        <v>0</v>
      </c>
      <c r="T703" s="81"/>
      <c r="U703" s="81"/>
      <c r="V703" s="81"/>
      <c r="W703" s="81"/>
      <c r="X703" s="81"/>
      <c r="Y703" s="81"/>
      <c r="Z703" s="81"/>
      <c r="AA703" s="81"/>
      <c r="AB703" s="81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  <c r="BS703" s="81"/>
      <c r="BT703" s="81"/>
      <c r="BU703" s="81"/>
      <c r="BV703" s="81"/>
      <c r="BW703" s="81"/>
      <c r="BX703" s="81"/>
      <c r="BY703" s="81"/>
      <c r="BZ703" s="81"/>
      <c r="CA703" s="81"/>
      <c r="CB703" s="81"/>
      <c r="CC703" s="81"/>
      <c r="CD703" s="81"/>
      <c r="CE703" s="81"/>
      <c r="CF703" s="81"/>
      <c r="CG703" s="81"/>
      <c r="CH703" s="81"/>
      <c r="CI703" s="81"/>
      <c r="CJ703" s="81"/>
      <c r="CK703" s="81"/>
      <c r="CL703" s="81"/>
      <c r="CM703" s="81"/>
      <c r="CN703" s="81"/>
      <c r="CO703" s="81"/>
      <c r="CP703" s="81"/>
      <c r="CQ703" s="81"/>
      <c r="CR703" s="81"/>
      <c r="CS703" s="81"/>
      <c r="CT703" s="81"/>
      <c r="CU703" s="81"/>
      <c r="CV703" s="81"/>
      <c r="CW703" s="81"/>
      <c r="CX703" s="81"/>
      <c r="CY703" s="81"/>
      <c r="CZ703" s="81"/>
      <c r="DA703" s="81"/>
      <c r="DB703" s="81"/>
      <c r="DC703" s="81"/>
      <c r="DD703" s="81"/>
      <c r="DE703" s="81"/>
      <c r="DF703" s="81"/>
      <c r="DG703" s="81"/>
      <c r="DH703" s="81"/>
      <c r="DI703" s="81"/>
      <c r="DJ703" s="81"/>
      <c r="DK703" s="81"/>
      <c r="DL703" s="81"/>
      <c r="DM703" s="81"/>
      <c r="DN703" s="81"/>
      <c r="DO703" s="81"/>
      <c r="DP703" s="81"/>
      <c r="DQ703" s="81"/>
      <c r="DR703" s="81"/>
      <c r="DS703" s="81"/>
      <c r="DT703" s="81"/>
      <c r="DU703" s="81"/>
      <c r="DV703" s="81"/>
      <c r="DW703" s="121"/>
    </row>
    <row r="704" spans="1:127" x14ac:dyDescent="0.25">
      <c r="A704" s="2">
        <f>COUNTIF($D$2:D704,'Reporte de Nomina'!$E$2)</f>
        <v>0</v>
      </c>
      <c r="B704" s="125">
        <f>Lista!A703</f>
        <v>0</v>
      </c>
      <c r="C704" s="125">
        <f>Lista!B703</f>
        <v>0</v>
      </c>
      <c r="D704" s="125">
        <f>Lista!C703</f>
        <v>0</v>
      </c>
      <c r="E704" s="125">
        <f>Lista!D703</f>
        <v>0</v>
      </c>
      <c r="F704" s="125">
        <f>Lista!E703</f>
        <v>0</v>
      </c>
      <c r="G704" s="125">
        <f>Lista!F703</f>
        <v>0</v>
      </c>
      <c r="H704" s="125">
        <f>Lista!G703</f>
        <v>0</v>
      </c>
      <c r="I704" s="125">
        <f>Lista!H703</f>
        <v>0</v>
      </c>
      <c r="J704" s="125">
        <f>Lista!I703</f>
        <v>0</v>
      </c>
      <c r="K704" s="125">
        <f>Lista!J703</f>
        <v>0</v>
      </c>
      <c r="L704" s="125">
        <f>Lista!K703</f>
        <v>0</v>
      </c>
      <c r="M704" s="125">
        <f>Lista!L703</f>
        <v>0</v>
      </c>
      <c r="N704" s="125">
        <f>Lista!M703</f>
        <v>0</v>
      </c>
      <c r="O704" s="125">
        <f>Lista!N703</f>
        <v>0</v>
      </c>
      <c r="P704" s="125">
        <f>Lista!O703</f>
        <v>0</v>
      </c>
      <c r="Q704" s="125">
        <f>Lista!P703</f>
        <v>0</v>
      </c>
      <c r="R704" s="125">
        <f>Lista!Q703</f>
        <v>0</v>
      </c>
      <c r="S704" s="125">
        <f>Lista!R703</f>
        <v>0</v>
      </c>
      <c r="T704" s="81"/>
      <c r="U704" s="81"/>
      <c r="V704" s="81"/>
      <c r="W704" s="81"/>
      <c r="X704" s="81"/>
      <c r="Y704" s="81"/>
      <c r="Z704" s="81"/>
      <c r="AA704" s="81"/>
      <c r="AB704" s="81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  <c r="BS704" s="81"/>
      <c r="BT704" s="81"/>
      <c r="BU704" s="81"/>
      <c r="BV704" s="81"/>
      <c r="BW704" s="81"/>
      <c r="BX704" s="81"/>
      <c r="BY704" s="81"/>
      <c r="BZ704" s="81"/>
      <c r="CA704" s="81"/>
      <c r="CB704" s="81"/>
      <c r="CC704" s="81"/>
      <c r="CD704" s="81"/>
      <c r="CE704" s="81"/>
      <c r="CF704" s="81"/>
      <c r="CG704" s="81"/>
      <c r="CH704" s="81"/>
      <c r="CI704" s="81"/>
      <c r="CJ704" s="81"/>
      <c r="CK704" s="81"/>
      <c r="CL704" s="81"/>
      <c r="CM704" s="81"/>
      <c r="CN704" s="81"/>
      <c r="CO704" s="81"/>
      <c r="CP704" s="81"/>
      <c r="CQ704" s="81"/>
      <c r="CR704" s="81"/>
      <c r="CS704" s="81"/>
      <c r="CT704" s="81"/>
      <c r="CU704" s="81"/>
      <c r="CV704" s="81"/>
      <c r="CW704" s="81"/>
      <c r="CX704" s="81"/>
      <c r="CY704" s="81"/>
      <c r="CZ704" s="81"/>
      <c r="DA704" s="81"/>
      <c r="DB704" s="81"/>
      <c r="DC704" s="81"/>
      <c r="DD704" s="81"/>
      <c r="DE704" s="81"/>
      <c r="DF704" s="81"/>
      <c r="DG704" s="81"/>
      <c r="DH704" s="81"/>
      <c r="DI704" s="81"/>
      <c r="DJ704" s="81"/>
      <c r="DK704" s="81"/>
      <c r="DL704" s="81"/>
      <c r="DM704" s="81"/>
      <c r="DN704" s="81"/>
      <c r="DO704" s="81"/>
      <c r="DP704" s="81"/>
      <c r="DQ704" s="81"/>
      <c r="DR704" s="81"/>
      <c r="DS704" s="81"/>
      <c r="DT704" s="81"/>
      <c r="DU704" s="81"/>
      <c r="DV704" s="81"/>
      <c r="DW704" s="121"/>
    </row>
    <row r="705" spans="1:127" x14ac:dyDescent="0.25">
      <c r="A705" s="2">
        <f>COUNTIF($D$2:D705,'Reporte de Nomina'!$E$2)</f>
        <v>0</v>
      </c>
      <c r="B705" s="125">
        <f>Lista!A704</f>
        <v>0</v>
      </c>
      <c r="C705" s="125">
        <f>Lista!B704</f>
        <v>0</v>
      </c>
      <c r="D705" s="125">
        <f>Lista!C704</f>
        <v>0</v>
      </c>
      <c r="E705" s="125">
        <f>Lista!D704</f>
        <v>0</v>
      </c>
      <c r="F705" s="125">
        <f>Lista!E704</f>
        <v>0</v>
      </c>
      <c r="G705" s="125">
        <f>Lista!F704</f>
        <v>0</v>
      </c>
      <c r="H705" s="125">
        <f>Lista!G704</f>
        <v>0</v>
      </c>
      <c r="I705" s="125">
        <f>Lista!H704</f>
        <v>0</v>
      </c>
      <c r="J705" s="125">
        <f>Lista!I704</f>
        <v>0</v>
      </c>
      <c r="K705" s="125">
        <f>Lista!J704</f>
        <v>0</v>
      </c>
      <c r="L705" s="125">
        <f>Lista!K704</f>
        <v>0</v>
      </c>
      <c r="M705" s="125">
        <f>Lista!L704</f>
        <v>0</v>
      </c>
      <c r="N705" s="125">
        <f>Lista!M704</f>
        <v>0</v>
      </c>
      <c r="O705" s="125">
        <f>Lista!N704</f>
        <v>0</v>
      </c>
      <c r="P705" s="125">
        <f>Lista!O704</f>
        <v>0</v>
      </c>
      <c r="Q705" s="125">
        <f>Lista!P704</f>
        <v>0</v>
      </c>
      <c r="R705" s="125">
        <f>Lista!Q704</f>
        <v>0</v>
      </c>
      <c r="S705" s="125">
        <f>Lista!R704</f>
        <v>0</v>
      </c>
      <c r="T705" s="81"/>
      <c r="U705" s="81"/>
      <c r="V705" s="81"/>
      <c r="W705" s="81"/>
      <c r="X705" s="81"/>
      <c r="Y705" s="81"/>
      <c r="Z705" s="81"/>
      <c r="AA705" s="81"/>
      <c r="AB705" s="81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  <c r="BS705" s="81"/>
      <c r="BT705" s="81"/>
      <c r="BU705" s="81"/>
      <c r="BV705" s="81"/>
      <c r="BW705" s="81"/>
      <c r="BX705" s="81"/>
      <c r="BY705" s="81"/>
      <c r="BZ705" s="81"/>
      <c r="CA705" s="81"/>
      <c r="CB705" s="81"/>
      <c r="CC705" s="81"/>
      <c r="CD705" s="81"/>
      <c r="CE705" s="81"/>
      <c r="CF705" s="81"/>
      <c r="CG705" s="81"/>
      <c r="CH705" s="81"/>
      <c r="CI705" s="81"/>
      <c r="CJ705" s="81"/>
      <c r="CK705" s="81"/>
      <c r="CL705" s="81"/>
      <c r="CM705" s="81"/>
      <c r="CN705" s="81"/>
      <c r="CO705" s="81"/>
      <c r="CP705" s="81"/>
      <c r="CQ705" s="81"/>
      <c r="CR705" s="81"/>
      <c r="CS705" s="81"/>
      <c r="CT705" s="81"/>
      <c r="CU705" s="81"/>
      <c r="CV705" s="81"/>
      <c r="CW705" s="81"/>
      <c r="CX705" s="81"/>
      <c r="CY705" s="81"/>
      <c r="CZ705" s="81"/>
      <c r="DA705" s="81"/>
      <c r="DB705" s="81"/>
      <c r="DC705" s="81"/>
      <c r="DD705" s="81"/>
      <c r="DE705" s="81"/>
      <c r="DF705" s="81"/>
      <c r="DG705" s="81"/>
      <c r="DH705" s="81"/>
      <c r="DI705" s="81"/>
      <c r="DJ705" s="81"/>
      <c r="DK705" s="81"/>
      <c r="DL705" s="81"/>
      <c r="DM705" s="81"/>
      <c r="DN705" s="81"/>
      <c r="DO705" s="81"/>
      <c r="DP705" s="81"/>
      <c r="DQ705" s="81"/>
      <c r="DR705" s="81"/>
      <c r="DS705" s="81"/>
      <c r="DT705" s="81"/>
      <c r="DU705" s="81"/>
      <c r="DV705" s="81"/>
      <c r="DW705" s="121"/>
    </row>
    <row r="706" spans="1:127" x14ac:dyDescent="0.25">
      <c r="A706" s="2">
        <f>COUNTIF($D$2:D706,'Reporte de Nomina'!$E$2)</f>
        <v>0</v>
      </c>
      <c r="B706" s="125">
        <f>Lista!A705</f>
        <v>0</v>
      </c>
      <c r="C706" s="125">
        <f>Lista!B705</f>
        <v>0</v>
      </c>
      <c r="D706" s="125">
        <f>Lista!C705</f>
        <v>0</v>
      </c>
      <c r="E706" s="125">
        <f>Lista!D705</f>
        <v>0</v>
      </c>
      <c r="F706" s="125">
        <f>Lista!E705</f>
        <v>0</v>
      </c>
      <c r="G706" s="125">
        <f>Lista!F705</f>
        <v>0</v>
      </c>
      <c r="H706" s="125">
        <f>Lista!G705</f>
        <v>0</v>
      </c>
      <c r="I706" s="125">
        <f>Lista!H705</f>
        <v>0</v>
      </c>
      <c r="J706" s="125">
        <f>Lista!I705</f>
        <v>0</v>
      </c>
      <c r="K706" s="125">
        <f>Lista!J705</f>
        <v>0</v>
      </c>
      <c r="L706" s="125">
        <f>Lista!K705</f>
        <v>0</v>
      </c>
      <c r="M706" s="125">
        <f>Lista!L705</f>
        <v>0</v>
      </c>
      <c r="N706" s="125">
        <f>Lista!M705</f>
        <v>0</v>
      </c>
      <c r="O706" s="125">
        <f>Lista!N705</f>
        <v>0</v>
      </c>
      <c r="P706" s="125">
        <f>Lista!O705</f>
        <v>0</v>
      </c>
      <c r="Q706" s="125">
        <f>Lista!P705</f>
        <v>0</v>
      </c>
      <c r="R706" s="125">
        <f>Lista!Q705</f>
        <v>0</v>
      </c>
      <c r="S706" s="125">
        <f>Lista!R705</f>
        <v>0</v>
      </c>
      <c r="T706" s="81"/>
      <c r="U706" s="81"/>
      <c r="V706" s="81"/>
      <c r="W706" s="81"/>
      <c r="X706" s="81"/>
      <c r="Y706" s="81"/>
      <c r="Z706" s="81"/>
      <c r="AA706" s="81"/>
      <c r="AB706" s="81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  <c r="BS706" s="81"/>
      <c r="BT706" s="81"/>
      <c r="BU706" s="81"/>
      <c r="BV706" s="81"/>
      <c r="BW706" s="81"/>
      <c r="BX706" s="81"/>
      <c r="BY706" s="81"/>
      <c r="BZ706" s="81"/>
      <c r="CA706" s="81"/>
      <c r="CB706" s="81"/>
      <c r="CC706" s="81"/>
      <c r="CD706" s="81"/>
      <c r="CE706" s="81"/>
      <c r="CF706" s="81"/>
      <c r="CG706" s="81"/>
      <c r="CH706" s="81"/>
      <c r="CI706" s="81"/>
      <c r="CJ706" s="81"/>
      <c r="CK706" s="81"/>
      <c r="CL706" s="81"/>
      <c r="CM706" s="81"/>
      <c r="CN706" s="81"/>
      <c r="CO706" s="81"/>
      <c r="CP706" s="81"/>
      <c r="CQ706" s="81"/>
      <c r="CR706" s="81"/>
      <c r="CS706" s="81"/>
      <c r="CT706" s="81"/>
      <c r="CU706" s="81"/>
      <c r="CV706" s="81"/>
      <c r="CW706" s="81"/>
      <c r="CX706" s="81"/>
      <c r="CY706" s="81"/>
      <c r="CZ706" s="81"/>
      <c r="DA706" s="81"/>
      <c r="DB706" s="81"/>
      <c r="DC706" s="81"/>
      <c r="DD706" s="81"/>
      <c r="DE706" s="81"/>
      <c r="DF706" s="81"/>
      <c r="DG706" s="81"/>
      <c r="DH706" s="81"/>
      <c r="DI706" s="81"/>
      <c r="DJ706" s="81"/>
      <c r="DK706" s="81"/>
      <c r="DL706" s="81"/>
      <c r="DM706" s="81"/>
      <c r="DN706" s="81"/>
      <c r="DO706" s="81"/>
      <c r="DP706" s="81"/>
      <c r="DQ706" s="81"/>
      <c r="DR706" s="81"/>
      <c r="DS706" s="81"/>
      <c r="DT706" s="81"/>
      <c r="DU706" s="81"/>
      <c r="DV706" s="81"/>
      <c r="DW706" s="121"/>
    </row>
    <row r="707" spans="1:127" x14ac:dyDescent="0.25">
      <c r="A707" s="2">
        <f>COUNTIF($D$2:D707,'Reporte de Nomina'!$E$2)</f>
        <v>0</v>
      </c>
      <c r="B707" s="125">
        <f>Lista!A706</f>
        <v>0</v>
      </c>
      <c r="C707" s="125">
        <f>Lista!B706</f>
        <v>0</v>
      </c>
      <c r="D707" s="125">
        <f>Lista!C706</f>
        <v>0</v>
      </c>
      <c r="E707" s="125">
        <f>Lista!D706</f>
        <v>0</v>
      </c>
      <c r="F707" s="125">
        <f>Lista!E706</f>
        <v>0</v>
      </c>
      <c r="G707" s="125">
        <f>Lista!F706</f>
        <v>0</v>
      </c>
      <c r="H707" s="125">
        <f>Lista!G706</f>
        <v>0</v>
      </c>
      <c r="I707" s="125">
        <f>Lista!H706</f>
        <v>0</v>
      </c>
      <c r="J707" s="125">
        <f>Lista!I706</f>
        <v>0</v>
      </c>
      <c r="K707" s="125">
        <f>Lista!J706</f>
        <v>0</v>
      </c>
      <c r="L707" s="125">
        <f>Lista!K706</f>
        <v>0</v>
      </c>
      <c r="M707" s="125">
        <f>Lista!L706</f>
        <v>0</v>
      </c>
      <c r="N707" s="125">
        <f>Lista!M706</f>
        <v>0</v>
      </c>
      <c r="O707" s="125">
        <f>Lista!N706</f>
        <v>0</v>
      </c>
      <c r="P707" s="125">
        <f>Lista!O706</f>
        <v>0</v>
      </c>
      <c r="Q707" s="125">
        <f>Lista!P706</f>
        <v>0</v>
      </c>
      <c r="R707" s="125">
        <f>Lista!Q706</f>
        <v>0</v>
      </c>
      <c r="S707" s="125">
        <f>Lista!R706</f>
        <v>0</v>
      </c>
      <c r="T707" s="81"/>
      <c r="U707" s="81"/>
      <c r="V707" s="81"/>
      <c r="W707" s="81"/>
      <c r="X707" s="81"/>
      <c r="Y707" s="81"/>
      <c r="Z707" s="81"/>
      <c r="AA707" s="81"/>
      <c r="AB707" s="81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  <c r="BS707" s="81"/>
      <c r="BT707" s="81"/>
      <c r="BU707" s="81"/>
      <c r="BV707" s="81"/>
      <c r="BW707" s="81"/>
      <c r="BX707" s="81"/>
      <c r="BY707" s="81"/>
      <c r="BZ707" s="81"/>
      <c r="CA707" s="81"/>
      <c r="CB707" s="81"/>
      <c r="CC707" s="81"/>
      <c r="CD707" s="81"/>
      <c r="CE707" s="81"/>
      <c r="CF707" s="81"/>
      <c r="CG707" s="81"/>
      <c r="CH707" s="81"/>
      <c r="CI707" s="81"/>
      <c r="CJ707" s="81"/>
      <c r="CK707" s="81"/>
      <c r="CL707" s="81"/>
      <c r="CM707" s="81"/>
      <c r="CN707" s="81"/>
      <c r="CO707" s="81"/>
      <c r="CP707" s="81"/>
      <c r="CQ707" s="81"/>
      <c r="CR707" s="81"/>
      <c r="CS707" s="81"/>
      <c r="CT707" s="81"/>
      <c r="CU707" s="81"/>
      <c r="CV707" s="81"/>
      <c r="CW707" s="81"/>
      <c r="CX707" s="81"/>
      <c r="CY707" s="81"/>
      <c r="CZ707" s="81"/>
      <c r="DA707" s="81"/>
      <c r="DB707" s="81"/>
      <c r="DC707" s="81"/>
      <c r="DD707" s="81"/>
      <c r="DE707" s="81"/>
      <c r="DF707" s="81"/>
      <c r="DG707" s="81"/>
      <c r="DH707" s="81"/>
      <c r="DI707" s="81"/>
      <c r="DJ707" s="81"/>
      <c r="DK707" s="81"/>
      <c r="DL707" s="81"/>
      <c r="DM707" s="81"/>
      <c r="DN707" s="81"/>
      <c r="DO707" s="81"/>
      <c r="DP707" s="81"/>
      <c r="DQ707" s="81"/>
      <c r="DR707" s="81"/>
      <c r="DS707" s="81"/>
      <c r="DT707" s="81"/>
      <c r="DU707" s="81"/>
      <c r="DV707" s="81"/>
      <c r="DW707" s="121"/>
    </row>
    <row r="708" spans="1:127" x14ac:dyDescent="0.25">
      <c r="A708" s="2">
        <f>COUNTIF($D$2:D708,'Reporte de Nomina'!$E$2)</f>
        <v>0</v>
      </c>
      <c r="B708" s="125">
        <f>Lista!A707</f>
        <v>0</v>
      </c>
      <c r="C708" s="125">
        <f>Lista!B707</f>
        <v>0</v>
      </c>
      <c r="D708" s="125">
        <f>Lista!C707</f>
        <v>0</v>
      </c>
      <c r="E708" s="125">
        <f>Lista!D707</f>
        <v>0</v>
      </c>
      <c r="F708" s="125">
        <f>Lista!E707</f>
        <v>0</v>
      </c>
      <c r="G708" s="125">
        <f>Lista!F707</f>
        <v>0</v>
      </c>
      <c r="H708" s="125">
        <f>Lista!G707</f>
        <v>0</v>
      </c>
      <c r="I708" s="125">
        <f>Lista!H707</f>
        <v>0</v>
      </c>
      <c r="J708" s="125">
        <f>Lista!I707</f>
        <v>0</v>
      </c>
      <c r="K708" s="125">
        <f>Lista!J707</f>
        <v>0</v>
      </c>
      <c r="L708" s="125">
        <f>Lista!K707</f>
        <v>0</v>
      </c>
      <c r="M708" s="125">
        <f>Lista!L707</f>
        <v>0</v>
      </c>
      <c r="N708" s="125">
        <f>Lista!M707</f>
        <v>0</v>
      </c>
      <c r="O708" s="125">
        <f>Lista!N707</f>
        <v>0</v>
      </c>
      <c r="P708" s="125">
        <f>Lista!O707</f>
        <v>0</v>
      </c>
      <c r="Q708" s="125">
        <f>Lista!P707</f>
        <v>0</v>
      </c>
      <c r="R708" s="125">
        <f>Lista!Q707</f>
        <v>0</v>
      </c>
      <c r="S708" s="125">
        <f>Lista!R707</f>
        <v>0</v>
      </c>
      <c r="T708" s="81"/>
      <c r="U708" s="81"/>
      <c r="V708" s="81"/>
      <c r="W708" s="81"/>
      <c r="X708" s="81"/>
      <c r="Y708" s="81"/>
      <c r="Z708" s="81"/>
      <c r="AA708" s="81"/>
      <c r="AB708" s="81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  <c r="BS708" s="81"/>
      <c r="BT708" s="81"/>
      <c r="BU708" s="81"/>
      <c r="BV708" s="81"/>
      <c r="BW708" s="81"/>
      <c r="BX708" s="81"/>
      <c r="BY708" s="81"/>
      <c r="BZ708" s="81"/>
      <c r="CA708" s="81"/>
      <c r="CB708" s="81"/>
      <c r="CC708" s="81"/>
      <c r="CD708" s="81"/>
      <c r="CE708" s="81"/>
      <c r="CF708" s="81"/>
      <c r="CG708" s="81"/>
      <c r="CH708" s="81"/>
      <c r="CI708" s="81"/>
      <c r="CJ708" s="81"/>
      <c r="CK708" s="81"/>
      <c r="CL708" s="81"/>
      <c r="CM708" s="81"/>
      <c r="CN708" s="81"/>
      <c r="CO708" s="81"/>
      <c r="CP708" s="81"/>
      <c r="CQ708" s="81"/>
      <c r="CR708" s="81"/>
      <c r="CS708" s="81"/>
      <c r="CT708" s="81"/>
      <c r="CU708" s="81"/>
      <c r="CV708" s="81"/>
      <c r="CW708" s="81"/>
      <c r="CX708" s="81"/>
      <c r="CY708" s="81"/>
      <c r="CZ708" s="81"/>
      <c r="DA708" s="81"/>
      <c r="DB708" s="81"/>
      <c r="DC708" s="81"/>
      <c r="DD708" s="81"/>
      <c r="DE708" s="81"/>
      <c r="DF708" s="81"/>
      <c r="DG708" s="81"/>
      <c r="DH708" s="81"/>
      <c r="DI708" s="81"/>
      <c r="DJ708" s="81"/>
      <c r="DK708" s="81"/>
      <c r="DL708" s="81"/>
      <c r="DM708" s="81"/>
      <c r="DN708" s="81"/>
      <c r="DO708" s="81"/>
      <c r="DP708" s="81"/>
      <c r="DQ708" s="81"/>
      <c r="DR708" s="81"/>
      <c r="DS708" s="81"/>
      <c r="DT708" s="81"/>
      <c r="DU708" s="81"/>
      <c r="DV708" s="81"/>
      <c r="DW708" s="121"/>
    </row>
    <row r="709" spans="1:127" x14ac:dyDescent="0.25">
      <c r="A709" s="2">
        <f>COUNTIF($D$2:D709,'Reporte de Nomina'!$E$2)</f>
        <v>0</v>
      </c>
      <c r="B709" s="125">
        <f>Lista!A708</f>
        <v>0</v>
      </c>
      <c r="C709" s="125">
        <f>Lista!B708</f>
        <v>0</v>
      </c>
      <c r="D709" s="125">
        <f>Lista!C708</f>
        <v>0</v>
      </c>
      <c r="E709" s="125">
        <f>Lista!D708</f>
        <v>0</v>
      </c>
      <c r="F709" s="125">
        <f>Lista!E708</f>
        <v>0</v>
      </c>
      <c r="G709" s="125">
        <f>Lista!F708</f>
        <v>0</v>
      </c>
      <c r="H709" s="125">
        <f>Lista!G708</f>
        <v>0</v>
      </c>
      <c r="I709" s="125">
        <f>Lista!H708</f>
        <v>0</v>
      </c>
      <c r="J709" s="125">
        <f>Lista!I708</f>
        <v>0</v>
      </c>
      <c r="K709" s="125">
        <f>Lista!J708</f>
        <v>0</v>
      </c>
      <c r="L709" s="125">
        <f>Lista!K708</f>
        <v>0</v>
      </c>
      <c r="M709" s="125">
        <f>Lista!L708</f>
        <v>0</v>
      </c>
      <c r="N709" s="125">
        <f>Lista!M708</f>
        <v>0</v>
      </c>
      <c r="O709" s="125">
        <f>Lista!N708</f>
        <v>0</v>
      </c>
      <c r="P709" s="125">
        <f>Lista!O708</f>
        <v>0</v>
      </c>
      <c r="Q709" s="125">
        <f>Lista!P708</f>
        <v>0</v>
      </c>
      <c r="R709" s="125">
        <f>Lista!Q708</f>
        <v>0</v>
      </c>
      <c r="S709" s="125">
        <f>Lista!R708</f>
        <v>0</v>
      </c>
      <c r="T709" s="81"/>
      <c r="U709" s="81"/>
      <c r="V709" s="81"/>
      <c r="W709" s="81"/>
      <c r="X709" s="81"/>
      <c r="Y709" s="81"/>
      <c r="Z709" s="81"/>
      <c r="AA709" s="81"/>
      <c r="AB709" s="81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  <c r="BS709" s="81"/>
      <c r="BT709" s="81"/>
      <c r="BU709" s="81"/>
      <c r="BV709" s="81"/>
      <c r="BW709" s="81"/>
      <c r="BX709" s="81"/>
      <c r="BY709" s="81"/>
      <c r="BZ709" s="81"/>
      <c r="CA709" s="81"/>
      <c r="CB709" s="81"/>
      <c r="CC709" s="81"/>
      <c r="CD709" s="81"/>
      <c r="CE709" s="81"/>
      <c r="CF709" s="81"/>
      <c r="CG709" s="81"/>
      <c r="CH709" s="81"/>
      <c r="CI709" s="81"/>
      <c r="CJ709" s="81"/>
      <c r="CK709" s="81"/>
      <c r="CL709" s="81"/>
      <c r="CM709" s="81"/>
      <c r="CN709" s="81"/>
      <c r="CO709" s="81"/>
      <c r="CP709" s="81"/>
      <c r="CQ709" s="81"/>
      <c r="CR709" s="81"/>
      <c r="CS709" s="81"/>
      <c r="CT709" s="81"/>
      <c r="CU709" s="81"/>
      <c r="CV709" s="81"/>
      <c r="CW709" s="81"/>
      <c r="CX709" s="81"/>
      <c r="CY709" s="81"/>
      <c r="CZ709" s="81"/>
      <c r="DA709" s="81"/>
      <c r="DB709" s="81"/>
      <c r="DC709" s="81"/>
      <c r="DD709" s="81"/>
      <c r="DE709" s="81"/>
      <c r="DF709" s="81"/>
      <c r="DG709" s="81"/>
      <c r="DH709" s="81"/>
      <c r="DI709" s="81"/>
      <c r="DJ709" s="81"/>
      <c r="DK709" s="81"/>
      <c r="DL709" s="81"/>
      <c r="DM709" s="81"/>
      <c r="DN709" s="81"/>
      <c r="DO709" s="81"/>
      <c r="DP709" s="81"/>
      <c r="DQ709" s="81"/>
      <c r="DR709" s="81"/>
      <c r="DS709" s="81"/>
      <c r="DT709" s="81"/>
      <c r="DU709" s="81"/>
      <c r="DV709" s="81"/>
      <c r="DW709" s="121"/>
    </row>
    <row r="710" spans="1:127" x14ac:dyDescent="0.25">
      <c r="A710" s="2">
        <f>COUNTIF($D$2:D710,'Reporte de Nomina'!$E$2)</f>
        <v>0</v>
      </c>
      <c r="B710" s="125">
        <f>Lista!A709</f>
        <v>0</v>
      </c>
      <c r="C710" s="125">
        <f>Lista!B709</f>
        <v>0</v>
      </c>
      <c r="D710" s="125">
        <f>Lista!C709</f>
        <v>0</v>
      </c>
      <c r="E710" s="125">
        <f>Lista!D709</f>
        <v>0</v>
      </c>
      <c r="F710" s="125">
        <f>Lista!E709</f>
        <v>0</v>
      </c>
      <c r="G710" s="125">
        <f>Lista!F709</f>
        <v>0</v>
      </c>
      <c r="H710" s="125">
        <f>Lista!G709</f>
        <v>0</v>
      </c>
      <c r="I710" s="125">
        <f>Lista!H709</f>
        <v>0</v>
      </c>
      <c r="J710" s="125">
        <f>Lista!I709</f>
        <v>0</v>
      </c>
      <c r="K710" s="125">
        <f>Lista!J709</f>
        <v>0</v>
      </c>
      <c r="L710" s="125">
        <f>Lista!K709</f>
        <v>0</v>
      </c>
      <c r="M710" s="125">
        <f>Lista!L709</f>
        <v>0</v>
      </c>
      <c r="N710" s="125">
        <f>Lista!M709</f>
        <v>0</v>
      </c>
      <c r="O710" s="125">
        <f>Lista!N709</f>
        <v>0</v>
      </c>
      <c r="P710" s="125">
        <f>Lista!O709</f>
        <v>0</v>
      </c>
      <c r="Q710" s="125">
        <f>Lista!P709</f>
        <v>0</v>
      </c>
      <c r="R710" s="125">
        <f>Lista!Q709</f>
        <v>0</v>
      </c>
      <c r="S710" s="125">
        <f>Lista!R709</f>
        <v>0</v>
      </c>
      <c r="T710" s="81"/>
      <c r="U710" s="81"/>
      <c r="V710" s="81"/>
      <c r="W710" s="81"/>
      <c r="X710" s="81"/>
      <c r="Y710" s="81"/>
      <c r="Z710" s="81"/>
      <c r="AA710" s="81"/>
      <c r="AB710" s="81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  <c r="BS710" s="81"/>
      <c r="BT710" s="81"/>
      <c r="BU710" s="81"/>
      <c r="BV710" s="81"/>
      <c r="BW710" s="81"/>
      <c r="BX710" s="81"/>
      <c r="BY710" s="81"/>
      <c r="BZ710" s="81"/>
      <c r="CA710" s="81"/>
      <c r="CB710" s="81"/>
      <c r="CC710" s="81"/>
      <c r="CD710" s="81"/>
      <c r="CE710" s="81"/>
      <c r="CF710" s="81"/>
      <c r="CG710" s="81"/>
      <c r="CH710" s="81"/>
      <c r="CI710" s="81"/>
      <c r="CJ710" s="81"/>
      <c r="CK710" s="81"/>
      <c r="CL710" s="81"/>
      <c r="CM710" s="81"/>
      <c r="CN710" s="81"/>
      <c r="CO710" s="81"/>
      <c r="CP710" s="81"/>
      <c r="CQ710" s="81"/>
      <c r="CR710" s="81"/>
      <c r="CS710" s="81"/>
      <c r="CT710" s="81"/>
      <c r="CU710" s="81"/>
      <c r="CV710" s="81"/>
      <c r="CW710" s="81"/>
      <c r="CX710" s="81"/>
      <c r="CY710" s="81"/>
      <c r="CZ710" s="81"/>
      <c r="DA710" s="81"/>
      <c r="DB710" s="81"/>
      <c r="DC710" s="81"/>
      <c r="DD710" s="81"/>
      <c r="DE710" s="81"/>
      <c r="DF710" s="81"/>
      <c r="DG710" s="81"/>
      <c r="DH710" s="81"/>
      <c r="DI710" s="81"/>
      <c r="DJ710" s="81"/>
      <c r="DK710" s="81"/>
      <c r="DL710" s="81"/>
      <c r="DM710" s="81"/>
      <c r="DN710" s="81"/>
      <c r="DO710" s="81"/>
      <c r="DP710" s="81"/>
      <c r="DQ710" s="81"/>
      <c r="DR710" s="81"/>
      <c r="DS710" s="81"/>
      <c r="DT710" s="81"/>
      <c r="DU710" s="81"/>
      <c r="DV710" s="81"/>
      <c r="DW710" s="121"/>
    </row>
    <row r="711" spans="1:127" x14ac:dyDescent="0.25">
      <c r="A711" s="2">
        <f>COUNTIF($D$2:D711,'Reporte de Nomina'!$E$2)</f>
        <v>0</v>
      </c>
      <c r="B711" s="125">
        <f>Lista!A710</f>
        <v>0</v>
      </c>
      <c r="C711" s="125">
        <f>Lista!B710</f>
        <v>0</v>
      </c>
      <c r="D711" s="125">
        <f>Lista!C710</f>
        <v>0</v>
      </c>
      <c r="E711" s="125">
        <f>Lista!D710</f>
        <v>0</v>
      </c>
      <c r="F711" s="125">
        <f>Lista!E710</f>
        <v>0</v>
      </c>
      <c r="G711" s="125">
        <f>Lista!F710</f>
        <v>0</v>
      </c>
      <c r="H711" s="125">
        <f>Lista!G710</f>
        <v>0</v>
      </c>
      <c r="I711" s="125">
        <f>Lista!H710</f>
        <v>0</v>
      </c>
      <c r="J711" s="125">
        <f>Lista!I710</f>
        <v>0</v>
      </c>
      <c r="K711" s="125">
        <f>Lista!J710</f>
        <v>0</v>
      </c>
      <c r="L711" s="125">
        <f>Lista!K710</f>
        <v>0</v>
      </c>
      <c r="M711" s="125">
        <f>Lista!L710</f>
        <v>0</v>
      </c>
      <c r="N711" s="125">
        <f>Lista!M710</f>
        <v>0</v>
      </c>
      <c r="O711" s="125">
        <f>Lista!N710</f>
        <v>0</v>
      </c>
      <c r="P711" s="125">
        <f>Lista!O710</f>
        <v>0</v>
      </c>
      <c r="Q711" s="125">
        <f>Lista!P710</f>
        <v>0</v>
      </c>
      <c r="R711" s="125">
        <f>Lista!Q710</f>
        <v>0</v>
      </c>
      <c r="S711" s="125">
        <f>Lista!R710</f>
        <v>0</v>
      </c>
      <c r="T711" s="81"/>
      <c r="U711" s="81"/>
      <c r="V711" s="81"/>
      <c r="W711" s="81"/>
      <c r="X711" s="81"/>
      <c r="Y711" s="81"/>
      <c r="Z711" s="81"/>
      <c r="AA711" s="81"/>
      <c r="AB711" s="81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  <c r="BS711" s="81"/>
      <c r="BT711" s="81"/>
      <c r="BU711" s="81"/>
      <c r="BV711" s="81"/>
      <c r="BW711" s="81"/>
      <c r="BX711" s="81"/>
      <c r="BY711" s="81"/>
      <c r="BZ711" s="81"/>
      <c r="CA711" s="81"/>
      <c r="CB711" s="81"/>
      <c r="CC711" s="81"/>
      <c r="CD711" s="81"/>
      <c r="CE711" s="81"/>
      <c r="CF711" s="81"/>
      <c r="CG711" s="81"/>
      <c r="CH711" s="81"/>
      <c r="CI711" s="81"/>
      <c r="CJ711" s="81"/>
      <c r="CK711" s="81"/>
      <c r="CL711" s="81"/>
      <c r="CM711" s="81"/>
      <c r="CN711" s="81"/>
      <c r="CO711" s="81"/>
      <c r="CP711" s="81"/>
      <c r="CQ711" s="81"/>
      <c r="CR711" s="81"/>
      <c r="CS711" s="81"/>
      <c r="CT711" s="81"/>
      <c r="CU711" s="81"/>
      <c r="CV711" s="81"/>
      <c r="CW711" s="81"/>
      <c r="CX711" s="81"/>
      <c r="CY711" s="81"/>
      <c r="CZ711" s="81"/>
      <c r="DA711" s="81"/>
      <c r="DB711" s="81"/>
      <c r="DC711" s="81"/>
      <c r="DD711" s="81"/>
      <c r="DE711" s="81"/>
      <c r="DF711" s="81"/>
      <c r="DG711" s="81"/>
      <c r="DH711" s="81"/>
      <c r="DI711" s="81"/>
      <c r="DJ711" s="81"/>
      <c r="DK711" s="81"/>
      <c r="DL711" s="81"/>
      <c r="DM711" s="81"/>
      <c r="DN711" s="81"/>
      <c r="DO711" s="81"/>
      <c r="DP711" s="81"/>
      <c r="DQ711" s="81"/>
      <c r="DR711" s="81"/>
      <c r="DS711" s="81"/>
      <c r="DT711" s="81"/>
      <c r="DU711" s="81"/>
      <c r="DV711" s="81"/>
      <c r="DW711" s="121"/>
    </row>
    <row r="712" spans="1:127" x14ac:dyDescent="0.25">
      <c r="A712" s="2">
        <f>COUNTIF($D$2:D712,'Reporte de Nomina'!$E$2)</f>
        <v>0</v>
      </c>
      <c r="B712" s="125">
        <f>Lista!A711</f>
        <v>0</v>
      </c>
      <c r="C712" s="125">
        <f>Lista!B711</f>
        <v>0</v>
      </c>
      <c r="D712" s="125">
        <f>Lista!C711</f>
        <v>0</v>
      </c>
      <c r="E712" s="125">
        <f>Lista!D711</f>
        <v>0</v>
      </c>
      <c r="F712" s="125">
        <f>Lista!E711</f>
        <v>0</v>
      </c>
      <c r="G712" s="125">
        <f>Lista!F711</f>
        <v>0</v>
      </c>
      <c r="H712" s="125">
        <f>Lista!G711</f>
        <v>0</v>
      </c>
      <c r="I712" s="125">
        <f>Lista!H711</f>
        <v>0</v>
      </c>
      <c r="J712" s="125">
        <f>Lista!I711</f>
        <v>0</v>
      </c>
      <c r="K712" s="125">
        <f>Lista!J711</f>
        <v>0</v>
      </c>
      <c r="L712" s="125">
        <f>Lista!K711</f>
        <v>0</v>
      </c>
      <c r="M712" s="125">
        <f>Lista!L711</f>
        <v>0</v>
      </c>
      <c r="N712" s="125">
        <f>Lista!M711</f>
        <v>0</v>
      </c>
      <c r="O712" s="125">
        <f>Lista!N711</f>
        <v>0</v>
      </c>
      <c r="P712" s="125">
        <f>Lista!O711</f>
        <v>0</v>
      </c>
      <c r="Q712" s="125">
        <f>Lista!P711</f>
        <v>0</v>
      </c>
      <c r="R712" s="125">
        <f>Lista!Q711</f>
        <v>0</v>
      </c>
      <c r="S712" s="125">
        <f>Lista!R711</f>
        <v>0</v>
      </c>
      <c r="T712" s="81"/>
      <c r="U712" s="81"/>
      <c r="V712" s="81"/>
      <c r="W712" s="81"/>
      <c r="X712" s="81"/>
      <c r="Y712" s="81"/>
      <c r="Z712" s="81"/>
      <c r="AA712" s="81"/>
      <c r="AB712" s="81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  <c r="BS712" s="81"/>
      <c r="BT712" s="81"/>
      <c r="BU712" s="81"/>
      <c r="BV712" s="81"/>
      <c r="BW712" s="81"/>
      <c r="BX712" s="81"/>
      <c r="BY712" s="81"/>
      <c r="BZ712" s="81"/>
      <c r="CA712" s="81"/>
      <c r="CB712" s="81"/>
      <c r="CC712" s="81"/>
      <c r="CD712" s="81"/>
      <c r="CE712" s="81"/>
      <c r="CF712" s="81"/>
      <c r="CG712" s="81"/>
      <c r="CH712" s="81"/>
      <c r="CI712" s="81"/>
      <c r="CJ712" s="81"/>
      <c r="CK712" s="81"/>
      <c r="CL712" s="81"/>
      <c r="CM712" s="81"/>
      <c r="CN712" s="81"/>
      <c r="CO712" s="81"/>
      <c r="CP712" s="81"/>
      <c r="CQ712" s="81"/>
      <c r="CR712" s="81"/>
      <c r="CS712" s="81"/>
      <c r="CT712" s="81"/>
      <c r="CU712" s="81"/>
      <c r="CV712" s="81"/>
      <c r="CW712" s="81"/>
      <c r="CX712" s="81"/>
      <c r="CY712" s="81"/>
      <c r="CZ712" s="81"/>
      <c r="DA712" s="81"/>
      <c r="DB712" s="81"/>
      <c r="DC712" s="81"/>
      <c r="DD712" s="81"/>
      <c r="DE712" s="81"/>
      <c r="DF712" s="81"/>
      <c r="DG712" s="81"/>
      <c r="DH712" s="81"/>
      <c r="DI712" s="81"/>
      <c r="DJ712" s="81"/>
      <c r="DK712" s="81"/>
      <c r="DL712" s="81"/>
      <c r="DM712" s="81"/>
      <c r="DN712" s="81"/>
      <c r="DO712" s="81"/>
      <c r="DP712" s="81"/>
      <c r="DQ712" s="81"/>
      <c r="DR712" s="81"/>
      <c r="DS712" s="81"/>
      <c r="DT712" s="81"/>
      <c r="DU712" s="81"/>
      <c r="DV712" s="81"/>
      <c r="DW712" s="121"/>
    </row>
    <row r="713" spans="1:127" x14ac:dyDescent="0.25">
      <c r="A713" s="2">
        <f>COUNTIF($D$2:D713,'Reporte de Nomina'!$E$2)</f>
        <v>0</v>
      </c>
      <c r="B713" s="125">
        <f>Lista!A712</f>
        <v>0</v>
      </c>
      <c r="C713" s="125">
        <f>Lista!B712</f>
        <v>0</v>
      </c>
      <c r="D713" s="125">
        <f>Lista!C712</f>
        <v>0</v>
      </c>
      <c r="E713" s="125">
        <f>Lista!D712</f>
        <v>0</v>
      </c>
      <c r="F713" s="125">
        <f>Lista!E712</f>
        <v>0</v>
      </c>
      <c r="G713" s="125">
        <f>Lista!F712</f>
        <v>0</v>
      </c>
      <c r="H713" s="125">
        <f>Lista!G712</f>
        <v>0</v>
      </c>
      <c r="I713" s="125">
        <f>Lista!H712</f>
        <v>0</v>
      </c>
      <c r="J713" s="125">
        <f>Lista!I712</f>
        <v>0</v>
      </c>
      <c r="K713" s="125">
        <f>Lista!J712</f>
        <v>0</v>
      </c>
      <c r="L713" s="125">
        <f>Lista!K712</f>
        <v>0</v>
      </c>
      <c r="M713" s="125">
        <f>Lista!L712</f>
        <v>0</v>
      </c>
      <c r="N713" s="125">
        <f>Lista!M712</f>
        <v>0</v>
      </c>
      <c r="O713" s="125">
        <f>Lista!N712</f>
        <v>0</v>
      </c>
      <c r="P713" s="125">
        <f>Lista!O712</f>
        <v>0</v>
      </c>
      <c r="Q713" s="125">
        <f>Lista!P712</f>
        <v>0</v>
      </c>
      <c r="R713" s="125">
        <f>Lista!Q712</f>
        <v>0</v>
      </c>
      <c r="S713" s="125">
        <f>Lista!R712</f>
        <v>0</v>
      </c>
      <c r="T713" s="81"/>
      <c r="U713" s="81"/>
      <c r="V713" s="81"/>
      <c r="W713" s="81"/>
      <c r="X713" s="81"/>
      <c r="Y713" s="81"/>
      <c r="Z713" s="81"/>
      <c r="AA713" s="81"/>
      <c r="AB713" s="81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  <c r="BS713" s="81"/>
      <c r="BT713" s="81"/>
      <c r="BU713" s="81"/>
      <c r="BV713" s="81"/>
      <c r="BW713" s="81"/>
      <c r="BX713" s="81"/>
      <c r="BY713" s="81"/>
      <c r="BZ713" s="81"/>
      <c r="CA713" s="81"/>
      <c r="CB713" s="81"/>
      <c r="CC713" s="81"/>
      <c r="CD713" s="81"/>
      <c r="CE713" s="81"/>
      <c r="CF713" s="81"/>
      <c r="CG713" s="81"/>
      <c r="CH713" s="81"/>
      <c r="CI713" s="81"/>
      <c r="CJ713" s="81"/>
      <c r="CK713" s="81"/>
      <c r="CL713" s="81"/>
      <c r="CM713" s="81"/>
      <c r="CN713" s="81"/>
      <c r="CO713" s="81"/>
      <c r="CP713" s="81"/>
      <c r="CQ713" s="81"/>
      <c r="CR713" s="81"/>
      <c r="CS713" s="81"/>
      <c r="CT713" s="81"/>
      <c r="CU713" s="81"/>
      <c r="CV713" s="81"/>
      <c r="CW713" s="81"/>
      <c r="CX713" s="81"/>
      <c r="CY713" s="81"/>
      <c r="CZ713" s="81"/>
      <c r="DA713" s="81"/>
      <c r="DB713" s="81"/>
      <c r="DC713" s="81"/>
      <c r="DD713" s="81"/>
      <c r="DE713" s="81"/>
      <c r="DF713" s="81"/>
      <c r="DG713" s="81"/>
      <c r="DH713" s="81"/>
      <c r="DI713" s="81"/>
      <c r="DJ713" s="81"/>
      <c r="DK713" s="81"/>
      <c r="DL713" s="81"/>
      <c r="DM713" s="81"/>
      <c r="DN713" s="81"/>
      <c r="DO713" s="81"/>
      <c r="DP713" s="81"/>
      <c r="DQ713" s="81"/>
      <c r="DR713" s="81"/>
      <c r="DS713" s="81"/>
      <c r="DT713" s="81"/>
      <c r="DU713" s="81"/>
      <c r="DV713" s="81"/>
      <c r="DW713" s="121"/>
    </row>
    <row r="714" spans="1:127" x14ac:dyDescent="0.25">
      <c r="A714" s="2">
        <f>COUNTIF($D$2:D714,'Reporte de Nomina'!$E$2)</f>
        <v>0</v>
      </c>
      <c r="B714" s="125">
        <f>Lista!A713</f>
        <v>0</v>
      </c>
      <c r="C714" s="125">
        <f>Lista!B713</f>
        <v>0</v>
      </c>
      <c r="D714" s="125">
        <f>Lista!C713</f>
        <v>0</v>
      </c>
      <c r="E714" s="125">
        <f>Lista!D713</f>
        <v>0</v>
      </c>
      <c r="F714" s="125">
        <f>Lista!E713</f>
        <v>0</v>
      </c>
      <c r="G714" s="125">
        <f>Lista!F713</f>
        <v>0</v>
      </c>
      <c r="H714" s="125">
        <f>Lista!G713</f>
        <v>0</v>
      </c>
      <c r="I714" s="125">
        <f>Lista!H713</f>
        <v>0</v>
      </c>
      <c r="J714" s="125">
        <f>Lista!I713</f>
        <v>0</v>
      </c>
      <c r="K714" s="125">
        <f>Lista!J713</f>
        <v>0</v>
      </c>
      <c r="L714" s="125">
        <f>Lista!K713</f>
        <v>0</v>
      </c>
      <c r="M714" s="125">
        <f>Lista!L713</f>
        <v>0</v>
      </c>
      <c r="N714" s="125">
        <f>Lista!M713</f>
        <v>0</v>
      </c>
      <c r="O714" s="125">
        <f>Lista!N713</f>
        <v>0</v>
      </c>
      <c r="P714" s="125">
        <f>Lista!O713</f>
        <v>0</v>
      </c>
      <c r="Q714" s="125">
        <f>Lista!P713</f>
        <v>0</v>
      </c>
      <c r="R714" s="125">
        <f>Lista!Q713</f>
        <v>0</v>
      </c>
      <c r="S714" s="125">
        <f>Lista!R713</f>
        <v>0</v>
      </c>
      <c r="T714" s="81"/>
      <c r="U714" s="81"/>
      <c r="V714" s="81"/>
      <c r="W714" s="81"/>
      <c r="X714" s="81"/>
      <c r="Y714" s="81"/>
      <c r="Z714" s="81"/>
      <c r="AA714" s="81"/>
      <c r="AB714" s="81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  <c r="BS714" s="81"/>
      <c r="BT714" s="81"/>
      <c r="BU714" s="81"/>
      <c r="BV714" s="81"/>
      <c r="BW714" s="81"/>
      <c r="BX714" s="81"/>
      <c r="BY714" s="81"/>
      <c r="BZ714" s="81"/>
      <c r="CA714" s="81"/>
      <c r="CB714" s="81"/>
      <c r="CC714" s="81"/>
      <c r="CD714" s="81"/>
      <c r="CE714" s="81"/>
      <c r="CF714" s="81"/>
      <c r="CG714" s="81"/>
      <c r="CH714" s="81"/>
      <c r="CI714" s="81"/>
      <c r="CJ714" s="81"/>
      <c r="CK714" s="81"/>
      <c r="CL714" s="81"/>
      <c r="CM714" s="81"/>
      <c r="CN714" s="81"/>
      <c r="CO714" s="81"/>
      <c r="CP714" s="81"/>
      <c r="CQ714" s="81"/>
      <c r="CR714" s="81"/>
      <c r="CS714" s="81"/>
      <c r="CT714" s="81"/>
      <c r="CU714" s="81"/>
      <c r="CV714" s="81"/>
      <c r="CW714" s="81"/>
      <c r="CX714" s="81"/>
      <c r="CY714" s="81"/>
      <c r="CZ714" s="81"/>
      <c r="DA714" s="81"/>
      <c r="DB714" s="81"/>
      <c r="DC714" s="81"/>
      <c r="DD714" s="81"/>
      <c r="DE714" s="81"/>
      <c r="DF714" s="81"/>
      <c r="DG714" s="81"/>
      <c r="DH714" s="81"/>
      <c r="DI714" s="81"/>
      <c r="DJ714" s="81"/>
      <c r="DK714" s="81"/>
      <c r="DL714" s="81"/>
      <c r="DM714" s="81"/>
      <c r="DN714" s="81"/>
      <c r="DO714" s="81"/>
      <c r="DP714" s="81"/>
      <c r="DQ714" s="81"/>
      <c r="DR714" s="81"/>
      <c r="DS714" s="81"/>
      <c r="DT714" s="81"/>
      <c r="DU714" s="81"/>
      <c r="DV714" s="81"/>
      <c r="DW714" s="121"/>
    </row>
    <row r="715" spans="1:127" x14ac:dyDescent="0.25">
      <c r="A715" s="2">
        <f>COUNTIF($D$2:D715,'Reporte de Nomina'!$E$2)</f>
        <v>0</v>
      </c>
      <c r="B715" s="125">
        <f>Lista!A714</f>
        <v>0</v>
      </c>
      <c r="C715" s="125">
        <f>Lista!B714</f>
        <v>0</v>
      </c>
      <c r="D715" s="125">
        <f>Lista!C714</f>
        <v>0</v>
      </c>
      <c r="E715" s="125">
        <f>Lista!D714</f>
        <v>0</v>
      </c>
      <c r="F715" s="125">
        <f>Lista!E714</f>
        <v>0</v>
      </c>
      <c r="G715" s="125">
        <f>Lista!F714</f>
        <v>0</v>
      </c>
      <c r="H715" s="125">
        <f>Lista!G714</f>
        <v>0</v>
      </c>
      <c r="I715" s="125">
        <f>Lista!H714</f>
        <v>0</v>
      </c>
      <c r="J715" s="125">
        <f>Lista!I714</f>
        <v>0</v>
      </c>
      <c r="K715" s="125">
        <f>Lista!J714</f>
        <v>0</v>
      </c>
      <c r="L715" s="125">
        <f>Lista!K714</f>
        <v>0</v>
      </c>
      <c r="M715" s="125">
        <f>Lista!L714</f>
        <v>0</v>
      </c>
      <c r="N715" s="125">
        <f>Lista!M714</f>
        <v>0</v>
      </c>
      <c r="O715" s="125">
        <f>Lista!N714</f>
        <v>0</v>
      </c>
      <c r="P715" s="125">
        <f>Lista!O714</f>
        <v>0</v>
      </c>
      <c r="Q715" s="125">
        <f>Lista!P714</f>
        <v>0</v>
      </c>
      <c r="R715" s="125">
        <f>Lista!Q714</f>
        <v>0</v>
      </c>
      <c r="S715" s="125">
        <f>Lista!R714</f>
        <v>0</v>
      </c>
      <c r="T715" s="81"/>
      <c r="U715" s="81"/>
      <c r="V715" s="81"/>
      <c r="W715" s="81"/>
      <c r="X715" s="81"/>
      <c r="Y715" s="81"/>
      <c r="Z715" s="81"/>
      <c r="AA715" s="81"/>
      <c r="AB715" s="81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  <c r="BS715" s="81"/>
      <c r="BT715" s="81"/>
      <c r="BU715" s="81"/>
      <c r="BV715" s="81"/>
      <c r="BW715" s="81"/>
      <c r="BX715" s="81"/>
      <c r="BY715" s="81"/>
      <c r="BZ715" s="81"/>
      <c r="CA715" s="81"/>
      <c r="CB715" s="81"/>
      <c r="CC715" s="81"/>
      <c r="CD715" s="81"/>
      <c r="CE715" s="81"/>
      <c r="CF715" s="81"/>
      <c r="CG715" s="81"/>
      <c r="CH715" s="81"/>
      <c r="CI715" s="81"/>
      <c r="CJ715" s="81"/>
      <c r="CK715" s="81"/>
      <c r="CL715" s="81"/>
      <c r="CM715" s="81"/>
      <c r="CN715" s="81"/>
      <c r="CO715" s="81"/>
      <c r="CP715" s="81"/>
      <c r="CQ715" s="81"/>
      <c r="CR715" s="81"/>
      <c r="CS715" s="81"/>
      <c r="CT715" s="81"/>
      <c r="CU715" s="81"/>
      <c r="CV715" s="81"/>
      <c r="CW715" s="81"/>
      <c r="CX715" s="81"/>
      <c r="CY715" s="81"/>
      <c r="CZ715" s="81"/>
      <c r="DA715" s="81"/>
      <c r="DB715" s="81"/>
      <c r="DC715" s="81"/>
      <c r="DD715" s="81"/>
      <c r="DE715" s="81"/>
      <c r="DF715" s="81"/>
      <c r="DG715" s="81"/>
      <c r="DH715" s="81"/>
      <c r="DI715" s="81"/>
      <c r="DJ715" s="81"/>
      <c r="DK715" s="81"/>
      <c r="DL715" s="81"/>
      <c r="DM715" s="81"/>
      <c r="DN715" s="81"/>
      <c r="DO715" s="81"/>
      <c r="DP715" s="81"/>
      <c r="DQ715" s="81"/>
      <c r="DR715" s="81"/>
      <c r="DS715" s="81"/>
      <c r="DT715" s="81"/>
      <c r="DU715" s="81"/>
      <c r="DV715" s="81"/>
      <c r="DW715" s="121"/>
    </row>
    <row r="716" spans="1:127" x14ac:dyDescent="0.25">
      <c r="A716" s="2">
        <f>COUNTIF($D$2:D716,'Reporte de Nomina'!$E$2)</f>
        <v>0</v>
      </c>
      <c r="B716" s="125">
        <f>Lista!A715</f>
        <v>0</v>
      </c>
      <c r="C716" s="125">
        <f>Lista!B715</f>
        <v>0</v>
      </c>
      <c r="D716" s="125">
        <f>Lista!C715</f>
        <v>0</v>
      </c>
      <c r="E716" s="125">
        <f>Lista!D715</f>
        <v>0</v>
      </c>
      <c r="F716" s="125">
        <f>Lista!E715</f>
        <v>0</v>
      </c>
      <c r="G716" s="125">
        <f>Lista!F715</f>
        <v>0</v>
      </c>
      <c r="H716" s="125">
        <f>Lista!G715</f>
        <v>0</v>
      </c>
      <c r="I716" s="125">
        <f>Lista!H715</f>
        <v>0</v>
      </c>
      <c r="J716" s="125">
        <f>Lista!I715</f>
        <v>0</v>
      </c>
      <c r="K716" s="125">
        <f>Lista!J715</f>
        <v>0</v>
      </c>
      <c r="L716" s="125">
        <f>Lista!K715</f>
        <v>0</v>
      </c>
      <c r="M716" s="125">
        <f>Lista!L715</f>
        <v>0</v>
      </c>
      <c r="N716" s="125">
        <f>Lista!M715</f>
        <v>0</v>
      </c>
      <c r="O716" s="125">
        <f>Lista!N715</f>
        <v>0</v>
      </c>
      <c r="P716" s="125">
        <f>Lista!O715</f>
        <v>0</v>
      </c>
      <c r="Q716" s="125">
        <f>Lista!P715</f>
        <v>0</v>
      </c>
      <c r="R716" s="125">
        <f>Lista!Q715</f>
        <v>0</v>
      </c>
      <c r="S716" s="125">
        <f>Lista!R715</f>
        <v>0</v>
      </c>
      <c r="T716" s="81"/>
      <c r="U716" s="81"/>
      <c r="V716" s="81"/>
      <c r="W716" s="81"/>
      <c r="X716" s="81"/>
      <c r="Y716" s="81"/>
      <c r="Z716" s="81"/>
      <c r="AA716" s="81"/>
      <c r="AB716" s="81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  <c r="BS716" s="81"/>
      <c r="BT716" s="81"/>
      <c r="BU716" s="81"/>
      <c r="BV716" s="81"/>
      <c r="BW716" s="81"/>
      <c r="BX716" s="81"/>
      <c r="BY716" s="81"/>
      <c r="BZ716" s="81"/>
      <c r="CA716" s="81"/>
      <c r="CB716" s="81"/>
      <c r="CC716" s="81"/>
      <c r="CD716" s="81"/>
      <c r="CE716" s="81"/>
      <c r="CF716" s="81"/>
      <c r="CG716" s="81"/>
      <c r="CH716" s="81"/>
      <c r="CI716" s="81"/>
      <c r="CJ716" s="81"/>
      <c r="CK716" s="81"/>
      <c r="CL716" s="81"/>
      <c r="CM716" s="81"/>
      <c r="CN716" s="81"/>
      <c r="CO716" s="81"/>
      <c r="CP716" s="81"/>
      <c r="CQ716" s="81"/>
      <c r="CR716" s="81"/>
      <c r="CS716" s="81"/>
      <c r="CT716" s="81"/>
      <c r="CU716" s="81"/>
      <c r="CV716" s="81"/>
      <c r="CW716" s="81"/>
      <c r="CX716" s="81"/>
      <c r="CY716" s="81"/>
      <c r="CZ716" s="81"/>
      <c r="DA716" s="81"/>
      <c r="DB716" s="81"/>
      <c r="DC716" s="81"/>
      <c r="DD716" s="81"/>
      <c r="DE716" s="81"/>
      <c r="DF716" s="81"/>
      <c r="DG716" s="81"/>
      <c r="DH716" s="81"/>
      <c r="DI716" s="81"/>
      <c r="DJ716" s="81"/>
      <c r="DK716" s="81"/>
      <c r="DL716" s="81"/>
      <c r="DM716" s="81"/>
      <c r="DN716" s="81"/>
      <c r="DO716" s="81"/>
      <c r="DP716" s="81"/>
      <c r="DQ716" s="81"/>
      <c r="DR716" s="81"/>
      <c r="DS716" s="81"/>
      <c r="DT716" s="81"/>
      <c r="DU716" s="81"/>
      <c r="DV716" s="81"/>
      <c r="DW716" s="121"/>
    </row>
    <row r="717" spans="1:127" x14ac:dyDescent="0.25">
      <c r="A717" s="2">
        <f>COUNTIF($D$2:D717,'Reporte de Nomina'!$E$2)</f>
        <v>0</v>
      </c>
      <c r="B717" s="125">
        <f>Lista!A716</f>
        <v>0</v>
      </c>
      <c r="C717" s="125">
        <f>Lista!B716</f>
        <v>0</v>
      </c>
      <c r="D717" s="125">
        <f>Lista!C716</f>
        <v>0</v>
      </c>
      <c r="E717" s="125">
        <f>Lista!D716</f>
        <v>0</v>
      </c>
      <c r="F717" s="125">
        <f>Lista!E716</f>
        <v>0</v>
      </c>
      <c r="G717" s="125">
        <f>Lista!F716</f>
        <v>0</v>
      </c>
      <c r="H717" s="125">
        <f>Lista!G716</f>
        <v>0</v>
      </c>
      <c r="I717" s="125">
        <f>Lista!H716</f>
        <v>0</v>
      </c>
      <c r="J717" s="125">
        <f>Lista!I716</f>
        <v>0</v>
      </c>
      <c r="K717" s="125">
        <f>Lista!J716</f>
        <v>0</v>
      </c>
      <c r="L717" s="125">
        <f>Lista!K716</f>
        <v>0</v>
      </c>
      <c r="M717" s="125">
        <f>Lista!L716</f>
        <v>0</v>
      </c>
      <c r="N717" s="125">
        <f>Lista!M716</f>
        <v>0</v>
      </c>
      <c r="O717" s="125">
        <f>Lista!N716</f>
        <v>0</v>
      </c>
      <c r="P717" s="125">
        <f>Lista!O716</f>
        <v>0</v>
      </c>
      <c r="Q717" s="125">
        <f>Lista!P716</f>
        <v>0</v>
      </c>
      <c r="R717" s="125">
        <f>Lista!Q716</f>
        <v>0</v>
      </c>
      <c r="S717" s="125">
        <f>Lista!R716</f>
        <v>0</v>
      </c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  <c r="BS717" s="81"/>
      <c r="BT717" s="81"/>
      <c r="BU717" s="81"/>
      <c r="BV717" s="81"/>
      <c r="BW717" s="81"/>
      <c r="BX717" s="81"/>
      <c r="BY717" s="81"/>
      <c r="BZ717" s="81"/>
      <c r="CA717" s="81"/>
      <c r="CB717" s="81"/>
      <c r="CC717" s="81"/>
      <c r="CD717" s="81"/>
      <c r="CE717" s="81"/>
      <c r="CF717" s="81"/>
      <c r="CG717" s="81"/>
      <c r="CH717" s="81"/>
      <c r="CI717" s="81"/>
      <c r="CJ717" s="81"/>
      <c r="CK717" s="81"/>
      <c r="CL717" s="81"/>
      <c r="CM717" s="81"/>
      <c r="CN717" s="81"/>
      <c r="CO717" s="81"/>
      <c r="CP717" s="81"/>
      <c r="CQ717" s="81"/>
      <c r="CR717" s="81"/>
      <c r="CS717" s="81"/>
      <c r="CT717" s="81"/>
      <c r="CU717" s="81"/>
      <c r="CV717" s="81"/>
      <c r="CW717" s="81"/>
      <c r="CX717" s="81"/>
      <c r="CY717" s="81"/>
      <c r="CZ717" s="81"/>
      <c r="DA717" s="81"/>
      <c r="DB717" s="81"/>
      <c r="DC717" s="81"/>
      <c r="DD717" s="81"/>
      <c r="DE717" s="81"/>
      <c r="DF717" s="81"/>
      <c r="DG717" s="81"/>
      <c r="DH717" s="81"/>
      <c r="DI717" s="81"/>
      <c r="DJ717" s="81"/>
      <c r="DK717" s="81"/>
      <c r="DL717" s="81"/>
      <c r="DM717" s="81"/>
      <c r="DN717" s="81"/>
      <c r="DO717" s="81"/>
      <c r="DP717" s="81"/>
      <c r="DQ717" s="81"/>
      <c r="DR717" s="81"/>
      <c r="DS717" s="81"/>
      <c r="DT717" s="81"/>
      <c r="DU717" s="81"/>
      <c r="DV717" s="81"/>
      <c r="DW717" s="121"/>
    </row>
    <row r="718" spans="1:127" x14ac:dyDescent="0.25">
      <c r="A718" s="2">
        <f>COUNTIF($D$2:D718,'Reporte de Nomina'!$E$2)</f>
        <v>0</v>
      </c>
      <c r="B718" s="125">
        <f>Lista!A717</f>
        <v>0</v>
      </c>
      <c r="C718" s="125">
        <f>Lista!B717</f>
        <v>0</v>
      </c>
      <c r="D718" s="125">
        <f>Lista!C717</f>
        <v>0</v>
      </c>
      <c r="E718" s="125">
        <f>Lista!D717</f>
        <v>0</v>
      </c>
      <c r="F718" s="125">
        <f>Lista!E717</f>
        <v>0</v>
      </c>
      <c r="G718" s="125">
        <f>Lista!F717</f>
        <v>0</v>
      </c>
      <c r="H718" s="125">
        <f>Lista!G717</f>
        <v>0</v>
      </c>
      <c r="I718" s="125">
        <f>Lista!H717</f>
        <v>0</v>
      </c>
      <c r="J718" s="125">
        <f>Lista!I717</f>
        <v>0</v>
      </c>
      <c r="K718" s="125">
        <f>Lista!J717</f>
        <v>0</v>
      </c>
      <c r="L718" s="125">
        <f>Lista!K717</f>
        <v>0</v>
      </c>
      <c r="M718" s="125">
        <f>Lista!L717</f>
        <v>0</v>
      </c>
      <c r="N718" s="125">
        <f>Lista!M717</f>
        <v>0</v>
      </c>
      <c r="O718" s="125">
        <f>Lista!N717</f>
        <v>0</v>
      </c>
      <c r="P718" s="125">
        <f>Lista!O717</f>
        <v>0</v>
      </c>
      <c r="Q718" s="125">
        <f>Lista!P717</f>
        <v>0</v>
      </c>
      <c r="R718" s="125">
        <f>Lista!Q717</f>
        <v>0</v>
      </c>
      <c r="S718" s="125">
        <f>Lista!R717</f>
        <v>0</v>
      </c>
      <c r="T718" s="81"/>
      <c r="U718" s="81"/>
      <c r="V718" s="81"/>
      <c r="W718" s="81"/>
      <c r="X718" s="81"/>
      <c r="Y718" s="81"/>
      <c r="Z718" s="81"/>
      <c r="AA718" s="81"/>
      <c r="AB718" s="81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  <c r="BS718" s="81"/>
      <c r="BT718" s="81"/>
      <c r="BU718" s="81"/>
      <c r="BV718" s="81"/>
      <c r="BW718" s="81"/>
      <c r="BX718" s="81"/>
      <c r="BY718" s="81"/>
      <c r="BZ718" s="81"/>
      <c r="CA718" s="81"/>
      <c r="CB718" s="81"/>
      <c r="CC718" s="81"/>
      <c r="CD718" s="81"/>
      <c r="CE718" s="81"/>
      <c r="CF718" s="81"/>
      <c r="CG718" s="81"/>
      <c r="CH718" s="81"/>
      <c r="CI718" s="81"/>
      <c r="CJ718" s="81"/>
      <c r="CK718" s="81"/>
      <c r="CL718" s="81"/>
      <c r="CM718" s="81"/>
      <c r="CN718" s="81"/>
      <c r="CO718" s="81"/>
      <c r="CP718" s="81"/>
      <c r="CQ718" s="81"/>
      <c r="CR718" s="81"/>
      <c r="CS718" s="81"/>
      <c r="CT718" s="81"/>
      <c r="CU718" s="81"/>
      <c r="CV718" s="81"/>
      <c r="CW718" s="81"/>
      <c r="CX718" s="81"/>
      <c r="CY718" s="81"/>
      <c r="CZ718" s="81"/>
      <c r="DA718" s="81"/>
      <c r="DB718" s="81"/>
      <c r="DC718" s="81"/>
      <c r="DD718" s="81"/>
      <c r="DE718" s="81"/>
      <c r="DF718" s="81"/>
      <c r="DG718" s="81"/>
      <c r="DH718" s="81"/>
      <c r="DI718" s="81"/>
      <c r="DJ718" s="81"/>
      <c r="DK718" s="81"/>
      <c r="DL718" s="81"/>
      <c r="DM718" s="81"/>
      <c r="DN718" s="81"/>
      <c r="DO718" s="81"/>
      <c r="DP718" s="81"/>
      <c r="DQ718" s="81"/>
      <c r="DR718" s="81"/>
      <c r="DS718" s="81"/>
      <c r="DT718" s="81"/>
      <c r="DU718" s="81"/>
      <c r="DV718" s="81"/>
      <c r="DW718" s="121"/>
    </row>
    <row r="719" spans="1:127" x14ac:dyDescent="0.25">
      <c r="A719" s="2">
        <f>COUNTIF($D$2:D719,'Reporte de Nomina'!$E$2)</f>
        <v>0</v>
      </c>
      <c r="B719" s="125">
        <f>Lista!A718</f>
        <v>0</v>
      </c>
      <c r="C719" s="125">
        <f>Lista!B718</f>
        <v>0</v>
      </c>
      <c r="D719" s="125">
        <f>Lista!C718</f>
        <v>0</v>
      </c>
      <c r="E719" s="125">
        <f>Lista!D718</f>
        <v>0</v>
      </c>
      <c r="F719" s="125">
        <f>Lista!E718</f>
        <v>0</v>
      </c>
      <c r="G719" s="125">
        <f>Lista!F718</f>
        <v>0</v>
      </c>
      <c r="H719" s="125">
        <f>Lista!G718</f>
        <v>0</v>
      </c>
      <c r="I719" s="125">
        <f>Lista!H718</f>
        <v>0</v>
      </c>
      <c r="J719" s="125">
        <f>Lista!I718</f>
        <v>0</v>
      </c>
      <c r="K719" s="125">
        <f>Lista!J718</f>
        <v>0</v>
      </c>
      <c r="L719" s="125">
        <f>Lista!K718</f>
        <v>0</v>
      </c>
      <c r="M719" s="125">
        <f>Lista!L718</f>
        <v>0</v>
      </c>
      <c r="N719" s="125">
        <f>Lista!M718</f>
        <v>0</v>
      </c>
      <c r="O719" s="125">
        <f>Lista!N718</f>
        <v>0</v>
      </c>
      <c r="P719" s="125">
        <f>Lista!O718</f>
        <v>0</v>
      </c>
      <c r="Q719" s="125">
        <f>Lista!P718</f>
        <v>0</v>
      </c>
      <c r="R719" s="125">
        <f>Lista!Q718</f>
        <v>0</v>
      </c>
      <c r="S719" s="125">
        <f>Lista!R718</f>
        <v>0</v>
      </c>
      <c r="T719" s="81"/>
      <c r="U719" s="81"/>
      <c r="V719" s="81"/>
      <c r="W719" s="81"/>
      <c r="X719" s="81"/>
      <c r="Y719" s="81"/>
      <c r="Z719" s="81"/>
      <c r="AA719" s="81"/>
      <c r="AB719" s="81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  <c r="BS719" s="81"/>
      <c r="BT719" s="81"/>
      <c r="BU719" s="81"/>
      <c r="BV719" s="81"/>
      <c r="BW719" s="81"/>
      <c r="BX719" s="81"/>
      <c r="BY719" s="81"/>
      <c r="BZ719" s="81"/>
      <c r="CA719" s="81"/>
      <c r="CB719" s="81"/>
      <c r="CC719" s="81"/>
      <c r="CD719" s="81"/>
      <c r="CE719" s="81"/>
      <c r="CF719" s="81"/>
      <c r="CG719" s="81"/>
      <c r="CH719" s="81"/>
      <c r="CI719" s="81"/>
      <c r="CJ719" s="81"/>
      <c r="CK719" s="81"/>
      <c r="CL719" s="81"/>
      <c r="CM719" s="81"/>
      <c r="CN719" s="81"/>
      <c r="CO719" s="81"/>
      <c r="CP719" s="81"/>
      <c r="CQ719" s="81"/>
      <c r="CR719" s="81"/>
      <c r="CS719" s="81"/>
      <c r="CT719" s="81"/>
      <c r="CU719" s="81"/>
      <c r="CV719" s="81"/>
      <c r="CW719" s="81"/>
      <c r="CX719" s="81"/>
      <c r="CY719" s="81"/>
      <c r="CZ719" s="81"/>
      <c r="DA719" s="81"/>
      <c r="DB719" s="81"/>
      <c r="DC719" s="81"/>
      <c r="DD719" s="81"/>
      <c r="DE719" s="81"/>
      <c r="DF719" s="81"/>
      <c r="DG719" s="81"/>
      <c r="DH719" s="81"/>
      <c r="DI719" s="81"/>
      <c r="DJ719" s="81"/>
      <c r="DK719" s="81"/>
      <c r="DL719" s="81"/>
      <c r="DM719" s="81"/>
      <c r="DN719" s="81"/>
      <c r="DO719" s="81"/>
      <c r="DP719" s="81"/>
      <c r="DQ719" s="81"/>
      <c r="DR719" s="81"/>
      <c r="DS719" s="81"/>
      <c r="DT719" s="81"/>
      <c r="DU719" s="81"/>
      <c r="DV719" s="81"/>
      <c r="DW719" s="121"/>
    </row>
    <row r="720" spans="1:127" x14ac:dyDescent="0.25">
      <c r="A720" s="2">
        <f>COUNTIF($D$2:D720,'Reporte de Nomina'!$E$2)</f>
        <v>0</v>
      </c>
      <c r="B720" s="125">
        <f>Lista!A719</f>
        <v>0</v>
      </c>
      <c r="C720" s="125">
        <f>Lista!B719</f>
        <v>0</v>
      </c>
      <c r="D720" s="125">
        <f>Lista!C719</f>
        <v>0</v>
      </c>
      <c r="E720" s="125">
        <f>Lista!D719</f>
        <v>0</v>
      </c>
      <c r="F720" s="125">
        <f>Lista!E719</f>
        <v>0</v>
      </c>
      <c r="G720" s="125">
        <f>Lista!F719</f>
        <v>0</v>
      </c>
      <c r="H720" s="125">
        <f>Lista!G719</f>
        <v>0</v>
      </c>
      <c r="I720" s="125">
        <f>Lista!H719</f>
        <v>0</v>
      </c>
      <c r="J720" s="125">
        <f>Lista!I719</f>
        <v>0</v>
      </c>
      <c r="K720" s="125">
        <f>Lista!J719</f>
        <v>0</v>
      </c>
      <c r="L720" s="125">
        <f>Lista!K719</f>
        <v>0</v>
      </c>
      <c r="M720" s="125">
        <f>Lista!L719</f>
        <v>0</v>
      </c>
      <c r="N720" s="125">
        <f>Lista!M719</f>
        <v>0</v>
      </c>
      <c r="O720" s="125">
        <f>Lista!N719</f>
        <v>0</v>
      </c>
      <c r="P720" s="125">
        <f>Lista!O719</f>
        <v>0</v>
      </c>
      <c r="Q720" s="125">
        <f>Lista!P719</f>
        <v>0</v>
      </c>
      <c r="R720" s="125">
        <f>Lista!Q719</f>
        <v>0</v>
      </c>
      <c r="S720" s="125">
        <f>Lista!R719</f>
        <v>0</v>
      </c>
      <c r="T720" s="81"/>
      <c r="U720" s="81"/>
      <c r="V720" s="81"/>
      <c r="W720" s="81"/>
      <c r="X720" s="81"/>
      <c r="Y720" s="81"/>
      <c r="Z720" s="81"/>
      <c r="AA720" s="81"/>
      <c r="AB720" s="81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  <c r="BS720" s="81"/>
      <c r="BT720" s="81"/>
      <c r="BU720" s="81"/>
      <c r="BV720" s="81"/>
      <c r="BW720" s="81"/>
      <c r="BX720" s="81"/>
      <c r="BY720" s="81"/>
      <c r="BZ720" s="81"/>
      <c r="CA720" s="81"/>
      <c r="CB720" s="81"/>
      <c r="CC720" s="81"/>
      <c r="CD720" s="81"/>
      <c r="CE720" s="81"/>
      <c r="CF720" s="81"/>
      <c r="CG720" s="81"/>
      <c r="CH720" s="81"/>
      <c r="CI720" s="81"/>
      <c r="CJ720" s="81"/>
      <c r="CK720" s="81"/>
      <c r="CL720" s="81"/>
      <c r="CM720" s="81"/>
      <c r="CN720" s="81"/>
      <c r="CO720" s="81"/>
      <c r="CP720" s="81"/>
      <c r="CQ720" s="81"/>
      <c r="CR720" s="81"/>
      <c r="CS720" s="81"/>
      <c r="CT720" s="81"/>
      <c r="CU720" s="81"/>
      <c r="CV720" s="81"/>
      <c r="CW720" s="81"/>
      <c r="CX720" s="81"/>
      <c r="CY720" s="81"/>
      <c r="CZ720" s="81"/>
      <c r="DA720" s="81"/>
      <c r="DB720" s="81"/>
      <c r="DC720" s="81"/>
      <c r="DD720" s="81"/>
      <c r="DE720" s="81"/>
      <c r="DF720" s="81"/>
      <c r="DG720" s="81"/>
      <c r="DH720" s="81"/>
      <c r="DI720" s="81"/>
      <c r="DJ720" s="81"/>
      <c r="DK720" s="81"/>
      <c r="DL720" s="81"/>
      <c r="DM720" s="81"/>
      <c r="DN720" s="81"/>
      <c r="DO720" s="81"/>
      <c r="DP720" s="81"/>
      <c r="DQ720" s="81"/>
      <c r="DR720" s="81"/>
      <c r="DS720" s="81"/>
      <c r="DT720" s="81"/>
      <c r="DU720" s="81"/>
      <c r="DV720" s="81"/>
      <c r="DW720" s="121"/>
    </row>
    <row r="721" spans="1:127" x14ac:dyDescent="0.25">
      <c r="A721" s="2">
        <f>COUNTIF($D$2:D721,'Reporte de Nomina'!$E$2)</f>
        <v>0</v>
      </c>
      <c r="B721" s="125">
        <f>Lista!A720</f>
        <v>0</v>
      </c>
      <c r="C721" s="125">
        <f>Lista!B720</f>
        <v>0</v>
      </c>
      <c r="D721" s="125">
        <f>Lista!C720</f>
        <v>0</v>
      </c>
      <c r="E721" s="125">
        <f>Lista!D720</f>
        <v>0</v>
      </c>
      <c r="F721" s="125">
        <f>Lista!E720</f>
        <v>0</v>
      </c>
      <c r="G721" s="125">
        <f>Lista!F720</f>
        <v>0</v>
      </c>
      <c r="H721" s="125">
        <f>Lista!G720</f>
        <v>0</v>
      </c>
      <c r="I721" s="125">
        <f>Lista!H720</f>
        <v>0</v>
      </c>
      <c r="J721" s="125">
        <f>Lista!I720</f>
        <v>0</v>
      </c>
      <c r="K721" s="125">
        <f>Lista!J720</f>
        <v>0</v>
      </c>
      <c r="L721" s="125">
        <f>Lista!K720</f>
        <v>0</v>
      </c>
      <c r="M721" s="125">
        <f>Lista!L720</f>
        <v>0</v>
      </c>
      <c r="N721" s="125">
        <f>Lista!M720</f>
        <v>0</v>
      </c>
      <c r="O721" s="125">
        <f>Lista!N720</f>
        <v>0</v>
      </c>
      <c r="P721" s="125">
        <f>Lista!O720</f>
        <v>0</v>
      </c>
      <c r="Q721" s="125">
        <f>Lista!P720</f>
        <v>0</v>
      </c>
      <c r="R721" s="125">
        <f>Lista!Q720</f>
        <v>0</v>
      </c>
      <c r="S721" s="125">
        <f>Lista!R720</f>
        <v>0</v>
      </c>
      <c r="T721" s="81"/>
      <c r="U721" s="81"/>
      <c r="V721" s="81"/>
      <c r="W721" s="81"/>
      <c r="X721" s="81"/>
      <c r="Y721" s="81"/>
      <c r="Z721" s="81"/>
      <c r="AA721" s="81"/>
      <c r="AB721" s="81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  <c r="BS721" s="81"/>
      <c r="BT721" s="81"/>
      <c r="BU721" s="81"/>
      <c r="BV721" s="81"/>
      <c r="BW721" s="81"/>
      <c r="BX721" s="81"/>
      <c r="BY721" s="81"/>
      <c r="BZ721" s="81"/>
      <c r="CA721" s="81"/>
      <c r="CB721" s="81"/>
      <c r="CC721" s="81"/>
      <c r="CD721" s="81"/>
      <c r="CE721" s="81"/>
      <c r="CF721" s="81"/>
      <c r="CG721" s="81"/>
      <c r="CH721" s="81"/>
      <c r="CI721" s="81"/>
      <c r="CJ721" s="81"/>
      <c r="CK721" s="81"/>
      <c r="CL721" s="81"/>
      <c r="CM721" s="81"/>
      <c r="CN721" s="81"/>
      <c r="CO721" s="81"/>
      <c r="CP721" s="81"/>
      <c r="CQ721" s="81"/>
      <c r="CR721" s="81"/>
      <c r="CS721" s="81"/>
      <c r="CT721" s="81"/>
      <c r="CU721" s="81"/>
      <c r="CV721" s="81"/>
      <c r="CW721" s="81"/>
      <c r="CX721" s="81"/>
      <c r="CY721" s="81"/>
      <c r="CZ721" s="81"/>
      <c r="DA721" s="81"/>
      <c r="DB721" s="81"/>
      <c r="DC721" s="81"/>
      <c r="DD721" s="81"/>
      <c r="DE721" s="81"/>
      <c r="DF721" s="81"/>
      <c r="DG721" s="81"/>
      <c r="DH721" s="81"/>
      <c r="DI721" s="81"/>
      <c r="DJ721" s="81"/>
      <c r="DK721" s="81"/>
      <c r="DL721" s="81"/>
      <c r="DM721" s="81"/>
      <c r="DN721" s="81"/>
      <c r="DO721" s="81"/>
      <c r="DP721" s="81"/>
      <c r="DQ721" s="81"/>
      <c r="DR721" s="81"/>
      <c r="DS721" s="81"/>
      <c r="DT721" s="81"/>
      <c r="DU721" s="81"/>
      <c r="DV721" s="81"/>
      <c r="DW721" s="121"/>
    </row>
    <row r="722" spans="1:127" x14ac:dyDescent="0.25">
      <c r="A722" s="2">
        <f>COUNTIF($D$2:D722,'Reporte de Nomina'!$E$2)</f>
        <v>0</v>
      </c>
      <c r="B722" s="125">
        <f>Lista!A721</f>
        <v>0</v>
      </c>
      <c r="C722" s="125">
        <f>Lista!B721</f>
        <v>0</v>
      </c>
      <c r="D722" s="125">
        <f>Lista!C721</f>
        <v>0</v>
      </c>
      <c r="E722" s="125">
        <f>Lista!D721</f>
        <v>0</v>
      </c>
      <c r="F722" s="125">
        <f>Lista!E721</f>
        <v>0</v>
      </c>
      <c r="G722" s="125">
        <f>Lista!F721</f>
        <v>0</v>
      </c>
      <c r="H722" s="125">
        <f>Lista!G721</f>
        <v>0</v>
      </c>
      <c r="I722" s="125">
        <f>Lista!H721</f>
        <v>0</v>
      </c>
      <c r="J722" s="125">
        <f>Lista!I721</f>
        <v>0</v>
      </c>
      <c r="K722" s="125">
        <f>Lista!J721</f>
        <v>0</v>
      </c>
      <c r="L722" s="125">
        <f>Lista!K721</f>
        <v>0</v>
      </c>
      <c r="M722" s="125">
        <f>Lista!L721</f>
        <v>0</v>
      </c>
      <c r="N722" s="125">
        <f>Lista!M721</f>
        <v>0</v>
      </c>
      <c r="O722" s="125">
        <f>Lista!N721</f>
        <v>0</v>
      </c>
      <c r="P722" s="125">
        <f>Lista!O721</f>
        <v>0</v>
      </c>
      <c r="Q722" s="125">
        <f>Lista!P721</f>
        <v>0</v>
      </c>
      <c r="R722" s="125">
        <f>Lista!Q721</f>
        <v>0</v>
      </c>
      <c r="S722" s="125">
        <f>Lista!R721</f>
        <v>0</v>
      </c>
      <c r="T722" s="81"/>
      <c r="U722" s="81"/>
      <c r="V722" s="81"/>
      <c r="W722" s="81"/>
      <c r="X722" s="81"/>
      <c r="Y722" s="81"/>
      <c r="Z722" s="81"/>
      <c r="AA722" s="81"/>
      <c r="AB722" s="81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  <c r="BS722" s="81"/>
      <c r="BT722" s="81"/>
      <c r="BU722" s="81"/>
      <c r="BV722" s="81"/>
      <c r="BW722" s="81"/>
      <c r="BX722" s="81"/>
      <c r="BY722" s="81"/>
      <c r="BZ722" s="81"/>
      <c r="CA722" s="81"/>
      <c r="CB722" s="81"/>
      <c r="CC722" s="81"/>
      <c r="CD722" s="81"/>
      <c r="CE722" s="81"/>
      <c r="CF722" s="81"/>
      <c r="CG722" s="81"/>
      <c r="CH722" s="81"/>
      <c r="CI722" s="81"/>
      <c r="CJ722" s="81"/>
      <c r="CK722" s="81"/>
      <c r="CL722" s="81"/>
      <c r="CM722" s="81"/>
      <c r="CN722" s="81"/>
      <c r="CO722" s="81"/>
      <c r="CP722" s="81"/>
      <c r="CQ722" s="81"/>
      <c r="CR722" s="81"/>
      <c r="CS722" s="81"/>
      <c r="CT722" s="81"/>
      <c r="CU722" s="81"/>
      <c r="CV722" s="81"/>
      <c r="CW722" s="81"/>
      <c r="CX722" s="81"/>
      <c r="CY722" s="81"/>
      <c r="CZ722" s="81"/>
      <c r="DA722" s="81"/>
      <c r="DB722" s="81"/>
      <c r="DC722" s="81"/>
      <c r="DD722" s="81"/>
      <c r="DE722" s="81"/>
      <c r="DF722" s="81"/>
      <c r="DG722" s="81"/>
      <c r="DH722" s="81"/>
      <c r="DI722" s="81"/>
      <c r="DJ722" s="81"/>
      <c r="DK722" s="81"/>
      <c r="DL722" s="81"/>
      <c r="DM722" s="81"/>
      <c r="DN722" s="81"/>
      <c r="DO722" s="81"/>
      <c r="DP722" s="81"/>
      <c r="DQ722" s="81"/>
      <c r="DR722" s="81"/>
      <c r="DS722" s="81"/>
      <c r="DT722" s="81"/>
      <c r="DU722" s="81"/>
      <c r="DV722" s="81"/>
      <c r="DW722" s="121"/>
    </row>
    <row r="723" spans="1:127" x14ac:dyDescent="0.25">
      <c r="A723" s="2">
        <f>COUNTIF($D$2:D723,'Reporte de Nomina'!$E$2)</f>
        <v>0</v>
      </c>
      <c r="B723" s="125">
        <f>Lista!A722</f>
        <v>0</v>
      </c>
      <c r="C723" s="125">
        <f>Lista!B722</f>
        <v>0</v>
      </c>
      <c r="D723" s="125">
        <f>Lista!C722</f>
        <v>0</v>
      </c>
      <c r="E723" s="125">
        <f>Lista!D722</f>
        <v>0</v>
      </c>
      <c r="F723" s="125">
        <f>Lista!E722</f>
        <v>0</v>
      </c>
      <c r="G723" s="125">
        <f>Lista!F722</f>
        <v>0</v>
      </c>
      <c r="H723" s="125">
        <f>Lista!G722</f>
        <v>0</v>
      </c>
      <c r="I723" s="125">
        <f>Lista!H722</f>
        <v>0</v>
      </c>
      <c r="J723" s="125">
        <f>Lista!I722</f>
        <v>0</v>
      </c>
      <c r="K723" s="125">
        <f>Lista!J722</f>
        <v>0</v>
      </c>
      <c r="L723" s="125">
        <f>Lista!K722</f>
        <v>0</v>
      </c>
      <c r="M723" s="125">
        <f>Lista!L722</f>
        <v>0</v>
      </c>
      <c r="N723" s="125">
        <f>Lista!M722</f>
        <v>0</v>
      </c>
      <c r="O723" s="125">
        <f>Lista!N722</f>
        <v>0</v>
      </c>
      <c r="P723" s="125">
        <f>Lista!O722</f>
        <v>0</v>
      </c>
      <c r="Q723" s="125">
        <f>Lista!P722</f>
        <v>0</v>
      </c>
      <c r="R723" s="125">
        <f>Lista!Q722</f>
        <v>0</v>
      </c>
      <c r="S723" s="125">
        <f>Lista!R722</f>
        <v>0</v>
      </c>
      <c r="T723" s="81"/>
      <c r="U723" s="81"/>
      <c r="V723" s="81"/>
      <c r="W723" s="81"/>
      <c r="X723" s="81"/>
      <c r="Y723" s="81"/>
      <c r="Z723" s="81"/>
      <c r="AA723" s="81"/>
      <c r="AB723" s="81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  <c r="BS723" s="81"/>
      <c r="BT723" s="81"/>
      <c r="BU723" s="81"/>
      <c r="BV723" s="81"/>
      <c r="BW723" s="81"/>
      <c r="BX723" s="81"/>
      <c r="BY723" s="81"/>
      <c r="BZ723" s="81"/>
      <c r="CA723" s="81"/>
      <c r="CB723" s="81"/>
      <c r="CC723" s="81"/>
      <c r="CD723" s="81"/>
      <c r="CE723" s="81"/>
      <c r="CF723" s="81"/>
      <c r="CG723" s="81"/>
      <c r="CH723" s="81"/>
      <c r="CI723" s="81"/>
      <c r="CJ723" s="81"/>
      <c r="CK723" s="81"/>
      <c r="CL723" s="81"/>
      <c r="CM723" s="81"/>
      <c r="CN723" s="81"/>
      <c r="CO723" s="81"/>
      <c r="CP723" s="81"/>
      <c r="CQ723" s="81"/>
      <c r="CR723" s="81"/>
      <c r="CS723" s="81"/>
      <c r="CT723" s="81"/>
      <c r="CU723" s="81"/>
      <c r="CV723" s="81"/>
      <c r="CW723" s="81"/>
      <c r="CX723" s="81"/>
      <c r="CY723" s="81"/>
      <c r="CZ723" s="81"/>
      <c r="DA723" s="81"/>
      <c r="DB723" s="81"/>
      <c r="DC723" s="81"/>
      <c r="DD723" s="81"/>
      <c r="DE723" s="81"/>
      <c r="DF723" s="81"/>
      <c r="DG723" s="81"/>
      <c r="DH723" s="81"/>
      <c r="DI723" s="81"/>
      <c r="DJ723" s="81"/>
      <c r="DK723" s="81"/>
      <c r="DL723" s="81"/>
      <c r="DM723" s="81"/>
      <c r="DN723" s="81"/>
      <c r="DO723" s="81"/>
      <c r="DP723" s="81"/>
      <c r="DQ723" s="81"/>
      <c r="DR723" s="81"/>
      <c r="DS723" s="81"/>
      <c r="DT723" s="81"/>
      <c r="DU723" s="81"/>
      <c r="DV723" s="81"/>
      <c r="DW723" s="121"/>
    </row>
    <row r="724" spans="1:127" x14ac:dyDescent="0.25">
      <c r="A724" s="2">
        <f>COUNTIF($D$2:D724,'Reporte de Nomina'!$E$2)</f>
        <v>0</v>
      </c>
      <c r="B724" s="125">
        <f>Lista!A723</f>
        <v>0</v>
      </c>
      <c r="C724" s="125">
        <f>Lista!B723</f>
        <v>0</v>
      </c>
      <c r="D724" s="125">
        <f>Lista!C723</f>
        <v>0</v>
      </c>
      <c r="E724" s="125">
        <f>Lista!D723</f>
        <v>0</v>
      </c>
      <c r="F724" s="125">
        <f>Lista!E723</f>
        <v>0</v>
      </c>
      <c r="G724" s="125">
        <f>Lista!F723</f>
        <v>0</v>
      </c>
      <c r="H724" s="125">
        <f>Lista!G723</f>
        <v>0</v>
      </c>
      <c r="I724" s="125">
        <f>Lista!H723</f>
        <v>0</v>
      </c>
      <c r="J724" s="125">
        <f>Lista!I723</f>
        <v>0</v>
      </c>
      <c r="K724" s="125">
        <f>Lista!J723</f>
        <v>0</v>
      </c>
      <c r="L724" s="125">
        <f>Lista!K723</f>
        <v>0</v>
      </c>
      <c r="M724" s="125">
        <f>Lista!L723</f>
        <v>0</v>
      </c>
      <c r="N724" s="125">
        <f>Lista!M723</f>
        <v>0</v>
      </c>
      <c r="O724" s="125">
        <f>Lista!N723</f>
        <v>0</v>
      </c>
      <c r="P724" s="125">
        <f>Lista!O723</f>
        <v>0</v>
      </c>
      <c r="Q724" s="125">
        <f>Lista!P723</f>
        <v>0</v>
      </c>
      <c r="R724" s="125">
        <f>Lista!Q723</f>
        <v>0</v>
      </c>
      <c r="S724" s="125">
        <f>Lista!R723</f>
        <v>0</v>
      </c>
      <c r="T724" s="81"/>
      <c r="U724" s="81"/>
      <c r="V724" s="81"/>
      <c r="W724" s="81"/>
      <c r="X724" s="81"/>
      <c r="Y724" s="81"/>
      <c r="Z724" s="81"/>
      <c r="AA724" s="81"/>
      <c r="AB724" s="81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  <c r="BS724" s="81"/>
      <c r="BT724" s="81"/>
      <c r="BU724" s="81"/>
      <c r="BV724" s="81"/>
      <c r="BW724" s="81"/>
      <c r="BX724" s="81"/>
      <c r="BY724" s="81"/>
      <c r="BZ724" s="81"/>
      <c r="CA724" s="81"/>
      <c r="CB724" s="81"/>
      <c r="CC724" s="81"/>
      <c r="CD724" s="81"/>
      <c r="CE724" s="81"/>
      <c r="CF724" s="81"/>
      <c r="CG724" s="81"/>
      <c r="CH724" s="81"/>
      <c r="CI724" s="81"/>
      <c r="CJ724" s="81"/>
      <c r="CK724" s="81"/>
      <c r="CL724" s="81"/>
      <c r="CM724" s="81"/>
      <c r="CN724" s="81"/>
      <c r="CO724" s="81"/>
      <c r="CP724" s="81"/>
      <c r="CQ724" s="81"/>
      <c r="CR724" s="81"/>
      <c r="CS724" s="81"/>
      <c r="CT724" s="81"/>
      <c r="CU724" s="81"/>
      <c r="CV724" s="81"/>
      <c r="CW724" s="81"/>
      <c r="CX724" s="81"/>
      <c r="CY724" s="81"/>
      <c r="CZ724" s="81"/>
      <c r="DA724" s="81"/>
      <c r="DB724" s="81"/>
      <c r="DC724" s="81"/>
      <c r="DD724" s="81"/>
      <c r="DE724" s="81"/>
      <c r="DF724" s="81"/>
      <c r="DG724" s="81"/>
      <c r="DH724" s="81"/>
      <c r="DI724" s="81"/>
      <c r="DJ724" s="81"/>
      <c r="DK724" s="81"/>
      <c r="DL724" s="81"/>
      <c r="DM724" s="81"/>
      <c r="DN724" s="81"/>
      <c r="DO724" s="81"/>
      <c r="DP724" s="81"/>
      <c r="DQ724" s="81"/>
      <c r="DR724" s="81"/>
      <c r="DS724" s="81"/>
      <c r="DT724" s="81"/>
      <c r="DU724" s="81"/>
      <c r="DV724" s="81"/>
      <c r="DW724" s="121"/>
    </row>
    <row r="725" spans="1:127" x14ac:dyDescent="0.25">
      <c r="A725" s="2">
        <f>COUNTIF($D$2:D725,'Reporte de Nomina'!$E$2)</f>
        <v>0</v>
      </c>
      <c r="B725" s="125">
        <f>Lista!A724</f>
        <v>0</v>
      </c>
      <c r="C725" s="125">
        <f>Lista!B724</f>
        <v>0</v>
      </c>
      <c r="D725" s="125">
        <f>Lista!C724</f>
        <v>0</v>
      </c>
      <c r="E725" s="125">
        <f>Lista!D724</f>
        <v>0</v>
      </c>
      <c r="F725" s="125">
        <f>Lista!E724</f>
        <v>0</v>
      </c>
      <c r="G725" s="125">
        <f>Lista!F724</f>
        <v>0</v>
      </c>
      <c r="H725" s="125">
        <f>Lista!G724</f>
        <v>0</v>
      </c>
      <c r="I725" s="125">
        <f>Lista!H724</f>
        <v>0</v>
      </c>
      <c r="J725" s="125">
        <f>Lista!I724</f>
        <v>0</v>
      </c>
      <c r="K725" s="125">
        <f>Lista!J724</f>
        <v>0</v>
      </c>
      <c r="L725" s="125">
        <f>Lista!K724</f>
        <v>0</v>
      </c>
      <c r="M725" s="125">
        <f>Lista!L724</f>
        <v>0</v>
      </c>
      <c r="N725" s="125">
        <f>Lista!M724</f>
        <v>0</v>
      </c>
      <c r="O725" s="125">
        <f>Lista!N724</f>
        <v>0</v>
      </c>
      <c r="P725" s="125">
        <f>Lista!O724</f>
        <v>0</v>
      </c>
      <c r="Q725" s="125">
        <f>Lista!P724</f>
        <v>0</v>
      </c>
      <c r="R725" s="125">
        <f>Lista!Q724</f>
        <v>0</v>
      </c>
      <c r="S725" s="125">
        <f>Lista!R724</f>
        <v>0</v>
      </c>
      <c r="T725" s="81"/>
      <c r="U725" s="81"/>
      <c r="V725" s="81"/>
      <c r="W725" s="81"/>
      <c r="X725" s="81"/>
      <c r="Y725" s="81"/>
      <c r="Z725" s="81"/>
      <c r="AA725" s="81"/>
      <c r="AB725" s="81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  <c r="BS725" s="81"/>
      <c r="BT725" s="81"/>
      <c r="BU725" s="81"/>
      <c r="BV725" s="81"/>
      <c r="BW725" s="81"/>
      <c r="BX725" s="81"/>
      <c r="BY725" s="81"/>
      <c r="BZ725" s="81"/>
      <c r="CA725" s="81"/>
      <c r="CB725" s="81"/>
      <c r="CC725" s="81"/>
      <c r="CD725" s="81"/>
      <c r="CE725" s="81"/>
      <c r="CF725" s="81"/>
      <c r="CG725" s="81"/>
      <c r="CH725" s="81"/>
      <c r="CI725" s="81"/>
      <c r="CJ725" s="81"/>
      <c r="CK725" s="81"/>
      <c r="CL725" s="81"/>
      <c r="CM725" s="81"/>
      <c r="CN725" s="81"/>
      <c r="CO725" s="81"/>
      <c r="CP725" s="81"/>
      <c r="CQ725" s="81"/>
      <c r="CR725" s="81"/>
      <c r="CS725" s="81"/>
      <c r="CT725" s="81"/>
      <c r="CU725" s="81"/>
      <c r="CV725" s="81"/>
      <c r="CW725" s="81"/>
      <c r="CX725" s="81"/>
      <c r="CY725" s="81"/>
      <c r="CZ725" s="81"/>
      <c r="DA725" s="81"/>
      <c r="DB725" s="81"/>
      <c r="DC725" s="81"/>
      <c r="DD725" s="81"/>
      <c r="DE725" s="81"/>
      <c r="DF725" s="81"/>
      <c r="DG725" s="81"/>
      <c r="DH725" s="81"/>
      <c r="DI725" s="81"/>
      <c r="DJ725" s="81"/>
      <c r="DK725" s="81"/>
      <c r="DL725" s="81"/>
      <c r="DM725" s="81"/>
      <c r="DN725" s="81"/>
      <c r="DO725" s="81"/>
      <c r="DP725" s="81"/>
      <c r="DQ725" s="81"/>
      <c r="DR725" s="81"/>
      <c r="DS725" s="81"/>
      <c r="DT725" s="81"/>
      <c r="DU725" s="81"/>
      <c r="DV725" s="81"/>
      <c r="DW725" s="121"/>
    </row>
    <row r="726" spans="1:127" x14ac:dyDescent="0.25">
      <c r="A726" s="2">
        <f>COUNTIF($D$2:D726,'Reporte de Nomina'!$E$2)</f>
        <v>0</v>
      </c>
      <c r="B726" s="125">
        <f>Lista!A725</f>
        <v>0</v>
      </c>
      <c r="C726" s="125">
        <f>Lista!B725</f>
        <v>0</v>
      </c>
      <c r="D726" s="125">
        <f>Lista!C725</f>
        <v>0</v>
      </c>
      <c r="E726" s="125">
        <f>Lista!D725</f>
        <v>0</v>
      </c>
      <c r="F726" s="125">
        <f>Lista!E725</f>
        <v>0</v>
      </c>
      <c r="G726" s="125">
        <f>Lista!F725</f>
        <v>0</v>
      </c>
      <c r="H726" s="125">
        <f>Lista!G725</f>
        <v>0</v>
      </c>
      <c r="I726" s="125">
        <f>Lista!H725</f>
        <v>0</v>
      </c>
      <c r="J726" s="125">
        <f>Lista!I725</f>
        <v>0</v>
      </c>
      <c r="K726" s="125">
        <f>Lista!J725</f>
        <v>0</v>
      </c>
      <c r="L726" s="125">
        <f>Lista!K725</f>
        <v>0</v>
      </c>
      <c r="M726" s="125">
        <f>Lista!L725</f>
        <v>0</v>
      </c>
      <c r="N726" s="125">
        <f>Lista!M725</f>
        <v>0</v>
      </c>
      <c r="O726" s="125">
        <f>Lista!N725</f>
        <v>0</v>
      </c>
      <c r="P726" s="125">
        <f>Lista!O725</f>
        <v>0</v>
      </c>
      <c r="Q726" s="125">
        <f>Lista!P725</f>
        <v>0</v>
      </c>
      <c r="R726" s="125">
        <f>Lista!Q725</f>
        <v>0</v>
      </c>
      <c r="S726" s="125">
        <f>Lista!R725</f>
        <v>0</v>
      </c>
      <c r="T726" s="81"/>
      <c r="U726" s="81"/>
      <c r="V726" s="81"/>
      <c r="W726" s="81"/>
      <c r="X726" s="81"/>
      <c r="Y726" s="81"/>
      <c r="Z726" s="81"/>
      <c r="AA726" s="81"/>
      <c r="AB726" s="81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  <c r="BS726" s="81"/>
      <c r="BT726" s="81"/>
      <c r="BU726" s="81"/>
      <c r="BV726" s="81"/>
      <c r="BW726" s="81"/>
      <c r="BX726" s="81"/>
      <c r="BY726" s="81"/>
      <c r="BZ726" s="81"/>
      <c r="CA726" s="81"/>
      <c r="CB726" s="81"/>
      <c r="CC726" s="81"/>
      <c r="CD726" s="81"/>
      <c r="CE726" s="81"/>
      <c r="CF726" s="81"/>
      <c r="CG726" s="81"/>
      <c r="CH726" s="81"/>
      <c r="CI726" s="81"/>
      <c r="CJ726" s="81"/>
      <c r="CK726" s="81"/>
      <c r="CL726" s="81"/>
      <c r="CM726" s="81"/>
      <c r="CN726" s="81"/>
      <c r="CO726" s="81"/>
      <c r="CP726" s="81"/>
      <c r="CQ726" s="81"/>
      <c r="CR726" s="81"/>
      <c r="CS726" s="81"/>
      <c r="CT726" s="81"/>
      <c r="CU726" s="81"/>
      <c r="CV726" s="81"/>
      <c r="CW726" s="81"/>
      <c r="CX726" s="81"/>
      <c r="CY726" s="81"/>
      <c r="CZ726" s="81"/>
      <c r="DA726" s="81"/>
      <c r="DB726" s="81"/>
      <c r="DC726" s="81"/>
      <c r="DD726" s="81"/>
      <c r="DE726" s="81"/>
      <c r="DF726" s="81"/>
      <c r="DG726" s="81"/>
      <c r="DH726" s="81"/>
      <c r="DI726" s="81"/>
      <c r="DJ726" s="81"/>
      <c r="DK726" s="81"/>
      <c r="DL726" s="81"/>
      <c r="DM726" s="81"/>
      <c r="DN726" s="81"/>
      <c r="DO726" s="81"/>
      <c r="DP726" s="81"/>
      <c r="DQ726" s="81"/>
      <c r="DR726" s="81"/>
      <c r="DS726" s="81"/>
      <c r="DT726" s="81"/>
      <c r="DU726" s="81"/>
      <c r="DV726" s="81"/>
      <c r="DW726" s="121"/>
    </row>
    <row r="727" spans="1:127" x14ac:dyDescent="0.25">
      <c r="A727" s="2">
        <f>COUNTIF($D$2:D727,'Reporte de Nomina'!$E$2)</f>
        <v>0</v>
      </c>
      <c r="B727" s="125">
        <f>Lista!A726</f>
        <v>0</v>
      </c>
      <c r="C727" s="125">
        <f>Lista!B726</f>
        <v>0</v>
      </c>
      <c r="D727" s="125">
        <f>Lista!C726</f>
        <v>0</v>
      </c>
      <c r="E727" s="125">
        <f>Lista!D726</f>
        <v>0</v>
      </c>
      <c r="F727" s="125">
        <f>Lista!E726</f>
        <v>0</v>
      </c>
      <c r="G727" s="125">
        <f>Lista!F726</f>
        <v>0</v>
      </c>
      <c r="H727" s="125">
        <f>Lista!G726</f>
        <v>0</v>
      </c>
      <c r="I727" s="125">
        <f>Lista!H726</f>
        <v>0</v>
      </c>
      <c r="J727" s="125">
        <f>Lista!I726</f>
        <v>0</v>
      </c>
      <c r="K727" s="125">
        <f>Lista!J726</f>
        <v>0</v>
      </c>
      <c r="L727" s="125">
        <f>Lista!K726</f>
        <v>0</v>
      </c>
      <c r="M727" s="125">
        <f>Lista!L726</f>
        <v>0</v>
      </c>
      <c r="N727" s="125">
        <f>Lista!M726</f>
        <v>0</v>
      </c>
      <c r="O727" s="125">
        <f>Lista!N726</f>
        <v>0</v>
      </c>
      <c r="P727" s="125">
        <f>Lista!O726</f>
        <v>0</v>
      </c>
      <c r="Q727" s="125">
        <f>Lista!P726</f>
        <v>0</v>
      </c>
      <c r="R727" s="125">
        <f>Lista!Q726</f>
        <v>0</v>
      </c>
      <c r="S727" s="125">
        <f>Lista!R726</f>
        <v>0</v>
      </c>
      <c r="T727" s="81"/>
      <c r="U727" s="81"/>
      <c r="V727" s="81"/>
      <c r="W727" s="81"/>
      <c r="X727" s="81"/>
      <c r="Y727" s="81"/>
      <c r="Z727" s="81"/>
      <c r="AA727" s="81"/>
      <c r="AB727" s="81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  <c r="BS727" s="81"/>
      <c r="BT727" s="81"/>
      <c r="BU727" s="81"/>
      <c r="BV727" s="81"/>
      <c r="BW727" s="81"/>
      <c r="BX727" s="81"/>
      <c r="BY727" s="81"/>
      <c r="BZ727" s="81"/>
      <c r="CA727" s="81"/>
      <c r="CB727" s="81"/>
      <c r="CC727" s="81"/>
      <c r="CD727" s="81"/>
      <c r="CE727" s="81"/>
      <c r="CF727" s="81"/>
      <c r="CG727" s="81"/>
      <c r="CH727" s="81"/>
      <c r="CI727" s="81"/>
      <c r="CJ727" s="81"/>
      <c r="CK727" s="81"/>
      <c r="CL727" s="81"/>
      <c r="CM727" s="81"/>
      <c r="CN727" s="81"/>
      <c r="CO727" s="81"/>
      <c r="CP727" s="81"/>
      <c r="CQ727" s="81"/>
      <c r="CR727" s="81"/>
      <c r="CS727" s="81"/>
      <c r="CT727" s="81"/>
      <c r="CU727" s="81"/>
      <c r="CV727" s="81"/>
      <c r="CW727" s="81"/>
      <c r="CX727" s="81"/>
      <c r="CY727" s="81"/>
      <c r="CZ727" s="81"/>
      <c r="DA727" s="81"/>
      <c r="DB727" s="81"/>
      <c r="DC727" s="81"/>
      <c r="DD727" s="81"/>
      <c r="DE727" s="81"/>
      <c r="DF727" s="81"/>
      <c r="DG727" s="81"/>
      <c r="DH727" s="81"/>
      <c r="DI727" s="81"/>
      <c r="DJ727" s="81"/>
      <c r="DK727" s="81"/>
      <c r="DL727" s="81"/>
      <c r="DM727" s="81"/>
      <c r="DN727" s="81"/>
      <c r="DO727" s="81"/>
      <c r="DP727" s="81"/>
      <c r="DQ727" s="81"/>
      <c r="DR727" s="81"/>
      <c r="DS727" s="81"/>
      <c r="DT727" s="81"/>
      <c r="DU727" s="81"/>
      <c r="DV727" s="81"/>
      <c r="DW727" s="121"/>
    </row>
    <row r="728" spans="1:127" x14ac:dyDescent="0.25">
      <c r="A728" s="2">
        <f>COUNTIF($D$2:D728,'Reporte de Nomina'!$E$2)</f>
        <v>0</v>
      </c>
      <c r="B728" s="125">
        <f>Lista!A727</f>
        <v>0</v>
      </c>
      <c r="C728" s="125">
        <f>Lista!B727</f>
        <v>0</v>
      </c>
      <c r="D728" s="125">
        <f>Lista!C727</f>
        <v>0</v>
      </c>
      <c r="E728" s="125">
        <f>Lista!D727</f>
        <v>0</v>
      </c>
      <c r="F728" s="125">
        <f>Lista!E727</f>
        <v>0</v>
      </c>
      <c r="G728" s="125">
        <f>Lista!F727</f>
        <v>0</v>
      </c>
      <c r="H728" s="125">
        <f>Lista!G727</f>
        <v>0</v>
      </c>
      <c r="I728" s="125">
        <f>Lista!H727</f>
        <v>0</v>
      </c>
      <c r="J728" s="125">
        <f>Lista!I727</f>
        <v>0</v>
      </c>
      <c r="K728" s="125">
        <f>Lista!J727</f>
        <v>0</v>
      </c>
      <c r="L728" s="125">
        <f>Lista!K727</f>
        <v>0</v>
      </c>
      <c r="M728" s="125">
        <f>Lista!L727</f>
        <v>0</v>
      </c>
      <c r="N728" s="125">
        <f>Lista!M727</f>
        <v>0</v>
      </c>
      <c r="O728" s="125">
        <f>Lista!N727</f>
        <v>0</v>
      </c>
      <c r="P728" s="125">
        <f>Lista!O727</f>
        <v>0</v>
      </c>
      <c r="Q728" s="125">
        <f>Lista!P727</f>
        <v>0</v>
      </c>
      <c r="R728" s="125">
        <f>Lista!Q727</f>
        <v>0</v>
      </c>
      <c r="S728" s="125">
        <f>Lista!R727</f>
        <v>0</v>
      </c>
      <c r="T728" s="81"/>
      <c r="U728" s="81"/>
      <c r="V728" s="81"/>
      <c r="W728" s="81"/>
      <c r="X728" s="81"/>
      <c r="Y728" s="81"/>
      <c r="Z728" s="81"/>
      <c r="AA728" s="81"/>
      <c r="AB728" s="81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  <c r="BS728" s="81"/>
      <c r="BT728" s="81"/>
      <c r="BU728" s="81"/>
      <c r="BV728" s="81"/>
      <c r="BW728" s="81"/>
      <c r="BX728" s="81"/>
      <c r="BY728" s="81"/>
      <c r="BZ728" s="81"/>
      <c r="CA728" s="81"/>
      <c r="CB728" s="81"/>
      <c r="CC728" s="81"/>
      <c r="CD728" s="81"/>
      <c r="CE728" s="81"/>
      <c r="CF728" s="81"/>
      <c r="CG728" s="81"/>
      <c r="CH728" s="81"/>
      <c r="CI728" s="81"/>
      <c r="CJ728" s="81"/>
      <c r="CK728" s="81"/>
      <c r="CL728" s="81"/>
      <c r="CM728" s="81"/>
      <c r="CN728" s="81"/>
      <c r="CO728" s="81"/>
      <c r="CP728" s="81"/>
      <c r="CQ728" s="81"/>
      <c r="CR728" s="81"/>
      <c r="CS728" s="81"/>
      <c r="CT728" s="81"/>
      <c r="CU728" s="81"/>
      <c r="CV728" s="81"/>
      <c r="CW728" s="81"/>
      <c r="CX728" s="81"/>
      <c r="CY728" s="81"/>
      <c r="CZ728" s="81"/>
      <c r="DA728" s="81"/>
      <c r="DB728" s="81"/>
      <c r="DC728" s="81"/>
      <c r="DD728" s="81"/>
      <c r="DE728" s="81"/>
      <c r="DF728" s="81"/>
      <c r="DG728" s="81"/>
      <c r="DH728" s="81"/>
      <c r="DI728" s="81"/>
      <c r="DJ728" s="81"/>
      <c r="DK728" s="81"/>
      <c r="DL728" s="81"/>
      <c r="DM728" s="81"/>
      <c r="DN728" s="81"/>
      <c r="DO728" s="81"/>
      <c r="DP728" s="81"/>
      <c r="DQ728" s="81"/>
      <c r="DR728" s="81"/>
      <c r="DS728" s="81"/>
      <c r="DT728" s="81"/>
      <c r="DU728" s="81"/>
      <c r="DV728" s="81"/>
      <c r="DW728" s="121"/>
    </row>
    <row r="729" spans="1:127" x14ac:dyDescent="0.25">
      <c r="A729" s="2">
        <f>COUNTIF($D$2:D729,'Reporte de Nomina'!$E$2)</f>
        <v>0</v>
      </c>
      <c r="B729" s="125">
        <f>Lista!A728</f>
        <v>0</v>
      </c>
      <c r="C729" s="125">
        <f>Lista!B728</f>
        <v>0</v>
      </c>
      <c r="D729" s="125">
        <f>Lista!C728</f>
        <v>0</v>
      </c>
      <c r="E729" s="125">
        <f>Lista!D728</f>
        <v>0</v>
      </c>
      <c r="F729" s="125">
        <f>Lista!E728</f>
        <v>0</v>
      </c>
      <c r="G729" s="125">
        <f>Lista!F728</f>
        <v>0</v>
      </c>
      <c r="H729" s="125">
        <f>Lista!G728</f>
        <v>0</v>
      </c>
      <c r="I729" s="125">
        <f>Lista!H728</f>
        <v>0</v>
      </c>
      <c r="J729" s="125">
        <f>Lista!I728</f>
        <v>0</v>
      </c>
      <c r="K729" s="125">
        <f>Lista!J728</f>
        <v>0</v>
      </c>
      <c r="L729" s="125">
        <f>Lista!K728</f>
        <v>0</v>
      </c>
      <c r="M729" s="125">
        <f>Lista!L728</f>
        <v>0</v>
      </c>
      <c r="N729" s="125">
        <f>Lista!M728</f>
        <v>0</v>
      </c>
      <c r="O729" s="125">
        <f>Lista!N728</f>
        <v>0</v>
      </c>
      <c r="P729" s="125">
        <f>Lista!O728</f>
        <v>0</v>
      </c>
      <c r="Q729" s="125">
        <f>Lista!P728</f>
        <v>0</v>
      </c>
      <c r="R729" s="125">
        <f>Lista!Q728</f>
        <v>0</v>
      </c>
      <c r="S729" s="125">
        <f>Lista!R728</f>
        <v>0</v>
      </c>
      <c r="T729" s="81"/>
      <c r="U729" s="81"/>
      <c r="V729" s="81"/>
      <c r="W729" s="81"/>
      <c r="X729" s="81"/>
      <c r="Y729" s="81"/>
      <c r="Z729" s="81"/>
      <c r="AA729" s="81"/>
      <c r="AB729" s="81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  <c r="BS729" s="81"/>
      <c r="BT729" s="81"/>
      <c r="BU729" s="81"/>
      <c r="BV729" s="81"/>
      <c r="BW729" s="81"/>
      <c r="BX729" s="81"/>
      <c r="BY729" s="81"/>
      <c r="BZ729" s="81"/>
      <c r="CA729" s="81"/>
      <c r="CB729" s="81"/>
      <c r="CC729" s="81"/>
      <c r="CD729" s="81"/>
      <c r="CE729" s="81"/>
      <c r="CF729" s="81"/>
      <c r="CG729" s="81"/>
      <c r="CH729" s="81"/>
      <c r="CI729" s="81"/>
      <c r="CJ729" s="81"/>
      <c r="CK729" s="81"/>
      <c r="CL729" s="81"/>
      <c r="CM729" s="81"/>
      <c r="CN729" s="81"/>
      <c r="CO729" s="81"/>
      <c r="CP729" s="81"/>
      <c r="CQ729" s="81"/>
      <c r="CR729" s="81"/>
      <c r="CS729" s="81"/>
      <c r="CT729" s="81"/>
      <c r="CU729" s="81"/>
      <c r="CV729" s="81"/>
      <c r="CW729" s="81"/>
      <c r="CX729" s="81"/>
      <c r="CY729" s="81"/>
      <c r="CZ729" s="81"/>
      <c r="DA729" s="81"/>
      <c r="DB729" s="81"/>
      <c r="DC729" s="81"/>
      <c r="DD729" s="81"/>
      <c r="DE729" s="81"/>
      <c r="DF729" s="81"/>
      <c r="DG729" s="81"/>
      <c r="DH729" s="81"/>
      <c r="DI729" s="81"/>
      <c r="DJ729" s="81"/>
      <c r="DK729" s="81"/>
      <c r="DL729" s="81"/>
      <c r="DM729" s="81"/>
      <c r="DN729" s="81"/>
      <c r="DO729" s="81"/>
      <c r="DP729" s="81"/>
      <c r="DQ729" s="81"/>
      <c r="DR729" s="81"/>
      <c r="DS729" s="81"/>
      <c r="DT729" s="81"/>
      <c r="DU729" s="81"/>
      <c r="DV729" s="81"/>
      <c r="DW729" s="121"/>
    </row>
    <row r="730" spans="1:127" x14ac:dyDescent="0.25">
      <c r="A730" s="2">
        <f>COUNTIF($D$2:D730,'Reporte de Nomina'!$E$2)</f>
        <v>0</v>
      </c>
      <c r="B730" s="125">
        <f>Lista!A729</f>
        <v>0</v>
      </c>
      <c r="C730" s="125">
        <f>Lista!B729</f>
        <v>0</v>
      </c>
      <c r="D730" s="125">
        <f>Lista!C729</f>
        <v>0</v>
      </c>
      <c r="E730" s="125">
        <f>Lista!D729</f>
        <v>0</v>
      </c>
      <c r="F730" s="125">
        <f>Lista!E729</f>
        <v>0</v>
      </c>
      <c r="G730" s="125">
        <f>Lista!F729</f>
        <v>0</v>
      </c>
      <c r="H730" s="125">
        <f>Lista!G729</f>
        <v>0</v>
      </c>
      <c r="I730" s="125">
        <f>Lista!H729</f>
        <v>0</v>
      </c>
      <c r="J730" s="125">
        <f>Lista!I729</f>
        <v>0</v>
      </c>
      <c r="K730" s="125">
        <f>Lista!J729</f>
        <v>0</v>
      </c>
      <c r="L730" s="125">
        <f>Lista!K729</f>
        <v>0</v>
      </c>
      <c r="M730" s="125">
        <f>Lista!L729</f>
        <v>0</v>
      </c>
      <c r="N730" s="125">
        <f>Lista!M729</f>
        <v>0</v>
      </c>
      <c r="O730" s="125">
        <f>Lista!N729</f>
        <v>0</v>
      </c>
      <c r="P730" s="125">
        <f>Lista!O729</f>
        <v>0</v>
      </c>
      <c r="Q730" s="125">
        <f>Lista!P729</f>
        <v>0</v>
      </c>
      <c r="R730" s="125">
        <f>Lista!Q729</f>
        <v>0</v>
      </c>
      <c r="S730" s="125">
        <f>Lista!R729</f>
        <v>0</v>
      </c>
      <c r="T730" s="81"/>
      <c r="U730" s="81"/>
      <c r="V730" s="81"/>
      <c r="W730" s="81"/>
      <c r="X730" s="81"/>
      <c r="Y730" s="81"/>
      <c r="Z730" s="81"/>
      <c r="AA730" s="81"/>
      <c r="AB730" s="81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  <c r="BS730" s="81"/>
      <c r="BT730" s="81"/>
      <c r="BU730" s="81"/>
      <c r="BV730" s="81"/>
      <c r="BW730" s="81"/>
      <c r="BX730" s="81"/>
      <c r="BY730" s="81"/>
      <c r="BZ730" s="81"/>
      <c r="CA730" s="81"/>
      <c r="CB730" s="81"/>
      <c r="CC730" s="81"/>
      <c r="CD730" s="81"/>
      <c r="CE730" s="81"/>
      <c r="CF730" s="81"/>
      <c r="CG730" s="81"/>
      <c r="CH730" s="81"/>
      <c r="CI730" s="81"/>
      <c r="CJ730" s="81"/>
      <c r="CK730" s="81"/>
      <c r="CL730" s="81"/>
      <c r="CM730" s="81"/>
      <c r="CN730" s="81"/>
      <c r="CO730" s="81"/>
      <c r="CP730" s="81"/>
      <c r="CQ730" s="81"/>
      <c r="CR730" s="81"/>
      <c r="CS730" s="81"/>
      <c r="CT730" s="81"/>
      <c r="CU730" s="81"/>
      <c r="CV730" s="81"/>
      <c r="CW730" s="81"/>
      <c r="CX730" s="81"/>
      <c r="CY730" s="81"/>
      <c r="CZ730" s="81"/>
      <c r="DA730" s="81"/>
      <c r="DB730" s="81"/>
      <c r="DC730" s="81"/>
      <c r="DD730" s="81"/>
      <c r="DE730" s="81"/>
      <c r="DF730" s="81"/>
      <c r="DG730" s="81"/>
      <c r="DH730" s="81"/>
      <c r="DI730" s="81"/>
      <c r="DJ730" s="81"/>
      <c r="DK730" s="81"/>
      <c r="DL730" s="81"/>
      <c r="DM730" s="81"/>
      <c r="DN730" s="81"/>
      <c r="DO730" s="81"/>
      <c r="DP730" s="81"/>
      <c r="DQ730" s="81"/>
      <c r="DR730" s="81"/>
      <c r="DS730" s="81"/>
      <c r="DT730" s="81"/>
      <c r="DU730" s="81"/>
      <c r="DV730" s="81"/>
      <c r="DW730" s="121"/>
    </row>
    <row r="731" spans="1:127" x14ac:dyDescent="0.25">
      <c r="A731" s="2">
        <f>COUNTIF($D$2:D731,'Reporte de Nomina'!$E$2)</f>
        <v>0</v>
      </c>
      <c r="B731" s="125">
        <f>Lista!A730</f>
        <v>0</v>
      </c>
      <c r="C731" s="125">
        <f>Lista!B730</f>
        <v>0</v>
      </c>
      <c r="D731" s="125">
        <f>Lista!C730</f>
        <v>0</v>
      </c>
      <c r="E731" s="125">
        <f>Lista!D730</f>
        <v>0</v>
      </c>
      <c r="F731" s="125">
        <f>Lista!E730</f>
        <v>0</v>
      </c>
      <c r="G731" s="125">
        <f>Lista!F730</f>
        <v>0</v>
      </c>
      <c r="H731" s="125">
        <f>Lista!G730</f>
        <v>0</v>
      </c>
      <c r="I731" s="125">
        <f>Lista!H730</f>
        <v>0</v>
      </c>
      <c r="J731" s="125">
        <f>Lista!I730</f>
        <v>0</v>
      </c>
      <c r="K731" s="125">
        <f>Lista!J730</f>
        <v>0</v>
      </c>
      <c r="L731" s="125">
        <f>Lista!K730</f>
        <v>0</v>
      </c>
      <c r="M731" s="125">
        <f>Lista!L730</f>
        <v>0</v>
      </c>
      <c r="N731" s="125">
        <f>Lista!M730</f>
        <v>0</v>
      </c>
      <c r="O731" s="125">
        <f>Lista!N730</f>
        <v>0</v>
      </c>
      <c r="P731" s="125">
        <f>Lista!O730</f>
        <v>0</v>
      </c>
      <c r="Q731" s="125">
        <f>Lista!P730</f>
        <v>0</v>
      </c>
      <c r="R731" s="125">
        <f>Lista!Q730</f>
        <v>0</v>
      </c>
      <c r="S731" s="125">
        <f>Lista!R730</f>
        <v>0</v>
      </c>
      <c r="T731" s="81"/>
      <c r="U731" s="81"/>
      <c r="V731" s="81"/>
      <c r="W731" s="81"/>
      <c r="X731" s="81"/>
      <c r="Y731" s="81"/>
      <c r="Z731" s="81"/>
      <c r="AA731" s="81"/>
      <c r="AB731" s="81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  <c r="BS731" s="81"/>
      <c r="BT731" s="81"/>
      <c r="BU731" s="81"/>
      <c r="BV731" s="81"/>
      <c r="BW731" s="81"/>
      <c r="BX731" s="81"/>
      <c r="BY731" s="81"/>
      <c r="BZ731" s="81"/>
      <c r="CA731" s="81"/>
      <c r="CB731" s="81"/>
      <c r="CC731" s="81"/>
      <c r="CD731" s="81"/>
      <c r="CE731" s="81"/>
      <c r="CF731" s="81"/>
      <c r="CG731" s="81"/>
      <c r="CH731" s="81"/>
      <c r="CI731" s="81"/>
      <c r="CJ731" s="81"/>
      <c r="CK731" s="81"/>
      <c r="CL731" s="81"/>
      <c r="CM731" s="81"/>
      <c r="CN731" s="81"/>
      <c r="CO731" s="81"/>
      <c r="CP731" s="81"/>
      <c r="CQ731" s="81"/>
      <c r="CR731" s="81"/>
      <c r="CS731" s="81"/>
      <c r="CT731" s="81"/>
      <c r="CU731" s="81"/>
      <c r="CV731" s="81"/>
      <c r="CW731" s="81"/>
      <c r="CX731" s="81"/>
      <c r="CY731" s="81"/>
      <c r="CZ731" s="81"/>
      <c r="DA731" s="81"/>
      <c r="DB731" s="81"/>
      <c r="DC731" s="81"/>
      <c r="DD731" s="81"/>
      <c r="DE731" s="81"/>
      <c r="DF731" s="81"/>
      <c r="DG731" s="81"/>
      <c r="DH731" s="81"/>
      <c r="DI731" s="81"/>
      <c r="DJ731" s="81"/>
      <c r="DK731" s="81"/>
      <c r="DL731" s="81"/>
      <c r="DM731" s="81"/>
      <c r="DN731" s="81"/>
      <c r="DO731" s="81"/>
      <c r="DP731" s="81"/>
      <c r="DQ731" s="81"/>
      <c r="DR731" s="81"/>
      <c r="DS731" s="81"/>
      <c r="DT731" s="81"/>
      <c r="DU731" s="81"/>
      <c r="DV731" s="81"/>
      <c r="DW731" s="121"/>
    </row>
    <row r="732" spans="1:127" x14ac:dyDescent="0.25">
      <c r="A732" s="2">
        <f>COUNTIF($D$2:D732,'Reporte de Nomina'!$E$2)</f>
        <v>0</v>
      </c>
      <c r="B732" s="125">
        <f>Lista!A731</f>
        <v>0</v>
      </c>
      <c r="C732" s="125">
        <f>Lista!B731</f>
        <v>0</v>
      </c>
      <c r="D732" s="125">
        <f>Lista!C731</f>
        <v>0</v>
      </c>
      <c r="E732" s="125">
        <f>Lista!D731</f>
        <v>0</v>
      </c>
      <c r="F732" s="125">
        <f>Lista!E731</f>
        <v>0</v>
      </c>
      <c r="G732" s="125">
        <f>Lista!F731</f>
        <v>0</v>
      </c>
      <c r="H732" s="125">
        <f>Lista!G731</f>
        <v>0</v>
      </c>
      <c r="I732" s="125">
        <f>Lista!H731</f>
        <v>0</v>
      </c>
      <c r="J732" s="125">
        <f>Lista!I731</f>
        <v>0</v>
      </c>
      <c r="K732" s="125">
        <f>Lista!J731</f>
        <v>0</v>
      </c>
      <c r="L732" s="125">
        <f>Lista!K731</f>
        <v>0</v>
      </c>
      <c r="M732" s="125">
        <f>Lista!L731</f>
        <v>0</v>
      </c>
      <c r="N732" s="125">
        <f>Lista!M731</f>
        <v>0</v>
      </c>
      <c r="O732" s="125">
        <f>Lista!N731</f>
        <v>0</v>
      </c>
      <c r="P732" s="125">
        <f>Lista!O731</f>
        <v>0</v>
      </c>
      <c r="Q732" s="125">
        <f>Lista!P731</f>
        <v>0</v>
      </c>
      <c r="R732" s="125">
        <f>Lista!Q731</f>
        <v>0</v>
      </c>
      <c r="S732" s="125">
        <f>Lista!R731</f>
        <v>0</v>
      </c>
      <c r="T732" s="81"/>
      <c r="U732" s="81"/>
      <c r="V732" s="81"/>
      <c r="W732" s="81"/>
      <c r="X732" s="81"/>
      <c r="Y732" s="81"/>
      <c r="Z732" s="81"/>
      <c r="AA732" s="81"/>
      <c r="AB732" s="81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  <c r="BS732" s="81"/>
      <c r="BT732" s="81"/>
      <c r="BU732" s="81"/>
      <c r="BV732" s="81"/>
      <c r="BW732" s="81"/>
      <c r="BX732" s="81"/>
      <c r="BY732" s="81"/>
      <c r="BZ732" s="81"/>
      <c r="CA732" s="81"/>
      <c r="CB732" s="81"/>
      <c r="CC732" s="81"/>
      <c r="CD732" s="81"/>
      <c r="CE732" s="81"/>
      <c r="CF732" s="81"/>
      <c r="CG732" s="81"/>
      <c r="CH732" s="81"/>
      <c r="CI732" s="81"/>
      <c r="CJ732" s="81"/>
      <c r="CK732" s="81"/>
      <c r="CL732" s="81"/>
      <c r="CM732" s="81"/>
      <c r="CN732" s="81"/>
      <c r="CO732" s="81"/>
      <c r="CP732" s="81"/>
      <c r="CQ732" s="81"/>
      <c r="CR732" s="81"/>
      <c r="CS732" s="81"/>
      <c r="CT732" s="81"/>
      <c r="CU732" s="81"/>
      <c r="CV732" s="81"/>
      <c r="CW732" s="81"/>
      <c r="CX732" s="81"/>
      <c r="CY732" s="81"/>
      <c r="CZ732" s="81"/>
      <c r="DA732" s="81"/>
      <c r="DB732" s="81"/>
      <c r="DC732" s="81"/>
      <c r="DD732" s="81"/>
      <c r="DE732" s="81"/>
      <c r="DF732" s="81"/>
      <c r="DG732" s="81"/>
      <c r="DH732" s="81"/>
      <c r="DI732" s="81"/>
      <c r="DJ732" s="81"/>
      <c r="DK732" s="81"/>
      <c r="DL732" s="81"/>
      <c r="DM732" s="81"/>
      <c r="DN732" s="81"/>
      <c r="DO732" s="81"/>
      <c r="DP732" s="81"/>
      <c r="DQ732" s="81"/>
      <c r="DR732" s="81"/>
      <c r="DS732" s="81"/>
      <c r="DT732" s="81"/>
      <c r="DU732" s="81"/>
      <c r="DV732" s="81"/>
      <c r="DW732" s="121"/>
    </row>
    <row r="733" spans="1:127" x14ac:dyDescent="0.25">
      <c r="A733" s="2">
        <f>COUNTIF($D$2:D733,'Reporte de Nomina'!$E$2)</f>
        <v>0</v>
      </c>
      <c r="B733" s="125">
        <f>Lista!A732</f>
        <v>0</v>
      </c>
      <c r="C733" s="125">
        <f>Lista!B732</f>
        <v>0</v>
      </c>
      <c r="D733" s="125">
        <f>Lista!C732</f>
        <v>0</v>
      </c>
      <c r="E733" s="125">
        <f>Lista!D732</f>
        <v>0</v>
      </c>
      <c r="F733" s="125">
        <f>Lista!E732</f>
        <v>0</v>
      </c>
      <c r="G733" s="125">
        <f>Lista!F732</f>
        <v>0</v>
      </c>
      <c r="H733" s="125">
        <f>Lista!G732</f>
        <v>0</v>
      </c>
      <c r="I733" s="125">
        <f>Lista!H732</f>
        <v>0</v>
      </c>
      <c r="J733" s="125">
        <f>Lista!I732</f>
        <v>0</v>
      </c>
      <c r="K733" s="125">
        <f>Lista!J732</f>
        <v>0</v>
      </c>
      <c r="L733" s="125">
        <f>Lista!K732</f>
        <v>0</v>
      </c>
      <c r="M733" s="125">
        <f>Lista!L732</f>
        <v>0</v>
      </c>
      <c r="N733" s="125">
        <f>Lista!M732</f>
        <v>0</v>
      </c>
      <c r="O733" s="125">
        <f>Lista!N732</f>
        <v>0</v>
      </c>
      <c r="P733" s="125">
        <f>Lista!O732</f>
        <v>0</v>
      </c>
      <c r="Q733" s="125">
        <f>Lista!P732</f>
        <v>0</v>
      </c>
      <c r="R733" s="125">
        <f>Lista!Q732</f>
        <v>0</v>
      </c>
      <c r="S733" s="125">
        <f>Lista!R732</f>
        <v>0</v>
      </c>
      <c r="T733" s="81"/>
      <c r="U733" s="81"/>
      <c r="V733" s="81"/>
      <c r="W733" s="81"/>
      <c r="X733" s="81"/>
      <c r="Y733" s="81"/>
      <c r="Z733" s="81"/>
      <c r="AA733" s="81"/>
      <c r="AB733" s="81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  <c r="BS733" s="81"/>
      <c r="BT733" s="81"/>
      <c r="BU733" s="81"/>
      <c r="BV733" s="81"/>
      <c r="BW733" s="81"/>
      <c r="BX733" s="81"/>
      <c r="BY733" s="81"/>
      <c r="BZ733" s="81"/>
      <c r="CA733" s="81"/>
      <c r="CB733" s="81"/>
      <c r="CC733" s="81"/>
      <c r="CD733" s="81"/>
      <c r="CE733" s="81"/>
      <c r="CF733" s="81"/>
      <c r="CG733" s="81"/>
      <c r="CH733" s="81"/>
      <c r="CI733" s="81"/>
      <c r="CJ733" s="81"/>
      <c r="CK733" s="81"/>
      <c r="CL733" s="81"/>
      <c r="CM733" s="81"/>
      <c r="CN733" s="81"/>
      <c r="CO733" s="81"/>
      <c r="CP733" s="81"/>
      <c r="CQ733" s="81"/>
      <c r="CR733" s="81"/>
      <c r="CS733" s="81"/>
      <c r="CT733" s="81"/>
      <c r="CU733" s="81"/>
      <c r="CV733" s="81"/>
      <c r="CW733" s="81"/>
      <c r="CX733" s="81"/>
      <c r="CY733" s="81"/>
      <c r="CZ733" s="81"/>
      <c r="DA733" s="81"/>
      <c r="DB733" s="81"/>
      <c r="DC733" s="81"/>
      <c r="DD733" s="81"/>
      <c r="DE733" s="81"/>
      <c r="DF733" s="81"/>
      <c r="DG733" s="81"/>
      <c r="DH733" s="81"/>
      <c r="DI733" s="81"/>
      <c r="DJ733" s="81"/>
      <c r="DK733" s="81"/>
      <c r="DL733" s="81"/>
      <c r="DM733" s="81"/>
      <c r="DN733" s="81"/>
      <c r="DO733" s="81"/>
      <c r="DP733" s="81"/>
      <c r="DQ733" s="81"/>
      <c r="DR733" s="81"/>
      <c r="DS733" s="81"/>
      <c r="DT733" s="81"/>
      <c r="DU733" s="81"/>
      <c r="DV733" s="81"/>
      <c r="DW733" s="121"/>
    </row>
    <row r="734" spans="1:127" x14ac:dyDescent="0.25">
      <c r="A734" s="2">
        <f>COUNTIF($D$2:D734,'Reporte de Nomina'!$E$2)</f>
        <v>0</v>
      </c>
      <c r="B734" s="125">
        <f>Lista!A733</f>
        <v>0</v>
      </c>
      <c r="C734" s="125">
        <f>Lista!B733</f>
        <v>0</v>
      </c>
      <c r="D734" s="125">
        <f>Lista!C733</f>
        <v>0</v>
      </c>
      <c r="E734" s="125">
        <f>Lista!D733</f>
        <v>0</v>
      </c>
      <c r="F734" s="125">
        <f>Lista!E733</f>
        <v>0</v>
      </c>
      <c r="G734" s="125">
        <f>Lista!F733</f>
        <v>0</v>
      </c>
      <c r="H734" s="125">
        <f>Lista!G733</f>
        <v>0</v>
      </c>
      <c r="I734" s="125">
        <f>Lista!H733</f>
        <v>0</v>
      </c>
      <c r="J734" s="125">
        <f>Lista!I733</f>
        <v>0</v>
      </c>
      <c r="K734" s="125">
        <f>Lista!J733</f>
        <v>0</v>
      </c>
      <c r="L734" s="125">
        <f>Lista!K733</f>
        <v>0</v>
      </c>
      <c r="M734" s="125">
        <f>Lista!L733</f>
        <v>0</v>
      </c>
      <c r="N734" s="125">
        <f>Lista!M733</f>
        <v>0</v>
      </c>
      <c r="O734" s="125">
        <f>Lista!N733</f>
        <v>0</v>
      </c>
      <c r="P734" s="125">
        <f>Lista!O733</f>
        <v>0</v>
      </c>
      <c r="Q734" s="125">
        <f>Lista!P733</f>
        <v>0</v>
      </c>
      <c r="R734" s="125">
        <f>Lista!Q733</f>
        <v>0</v>
      </c>
      <c r="S734" s="125">
        <f>Lista!R733</f>
        <v>0</v>
      </c>
      <c r="T734" s="81"/>
      <c r="U734" s="81"/>
      <c r="V734" s="81"/>
      <c r="W734" s="81"/>
      <c r="X734" s="81"/>
      <c r="Y734" s="81"/>
      <c r="Z734" s="81"/>
      <c r="AA734" s="81"/>
      <c r="AB734" s="81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  <c r="BS734" s="81"/>
      <c r="BT734" s="81"/>
      <c r="BU734" s="81"/>
      <c r="BV734" s="81"/>
      <c r="BW734" s="81"/>
      <c r="BX734" s="81"/>
      <c r="BY734" s="81"/>
      <c r="BZ734" s="81"/>
      <c r="CA734" s="81"/>
      <c r="CB734" s="81"/>
      <c r="CC734" s="81"/>
      <c r="CD734" s="81"/>
      <c r="CE734" s="81"/>
      <c r="CF734" s="81"/>
      <c r="CG734" s="81"/>
      <c r="CH734" s="81"/>
      <c r="CI734" s="81"/>
      <c r="CJ734" s="81"/>
      <c r="CK734" s="81"/>
      <c r="CL734" s="81"/>
      <c r="CM734" s="81"/>
      <c r="CN734" s="81"/>
      <c r="CO734" s="81"/>
      <c r="CP734" s="81"/>
      <c r="CQ734" s="81"/>
      <c r="CR734" s="81"/>
      <c r="CS734" s="81"/>
      <c r="CT734" s="81"/>
      <c r="CU734" s="81"/>
      <c r="CV734" s="81"/>
      <c r="CW734" s="81"/>
      <c r="CX734" s="81"/>
      <c r="CY734" s="81"/>
      <c r="CZ734" s="81"/>
      <c r="DA734" s="81"/>
      <c r="DB734" s="81"/>
      <c r="DC734" s="81"/>
      <c r="DD734" s="81"/>
      <c r="DE734" s="81"/>
      <c r="DF734" s="81"/>
      <c r="DG734" s="81"/>
      <c r="DH734" s="81"/>
      <c r="DI734" s="81"/>
      <c r="DJ734" s="81"/>
      <c r="DK734" s="81"/>
      <c r="DL734" s="81"/>
      <c r="DM734" s="81"/>
      <c r="DN734" s="81"/>
      <c r="DO734" s="81"/>
      <c r="DP734" s="81"/>
      <c r="DQ734" s="81"/>
      <c r="DR734" s="81"/>
      <c r="DS734" s="81"/>
      <c r="DT734" s="81"/>
      <c r="DU734" s="81"/>
      <c r="DV734" s="81"/>
      <c r="DW734" s="121"/>
    </row>
    <row r="735" spans="1:127" x14ac:dyDescent="0.25">
      <c r="A735" s="2">
        <f>COUNTIF($D$2:D735,'Reporte de Nomina'!$E$2)</f>
        <v>0</v>
      </c>
      <c r="B735" s="125">
        <f>Lista!A734</f>
        <v>0</v>
      </c>
      <c r="C735" s="125">
        <f>Lista!B734</f>
        <v>0</v>
      </c>
      <c r="D735" s="125">
        <f>Lista!C734</f>
        <v>0</v>
      </c>
      <c r="E735" s="125">
        <f>Lista!D734</f>
        <v>0</v>
      </c>
      <c r="F735" s="125">
        <f>Lista!E734</f>
        <v>0</v>
      </c>
      <c r="G735" s="125">
        <f>Lista!F734</f>
        <v>0</v>
      </c>
      <c r="H735" s="125">
        <f>Lista!G734</f>
        <v>0</v>
      </c>
      <c r="I735" s="125">
        <f>Lista!H734</f>
        <v>0</v>
      </c>
      <c r="J735" s="125">
        <f>Lista!I734</f>
        <v>0</v>
      </c>
      <c r="K735" s="125">
        <f>Lista!J734</f>
        <v>0</v>
      </c>
      <c r="L735" s="125">
        <f>Lista!K734</f>
        <v>0</v>
      </c>
      <c r="M735" s="125">
        <f>Lista!L734</f>
        <v>0</v>
      </c>
      <c r="N735" s="125">
        <f>Lista!M734</f>
        <v>0</v>
      </c>
      <c r="O735" s="125">
        <f>Lista!N734</f>
        <v>0</v>
      </c>
      <c r="P735" s="125">
        <f>Lista!O734</f>
        <v>0</v>
      </c>
      <c r="Q735" s="125">
        <f>Lista!P734</f>
        <v>0</v>
      </c>
      <c r="R735" s="125">
        <f>Lista!Q734</f>
        <v>0</v>
      </c>
      <c r="S735" s="125">
        <f>Lista!R734</f>
        <v>0</v>
      </c>
      <c r="T735" s="81"/>
      <c r="U735" s="81"/>
      <c r="V735" s="81"/>
      <c r="W735" s="81"/>
      <c r="X735" s="81"/>
      <c r="Y735" s="81"/>
      <c r="Z735" s="81"/>
      <c r="AA735" s="81"/>
      <c r="AB735" s="81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  <c r="BS735" s="81"/>
      <c r="BT735" s="81"/>
      <c r="BU735" s="81"/>
      <c r="BV735" s="81"/>
      <c r="BW735" s="81"/>
      <c r="BX735" s="81"/>
      <c r="BY735" s="81"/>
      <c r="BZ735" s="81"/>
      <c r="CA735" s="81"/>
      <c r="CB735" s="81"/>
      <c r="CC735" s="81"/>
      <c r="CD735" s="81"/>
      <c r="CE735" s="81"/>
      <c r="CF735" s="81"/>
      <c r="CG735" s="81"/>
      <c r="CH735" s="81"/>
      <c r="CI735" s="81"/>
      <c r="CJ735" s="81"/>
      <c r="CK735" s="81"/>
      <c r="CL735" s="81"/>
      <c r="CM735" s="81"/>
      <c r="CN735" s="81"/>
      <c r="CO735" s="81"/>
      <c r="CP735" s="81"/>
      <c r="CQ735" s="81"/>
      <c r="CR735" s="81"/>
      <c r="CS735" s="81"/>
      <c r="CT735" s="81"/>
      <c r="CU735" s="81"/>
      <c r="CV735" s="81"/>
      <c r="CW735" s="81"/>
      <c r="CX735" s="81"/>
      <c r="CY735" s="81"/>
      <c r="CZ735" s="81"/>
      <c r="DA735" s="81"/>
      <c r="DB735" s="81"/>
      <c r="DC735" s="81"/>
      <c r="DD735" s="81"/>
      <c r="DE735" s="81"/>
      <c r="DF735" s="81"/>
      <c r="DG735" s="81"/>
      <c r="DH735" s="81"/>
      <c r="DI735" s="81"/>
      <c r="DJ735" s="81"/>
      <c r="DK735" s="81"/>
      <c r="DL735" s="81"/>
      <c r="DM735" s="81"/>
      <c r="DN735" s="81"/>
      <c r="DO735" s="81"/>
      <c r="DP735" s="81"/>
      <c r="DQ735" s="81"/>
      <c r="DR735" s="81"/>
      <c r="DS735" s="81"/>
      <c r="DT735" s="81"/>
      <c r="DU735" s="81"/>
      <c r="DV735" s="81"/>
      <c r="DW735" s="121"/>
    </row>
    <row r="736" spans="1:127" x14ac:dyDescent="0.25">
      <c r="A736" s="2">
        <f>COUNTIF($D$2:D736,'Reporte de Nomina'!$E$2)</f>
        <v>0</v>
      </c>
      <c r="B736" s="125">
        <f>Lista!A735</f>
        <v>0</v>
      </c>
      <c r="C736" s="125">
        <f>Lista!B735</f>
        <v>0</v>
      </c>
      <c r="D736" s="125">
        <f>Lista!C735</f>
        <v>0</v>
      </c>
      <c r="E736" s="125">
        <f>Lista!D735</f>
        <v>0</v>
      </c>
      <c r="F736" s="125">
        <f>Lista!E735</f>
        <v>0</v>
      </c>
      <c r="G736" s="125">
        <f>Lista!F735</f>
        <v>0</v>
      </c>
      <c r="H736" s="125">
        <f>Lista!G735</f>
        <v>0</v>
      </c>
      <c r="I736" s="125">
        <f>Lista!H735</f>
        <v>0</v>
      </c>
      <c r="J736" s="125">
        <f>Lista!I735</f>
        <v>0</v>
      </c>
      <c r="K736" s="125">
        <f>Lista!J735</f>
        <v>0</v>
      </c>
      <c r="L736" s="125">
        <f>Lista!K735</f>
        <v>0</v>
      </c>
      <c r="M736" s="125">
        <f>Lista!L735</f>
        <v>0</v>
      </c>
      <c r="N736" s="125">
        <f>Lista!M735</f>
        <v>0</v>
      </c>
      <c r="O736" s="125">
        <f>Lista!N735</f>
        <v>0</v>
      </c>
      <c r="P736" s="125">
        <f>Lista!O735</f>
        <v>0</v>
      </c>
      <c r="Q736" s="125">
        <f>Lista!P735</f>
        <v>0</v>
      </c>
      <c r="R736" s="125">
        <f>Lista!Q735</f>
        <v>0</v>
      </c>
      <c r="S736" s="125">
        <f>Lista!R735</f>
        <v>0</v>
      </c>
      <c r="T736" s="81"/>
      <c r="U736" s="81"/>
      <c r="V736" s="81"/>
      <c r="W736" s="81"/>
      <c r="X736" s="81"/>
      <c r="Y736" s="81"/>
      <c r="Z736" s="81"/>
      <c r="AA736" s="81"/>
      <c r="AB736" s="81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  <c r="BS736" s="81"/>
      <c r="BT736" s="81"/>
      <c r="BU736" s="81"/>
      <c r="BV736" s="81"/>
      <c r="BW736" s="81"/>
      <c r="BX736" s="81"/>
      <c r="BY736" s="81"/>
      <c r="BZ736" s="81"/>
      <c r="CA736" s="81"/>
      <c r="CB736" s="81"/>
      <c r="CC736" s="81"/>
      <c r="CD736" s="81"/>
      <c r="CE736" s="81"/>
      <c r="CF736" s="81"/>
      <c r="CG736" s="81"/>
      <c r="CH736" s="81"/>
      <c r="CI736" s="81"/>
      <c r="CJ736" s="81"/>
      <c r="CK736" s="81"/>
      <c r="CL736" s="81"/>
      <c r="CM736" s="81"/>
      <c r="CN736" s="81"/>
      <c r="CO736" s="81"/>
      <c r="CP736" s="81"/>
      <c r="CQ736" s="81"/>
      <c r="CR736" s="81"/>
      <c r="CS736" s="81"/>
      <c r="CT736" s="81"/>
      <c r="CU736" s="81"/>
      <c r="CV736" s="81"/>
      <c r="CW736" s="81"/>
      <c r="CX736" s="81"/>
      <c r="CY736" s="81"/>
      <c r="CZ736" s="81"/>
      <c r="DA736" s="81"/>
      <c r="DB736" s="81"/>
      <c r="DC736" s="81"/>
      <c r="DD736" s="81"/>
      <c r="DE736" s="81"/>
      <c r="DF736" s="81"/>
      <c r="DG736" s="81"/>
      <c r="DH736" s="81"/>
      <c r="DI736" s="81"/>
      <c r="DJ736" s="81"/>
      <c r="DK736" s="81"/>
      <c r="DL736" s="81"/>
      <c r="DM736" s="81"/>
      <c r="DN736" s="81"/>
      <c r="DO736" s="81"/>
      <c r="DP736" s="81"/>
      <c r="DQ736" s="81"/>
      <c r="DR736" s="81"/>
      <c r="DS736" s="81"/>
      <c r="DT736" s="81"/>
      <c r="DU736" s="81"/>
      <c r="DV736" s="81"/>
      <c r="DW736" s="121"/>
    </row>
    <row r="737" spans="1:127" x14ac:dyDescent="0.25">
      <c r="A737" s="2">
        <f>COUNTIF($D$2:D737,'Reporte de Nomina'!$E$2)</f>
        <v>0</v>
      </c>
      <c r="B737" s="125">
        <f>Lista!A736</f>
        <v>0</v>
      </c>
      <c r="C737" s="125">
        <f>Lista!B736</f>
        <v>0</v>
      </c>
      <c r="D737" s="125">
        <f>Lista!C736</f>
        <v>0</v>
      </c>
      <c r="E737" s="125">
        <f>Lista!D736</f>
        <v>0</v>
      </c>
      <c r="F737" s="125">
        <f>Lista!E736</f>
        <v>0</v>
      </c>
      <c r="G737" s="125">
        <f>Lista!F736</f>
        <v>0</v>
      </c>
      <c r="H737" s="125">
        <f>Lista!G736</f>
        <v>0</v>
      </c>
      <c r="I737" s="125">
        <f>Lista!H736</f>
        <v>0</v>
      </c>
      <c r="J737" s="125">
        <f>Lista!I736</f>
        <v>0</v>
      </c>
      <c r="K737" s="125">
        <f>Lista!J736</f>
        <v>0</v>
      </c>
      <c r="L737" s="125">
        <f>Lista!K736</f>
        <v>0</v>
      </c>
      <c r="M737" s="125">
        <f>Lista!L736</f>
        <v>0</v>
      </c>
      <c r="N737" s="125">
        <f>Lista!M736</f>
        <v>0</v>
      </c>
      <c r="O737" s="125">
        <f>Lista!N736</f>
        <v>0</v>
      </c>
      <c r="P737" s="125">
        <f>Lista!O736</f>
        <v>0</v>
      </c>
      <c r="Q737" s="125">
        <f>Lista!P736</f>
        <v>0</v>
      </c>
      <c r="R737" s="125">
        <f>Lista!Q736</f>
        <v>0</v>
      </c>
      <c r="S737" s="125">
        <f>Lista!R736</f>
        <v>0</v>
      </c>
      <c r="T737" s="81"/>
      <c r="U737" s="81"/>
      <c r="V737" s="81"/>
      <c r="W737" s="81"/>
      <c r="X737" s="81"/>
      <c r="Y737" s="81"/>
      <c r="Z737" s="81"/>
      <c r="AA737" s="81"/>
      <c r="AB737" s="81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  <c r="BS737" s="81"/>
      <c r="BT737" s="81"/>
      <c r="BU737" s="81"/>
      <c r="BV737" s="81"/>
      <c r="BW737" s="81"/>
      <c r="BX737" s="81"/>
      <c r="BY737" s="81"/>
      <c r="BZ737" s="81"/>
      <c r="CA737" s="81"/>
      <c r="CB737" s="81"/>
      <c r="CC737" s="81"/>
      <c r="CD737" s="81"/>
      <c r="CE737" s="81"/>
      <c r="CF737" s="81"/>
      <c r="CG737" s="81"/>
      <c r="CH737" s="81"/>
      <c r="CI737" s="81"/>
      <c r="CJ737" s="81"/>
      <c r="CK737" s="81"/>
      <c r="CL737" s="81"/>
      <c r="CM737" s="81"/>
      <c r="CN737" s="81"/>
      <c r="CO737" s="81"/>
      <c r="CP737" s="81"/>
      <c r="CQ737" s="81"/>
      <c r="CR737" s="81"/>
      <c r="CS737" s="81"/>
      <c r="CT737" s="81"/>
      <c r="CU737" s="81"/>
      <c r="CV737" s="81"/>
      <c r="CW737" s="81"/>
      <c r="CX737" s="81"/>
      <c r="CY737" s="81"/>
      <c r="CZ737" s="81"/>
      <c r="DA737" s="81"/>
      <c r="DB737" s="81"/>
      <c r="DC737" s="81"/>
      <c r="DD737" s="81"/>
      <c r="DE737" s="81"/>
      <c r="DF737" s="81"/>
      <c r="DG737" s="81"/>
      <c r="DH737" s="81"/>
      <c r="DI737" s="81"/>
      <c r="DJ737" s="81"/>
      <c r="DK737" s="81"/>
      <c r="DL737" s="81"/>
      <c r="DM737" s="81"/>
      <c r="DN737" s="81"/>
      <c r="DO737" s="81"/>
      <c r="DP737" s="81"/>
      <c r="DQ737" s="81"/>
      <c r="DR737" s="81"/>
      <c r="DS737" s="81"/>
      <c r="DT737" s="81"/>
      <c r="DU737" s="81"/>
      <c r="DV737" s="81"/>
      <c r="DW737" s="121"/>
    </row>
    <row r="738" spans="1:127" x14ac:dyDescent="0.25">
      <c r="A738" s="2">
        <f>COUNTIF($D$2:D738,'Reporte de Nomina'!$E$2)</f>
        <v>0</v>
      </c>
      <c r="B738" s="125">
        <f>Lista!A737</f>
        <v>0</v>
      </c>
      <c r="C738" s="125">
        <f>Lista!B737</f>
        <v>0</v>
      </c>
      <c r="D738" s="125">
        <f>Lista!C737</f>
        <v>0</v>
      </c>
      <c r="E738" s="125">
        <f>Lista!D737</f>
        <v>0</v>
      </c>
      <c r="F738" s="125">
        <f>Lista!E737</f>
        <v>0</v>
      </c>
      <c r="G738" s="125">
        <f>Lista!F737</f>
        <v>0</v>
      </c>
      <c r="H738" s="125">
        <f>Lista!G737</f>
        <v>0</v>
      </c>
      <c r="I738" s="125">
        <f>Lista!H737</f>
        <v>0</v>
      </c>
      <c r="J738" s="125">
        <f>Lista!I737</f>
        <v>0</v>
      </c>
      <c r="K738" s="125">
        <f>Lista!J737</f>
        <v>0</v>
      </c>
      <c r="L738" s="125">
        <f>Lista!K737</f>
        <v>0</v>
      </c>
      <c r="M738" s="125">
        <f>Lista!L737</f>
        <v>0</v>
      </c>
      <c r="N738" s="125">
        <f>Lista!M737</f>
        <v>0</v>
      </c>
      <c r="O738" s="125">
        <f>Lista!N737</f>
        <v>0</v>
      </c>
      <c r="P738" s="125">
        <f>Lista!O737</f>
        <v>0</v>
      </c>
      <c r="Q738" s="125">
        <f>Lista!P737</f>
        <v>0</v>
      </c>
      <c r="R738" s="125">
        <f>Lista!Q737</f>
        <v>0</v>
      </c>
      <c r="S738" s="125">
        <f>Lista!R737</f>
        <v>0</v>
      </c>
      <c r="T738" s="81"/>
      <c r="U738" s="81"/>
      <c r="V738" s="81"/>
      <c r="W738" s="81"/>
      <c r="X738" s="81"/>
      <c r="Y738" s="81"/>
      <c r="Z738" s="81"/>
      <c r="AA738" s="81"/>
      <c r="AB738" s="81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  <c r="BS738" s="81"/>
      <c r="BT738" s="81"/>
      <c r="BU738" s="81"/>
      <c r="BV738" s="81"/>
      <c r="BW738" s="81"/>
      <c r="BX738" s="81"/>
      <c r="BY738" s="81"/>
      <c r="BZ738" s="81"/>
      <c r="CA738" s="81"/>
      <c r="CB738" s="81"/>
      <c r="CC738" s="81"/>
      <c r="CD738" s="81"/>
      <c r="CE738" s="81"/>
      <c r="CF738" s="81"/>
      <c r="CG738" s="81"/>
      <c r="CH738" s="81"/>
      <c r="CI738" s="81"/>
      <c r="CJ738" s="81"/>
      <c r="CK738" s="81"/>
      <c r="CL738" s="81"/>
      <c r="CM738" s="81"/>
      <c r="CN738" s="81"/>
      <c r="CO738" s="81"/>
      <c r="CP738" s="81"/>
      <c r="CQ738" s="81"/>
      <c r="CR738" s="81"/>
      <c r="CS738" s="81"/>
      <c r="CT738" s="81"/>
      <c r="CU738" s="81"/>
      <c r="CV738" s="81"/>
      <c r="CW738" s="81"/>
      <c r="CX738" s="81"/>
      <c r="CY738" s="81"/>
      <c r="CZ738" s="81"/>
      <c r="DA738" s="81"/>
      <c r="DB738" s="81"/>
      <c r="DC738" s="81"/>
      <c r="DD738" s="81"/>
      <c r="DE738" s="81"/>
      <c r="DF738" s="81"/>
      <c r="DG738" s="81"/>
      <c r="DH738" s="81"/>
      <c r="DI738" s="81"/>
      <c r="DJ738" s="81"/>
      <c r="DK738" s="81"/>
      <c r="DL738" s="81"/>
      <c r="DM738" s="81"/>
      <c r="DN738" s="81"/>
      <c r="DO738" s="81"/>
      <c r="DP738" s="81"/>
      <c r="DQ738" s="81"/>
      <c r="DR738" s="81"/>
      <c r="DS738" s="81"/>
      <c r="DT738" s="81"/>
      <c r="DU738" s="81"/>
      <c r="DV738" s="81"/>
      <c r="DW738" s="121"/>
    </row>
    <row r="739" spans="1:127" x14ac:dyDescent="0.25">
      <c r="A739" s="2">
        <f>COUNTIF($D$2:D739,'Reporte de Nomina'!$E$2)</f>
        <v>0</v>
      </c>
      <c r="B739" s="125">
        <f>Lista!A738</f>
        <v>0</v>
      </c>
      <c r="C739" s="125">
        <f>Lista!B738</f>
        <v>0</v>
      </c>
      <c r="D739" s="125">
        <f>Lista!C738</f>
        <v>0</v>
      </c>
      <c r="E739" s="125">
        <f>Lista!D738</f>
        <v>0</v>
      </c>
      <c r="F739" s="125">
        <f>Lista!E738</f>
        <v>0</v>
      </c>
      <c r="G739" s="125">
        <f>Lista!F738</f>
        <v>0</v>
      </c>
      <c r="H739" s="125">
        <f>Lista!G738</f>
        <v>0</v>
      </c>
      <c r="I739" s="125">
        <f>Lista!H738</f>
        <v>0</v>
      </c>
      <c r="J739" s="125">
        <f>Lista!I738</f>
        <v>0</v>
      </c>
      <c r="K739" s="125">
        <f>Lista!J738</f>
        <v>0</v>
      </c>
      <c r="L739" s="125">
        <f>Lista!K738</f>
        <v>0</v>
      </c>
      <c r="M739" s="125">
        <f>Lista!L738</f>
        <v>0</v>
      </c>
      <c r="N739" s="125">
        <f>Lista!M738</f>
        <v>0</v>
      </c>
      <c r="O739" s="125">
        <f>Lista!N738</f>
        <v>0</v>
      </c>
      <c r="P739" s="125">
        <f>Lista!O738</f>
        <v>0</v>
      </c>
      <c r="Q739" s="125">
        <f>Lista!P738</f>
        <v>0</v>
      </c>
      <c r="R739" s="125">
        <f>Lista!Q738</f>
        <v>0</v>
      </c>
      <c r="S739" s="125">
        <f>Lista!R738</f>
        <v>0</v>
      </c>
      <c r="T739" s="81"/>
      <c r="U739" s="81"/>
      <c r="V739" s="81"/>
      <c r="W739" s="81"/>
      <c r="X739" s="81"/>
      <c r="Y739" s="81"/>
      <c r="Z739" s="81"/>
      <c r="AA739" s="81"/>
      <c r="AB739" s="81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  <c r="BS739" s="81"/>
      <c r="BT739" s="81"/>
      <c r="BU739" s="81"/>
      <c r="BV739" s="81"/>
      <c r="BW739" s="81"/>
      <c r="BX739" s="81"/>
      <c r="BY739" s="81"/>
      <c r="BZ739" s="81"/>
      <c r="CA739" s="81"/>
      <c r="CB739" s="81"/>
      <c r="CC739" s="81"/>
      <c r="CD739" s="81"/>
      <c r="CE739" s="81"/>
      <c r="CF739" s="81"/>
      <c r="CG739" s="81"/>
      <c r="CH739" s="81"/>
      <c r="CI739" s="81"/>
      <c r="CJ739" s="81"/>
      <c r="CK739" s="81"/>
      <c r="CL739" s="81"/>
      <c r="CM739" s="81"/>
      <c r="CN739" s="81"/>
      <c r="CO739" s="81"/>
      <c r="CP739" s="81"/>
      <c r="CQ739" s="81"/>
      <c r="CR739" s="81"/>
      <c r="CS739" s="81"/>
      <c r="CT739" s="81"/>
      <c r="CU739" s="81"/>
      <c r="CV739" s="81"/>
      <c r="CW739" s="81"/>
      <c r="CX739" s="81"/>
      <c r="CY739" s="81"/>
      <c r="CZ739" s="81"/>
      <c r="DA739" s="81"/>
      <c r="DB739" s="81"/>
      <c r="DC739" s="81"/>
      <c r="DD739" s="81"/>
      <c r="DE739" s="81"/>
      <c r="DF739" s="81"/>
      <c r="DG739" s="81"/>
      <c r="DH739" s="81"/>
      <c r="DI739" s="81"/>
      <c r="DJ739" s="81"/>
      <c r="DK739" s="81"/>
      <c r="DL739" s="81"/>
      <c r="DM739" s="81"/>
      <c r="DN739" s="81"/>
      <c r="DO739" s="81"/>
      <c r="DP739" s="81"/>
      <c r="DQ739" s="81"/>
      <c r="DR739" s="81"/>
      <c r="DS739" s="81"/>
      <c r="DT739" s="81"/>
      <c r="DU739" s="81"/>
      <c r="DV739" s="81"/>
      <c r="DW739" s="121"/>
    </row>
    <row r="740" spans="1:127" x14ac:dyDescent="0.25">
      <c r="A740" s="2">
        <f>COUNTIF($D$2:D740,'Reporte de Nomina'!$E$2)</f>
        <v>0</v>
      </c>
      <c r="B740" s="125">
        <f>Lista!A739</f>
        <v>0</v>
      </c>
      <c r="C740" s="125">
        <f>Lista!B739</f>
        <v>0</v>
      </c>
      <c r="D740" s="125">
        <f>Lista!C739</f>
        <v>0</v>
      </c>
      <c r="E740" s="125">
        <f>Lista!D739</f>
        <v>0</v>
      </c>
      <c r="F740" s="125">
        <f>Lista!E739</f>
        <v>0</v>
      </c>
      <c r="G740" s="125">
        <f>Lista!F739</f>
        <v>0</v>
      </c>
      <c r="H740" s="125">
        <f>Lista!G739</f>
        <v>0</v>
      </c>
      <c r="I740" s="125">
        <f>Lista!H739</f>
        <v>0</v>
      </c>
      <c r="J740" s="125">
        <f>Lista!I739</f>
        <v>0</v>
      </c>
      <c r="K740" s="125">
        <f>Lista!J739</f>
        <v>0</v>
      </c>
      <c r="L740" s="125">
        <f>Lista!K739</f>
        <v>0</v>
      </c>
      <c r="M740" s="125">
        <f>Lista!L739</f>
        <v>0</v>
      </c>
      <c r="N740" s="125">
        <f>Lista!M739</f>
        <v>0</v>
      </c>
      <c r="O740" s="125">
        <f>Lista!N739</f>
        <v>0</v>
      </c>
      <c r="P740" s="125">
        <f>Lista!O739</f>
        <v>0</v>
      </c>
      <c r="Q740" s="125">
        <f>Lista!P739</f>
        <v>0</v>
      </c>
      <c r="R740" s="125">
        <f>Lista!Q739</f>
        <v>0</v>
      </c>
      <c r="S740" s="125">
        <f>Lista!R739</f>
        <v>0</v>
      </c>
      <c r="T740" s="81"/>
      <c r="U740" s="81"/>
      <c r="V740" s="81"/>
      <c r="W740" s="81"/>
      <c r="X740" s="81"/>
      <c r="Y740" s="81"/>
      <c r="Z740" s="81"/>
      <c r="AA740" s="81"/>
      <c r="AB740" s="81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  <c r="BS740" s="81"/>
      <c r="BT740" s="81"/>
      <c r="BU740" s="81"/>
      <c r="BV740" s="81"/>
      <c r="BW740" s="81"/>
      <c r="BX740" s="81"/>
      <c r="BY740" s="81"/>
      <c r="BZ740" s="81"/>
      <c r="CA740" s="81"/>
      <c r="CB740" s="81"/>
      <c r="CC740" s="81"/>
      <c r="CD740" s="81"/>
      <c r="CE740" s="81"/>
      <c r="CF740" s="81"/>
      <c r="CG740" s="81"/>
      <c r="CH740" s="81"/>
      <c r="CI740" s="81"/>
      <c r="CJ740" s="81"/>
      <c r="CK740" s="81"/>
      <c r="CL740" s="81"/>
      <c r="CM740" s="81"/>
      <c r="CN740" s="81"/>
      <c r="CO740" s="81"/>
      <c r="CP740" s="81"/>
      <c r="CQ740" s="81"/>
      <c r="CR740" s="81"/>
      <c r="CS740" s="81"/>
      <c r="CT740" s="81"/>
      <c r="CU740" s="81"/>
      <c r="CV740" s="81"/>
      <c r="CW740" s="81"/>
      <c r="CX740" s="81"/>
      <c r="CY740" s="81"/>
      <c r="CZ740" s="81"/>
      <c r="DA740" s="81"/>
      <c r="DB740" s="81"/>
      <c r="DC740" s="81"/>
      <c r="DD740" s="81"/>
      <c r="DE740" s="81"/>
      <c r="DF740" s="81"/>
      <c r="DG740" s="81"/>
      <c r="DH740" s="81"/>
      <c r="DI740" s="81"/>
      <c r="DJ740" s="81"/>
      <c r="DK740" s="81"/>
      <c r="DL740" s="81"/>
      <c r="DM740" s="81"/>
      <c r="DN740" s="81"/>
      <c r="DO740" s="81"/>
      <c r="DP740" s="81"/>
      <c r="DQ740" s="81"/>
      <c r="DR740" s="81"/>
      <c r="DS740" s="81"/>
      <c r="DT740" s="81"/>
      <c r="DU740" s="81"/>
      <c r="DV740" s="81"/>
      <c r="DW740" s="121"/>
    </row>
    <row r="741" spans="1:127" x14ac:dyDescent="0.25">
      <c r="A741" s="2">
        <f>COUNTIF($D$2:D741,'Reporte de Nomina'!$E$2)</f>
        <v>0</v>
      </c>
      <c r="B741" s="125">
        <f>Lista!A740</f>
        <v>0</v>
      </c>
      <c r="C741" s="125">
        <f>Lista!B740</f>
        <v>0</v>
      </c>
      <c r="D741" s="125">
        <f>Lista!C740</f>
        <v>0</v>
      </c>
      <c r="E741" s="125">
        <f>Lista!D740</f>
        <v>0</v>
      </c>
      <c r="F741" s="125">
        <f>Lista!E740</f>
        <v>0</v>
      </c>
      <c r="G741" s="125">
        <f>Lista!F740</f>
        <v>0</v>
      </c>
      <c r="H741" s="125">
        <f>Lista!G740</f>
        <v>0</v>
      </c>
      <c r="I741" s="125">
        <f>Lista!H740</f>
        <v>0</v>
      </c>
      <c r="J741" s="125">
        <f>Lista!I740</f>
        <v>0</v>
      </c>
      <c r="K741" s="125">
        <f>Lista!J740</f>
        <v>0</v>
      </c>
      <c r="L741" s="125">
        <f>Lista!K740</f>
        <v>0</v>
      </c>
      <c r="M741" s="125">
        <f>Lista!L740</f>
        <v>0</v>
      </c>
      <c r="N741" s="125">
        <f>Lista!M740</f>
        <v>0</v>
      </c>
      <c r="O741" s="125">
        <f>Lista!N740</f>
        <v>0</v>
      </c>
      <c r="P741" s="125">
        <f>Lista!O740</f>
        <v>0</v>
      </c>
      <c r="Q741" s="125">
        <f>Lista!P740</f>
        <v>0</v>
      </c>
      <c r="R741" s="125">
        <f>Lista!Q740</f>
        <v>0</v>
      </c>
      <c r="S741" s="125">
        <f>Lista!R740</f>
        <v>0</v>
      </c>
      <c r="T741" s="81"/>
      <c r="U741" s="81"/>
      <c r="V741" s="81"/>
      <c r="W741" s="81"/>
      <c r="X741" s="81"/>
      <c r="Y741" s="81"/>
      <c r="Z741" s="81"/>
      <c r="AA741" s="81"/>
      <c r="AB741" s="81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  <c r="BS741" s="81"/>
      <c r="BT741" s="81"/>
      <c r="BU741" s="81"/>
      <c r="BV741" s="81"/>
      <c r="BW741" s="81"/>
      <c r="BX741" s="81"/>
      <c r="BY741" s="81"/>
      <c r="BZ741" s="81"/>
      <c r="CA741" s="81"/>
      <c r="CB741" s="81"/>
      <c r="CC741" s="81"/>
      <c r="CD741" s="81"/>
      <c r="CE741" s="81"/>
      <c r="CF741" s="81"/>
      <c r="CG741" s="81"/>
      <c r="CH741" s="81"/>
      <c r="CI741" s="81"/>
      <c r="CJ741" s="81"/>
      <c r="CK741" s="81"/>
      <c r="CL741" s="81"/>
      <c r="CM741" s="81"/>
      <c r="CN741" s="81"/>
      <c r="CO741" s="81"/>
      <c r="CP741" s="81"/>
      <c r="CQ741" s="81"/>
      <c r="CR741" s="81"/>
      <c r="CS741" s="81"/>
      <c r="CT741" s="81"/>
      <c r="CU741" s="81"/>
      <c r="CV741" s="81"/>
      <c r="CW741" s="81"/>
      <c r="CX741" s="81"/>
      <c r="CY741" s="81"/>
      <c r="CZ741" s="81"/>
      <c r="DA741" s="81"/>
      <c r="DB741" s="81"/>
      <c r="DC741" s="81"/>
      <c r="DD741" s="81"/>
      <c r="DE741" s="81"/>
      <c r="DF741" s="81"/>
      <c r="DG741" s="81"/>
      <c r="DH741" s="81"/>
      <c r="DI741" s="81"/>
      <c r="DJ741" s="81"/>
      <c r="DK741" s="81"/>
      <c r="DL741" s="81"/>
      <c r="DM741" s="81"/>
      <c r="DN741" s="81"/>
      <c r="DO741" s="81"/>
      <c r="DP741" s="81"/>
      <c r="DQ741" s="81"/>
      <c r="DR741" s="81"/>
      <c r="DS741" s="81"/>
      <c r="DT741" s="81"/>
      <c r="DU741" s="81"/>
      <c r="DV741" s="81"/>
      <c r="DW741" s="121"/>
    </row>
    <row r="742" spans="1:127" x14ac:dyDescent="0.25">
      <c r="A742" s="2">
        <f>COUNTIF($D$2:D742,'Reporte de Nomina'!$E$2)</f>
        <v>0</v>
      </c>
      <c r="B742" s="125">
        <f>Lista!A741</f>
        <v>0</v>
      </c>
      <c r="C742" s="125">
        <f>Lista!B741</f>
        <v>0</v>
      </c>
      <c r="D742" s="125">
        <f>Lista!C741</f>
        <v>0</v>
      </c>
      <c r="E742" s="125">
        <f>Lista!D741</f>
        <v>0</v>
      </c>
      <c r="F742" s="125">
        <f>Lista!E741</f>
        <v>0</v>
      </c>
      <c r="G742" s="125">
        <f>Lista!F741</f>
        <v>0</v>
      </c>
      <c r="H742" s="125">
        <f>Lista!G741</f>
        <v>0</v>
      </c>
      <c r="I742" s="125">
        <f>Lista!H741</f>
        <v>0</v>
      </c>
      <c r="J742" s="125">
        <f>Lista!I741</f>
        <v>0</v>
      </c>
      <c r="K742" s="125">
        <f>Lista!J741</f>
        <v>0</v>
      </c>
      <c r="L742" s="125">
        <f>Lista!K741</f>
        <v>0</v>
      </c>
      <c r="M742" s="125">
        <f>Lista!L741</f>
        <v>0</v>
      </c>
      <c r="N742" s="125">
        <f>Lista!M741</f>
        <v>0</v>
      </c>
      <c r="O742" s="125">
        <f>Lista!N741</f>
        <v>0</v>
      </c>
      <c r="P742" s="125">
        <f>Lista!O741</f>
        <v>0</v>
      </c>
      <c r="Q742" s="125">
        <f>Lista!P741</f>
        <v>0</v>
      </c>
      <c r="R742" s="125">
        <f>Lista!Q741</f>
        <v>0</v>
      </c>
      <c r="S742" s="125">
        <f>Lista!R741</f>
        <v>0</v>
      </c>
      <c r="T742" s="81"/>
      <c r="U742" s="81"/>
      <c r="V742" s="81"/>
      <c r="W742" s="81"/>
      <c r="X742" s="81"/>
      <c r="Y742" s="81"/>
      <c r="Z742" s="81"/>
      <c r="AA742" s="81"/>
      <c r="AB742" s="81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  <c r="BS742" s="81"/>
      <c r="BT742" s="81"/>
      <c r="BU742" s="81"/>
      <c r="BV742" s="81"/>
      <c r="BW742" s="81"/>
      <c r="BX742" s="81"/>
      <c r="BY742" s="81"/>
      <c r="BZ742" s="81"/>
      <c r="CA742" s="81"/>
      <c r="CB742" s="81"/>
      <c r="CC742" s="81"/>
      <c r="CD742" s="81"/>
      <c r="CE742" s="81"/>
      <c r="CF742" s="81"/>
      <c r="CG742" s="81"/>
      <c r="CH742" s="81"/>
      <c r="CI742" s="81"/>
      <c r="CJ742" s="81"/>
      <c r="CK742" s="81"/>
      <c r="CL742" s="81"/>
      <c r="CM742" s="81"/>
      <c r="CN742" s="81"/>
      <c r="CO742" s="81"/>
      <c r="CP742" s="81"/>
      <c r="CQ742" s="81"/>
      <c r="CR742" s="81"/>
      <c r="CS742" s="81"/>
      <c r="CT742" s="81"/>
      <c r="CU742" s="81"/>
      <c r="CV742" s="81"/>
      <c r="CW742" s="81"/>
      <c r="CX742" s="81"/>
      <c r="CY742" s="81"/>
      <c r="CZ742" s="81"/>
      <c r="DA742" s="81"/>
      <c r="DB742" s="81"/>
      <c r="DC742" s="81"/>
      <c r="DD742" s="81"/>
      <c r="DE742" s="81"/>
      <c r="DF742" s="81"/>
      <c r="DG742" s="81"/>
      <c r="DH742" s="81"/>
      <c r="DI742" s="81"/>
      <c r="DJ742" s="81"/>
      <c r="DK742" s="81"/>
      <c r="DL742" s="81"/>
      <c r="DM742" s="81"/>
      <c r="DN742" s="81"/>
      <c r="DO742" s="81"/>
      <c r="DP742" s="81"/>
      <c r="DQ742" s="81"/>
      <c r="DR742" s="81"/>
      <c r="DS742" s="81"/>
      <c r="DT742" s="81"/>
      <c r="DU742" s="81"/>
      <c r="DV742" s="81"/>
      <c r="DW742" s="121"/>
    </row>
    <row r="743" spans="1:127" x14ac:dyDescent="0.25">
      <c r="A743" s="2">
        <f>COUNTIF($D$2:D743,'Reporte de Nomina'!$E$2)</f>
        <v>0</v>
      </c>
      <c r="B743" s="125">
        <f>Lista!A742</f>
        <v>0</v>
      </c>
      <c r="C743" s="125">
        <f>Lista!B742</f>
        <v>0</v>
      </c>
      <c r="D743" s="125">
        <f>Lista!C742</f>
        <v>0</v>
      </c>
      <c r="E743" s="125">
        <f>Lista!D742</f>
        <v>0</v>
      </c>
      <c r="F743" s="125">
        <f>Lista!E742</f>
        <v>0</v>
      </c>
      <c r="G743" s="125">
        <f>Lista!F742</f>
        <v>0</v>
      </c>
      <c r="H743" s="125">
        <f>Lista!G742</f>
        <v>0</v>
      </c>
      <c r="I743" s="125">
        <f>Lista!H742</f>
        <v>0</v>
      </c>
      <c r="J743" s="125">
        <f>Lista!I742</f>
        <v>0</v>
      </c>
      <c r="K743" s="125">
        <f>Lista!J742</f>
        <v>0</v>
      </c>
      <c r="L743" s="125">
        <f>Lista!K742</f>
        <v>0</v>
      </c>
      <c r="M743" s="125">
        <f>Lista!L742</f>
        <v>0</v>
      </c>
      <c r="N743" s="125">
        <f>Lista!M742</f>
        <v>0</v>
      </c>
      <c r="O743" s="125">
        <f>Lista!N742</f>
        <v>0</v>
      </c>
      <c r="P743" s="125">
        <f>Lista!O742</f>
        <v>0</v>
      </c>
      <c r="Q743" s="125">
        <f>Lista!P742</f>
        <v>0</v>
      </c>
      <c r="R743" s="125">
        <f>Lista!Q742</f>
        <v>0</v>
      </c>
      <c r="S743" s="125">
        <f>Lista!R742</f>
        <v>0</v>
      </c>
      <c r="T743" s="81"/>
      <c r="U743" s="81"/>
      <c r="V743" s="81"/>
      <c r="W743" s="81"/>
      <c r="X743" s="81"/>
      <c r="Y743" s="81"/>
      <c r="Z743" s="81"/>
      <c r="AA743" s="81"/>
      <c r="AB743" s="81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  <c r="BS743" s="81"/>
      <c r="BT743" s="81"/>
      <c r="BU743" s="81"/>
      <c r="BV743" s="81"/>
      <c r="BW743" s="81"/>
      <c r="BX743" s="81"/>
      <c r="BY743" s="81"/>
      <c r="BZ743" s="81"/>
      <c r="CA743" s="81"/>
      <c r="CB743" s="81"/>
      <c r="CC743" s="81"/>
      <c r="CD743" s="81"/>
      <c r="CE743" s="81"/>
      <c r="CF743" s="81"/>
      <c r="CG743" s="81"/>
      <c r="CH743" s="81"/>
      <c r="CI743" s="81"/>
      <c r="CJ743" s="81"/>
      <c r="CK743" s="81"/>
      <c r="CL743" s="81"/>
      <c r="CM743" s="81"/>
      <c r="CN743" s="81"/>
      <c r="CO743" s="81"/>
      <c r="CP743" s="81"/>
      <c r="CQ743" s="81"/>
      <c r="CR743" s="81"/>
      <c r="CS743" s="81"/>
      <c r="CT743" s="81"/>
      <c r="CU743" s="81"/>
      <c r="CV743" s="81"/>
      <c r="CW743" s="81"/>
      <c r="CX743" s="81"/>
      <c r="CY743" s="81"/>
      <c r="CZ743" s="81"/>
      <c r="DA743" s="81"/>
      <c r="DB743" s="81"/>
      <c r="DC743" s="81"/>
      <c r="DD743" s="81"/>
      <c r="DE743" s="81"/>
      <c r="DF743" s="81"/>
      <c r="DG743" s="81"/>
      <c r="DH743" s="81"/>
      <c r="DI743" s="81"/>
      <c r="DJ743" s="81"/>
      <c r="DK743" s="81"/>
      <c r="DL743" s="81"/>
      <c r="DM743" s="81"/>
      <c r="DN743" s="81"/>
      <c r="DO743" s="81"/>
      <c r="DP743" s="81"/>
      <c r="DQ743" s="81"/>
      <c r="DR743" s="81"/>
      <c r="DS743" s="81"/>
      <c r="DT743" s="81"/>
      <c r="DU743" s="81"/>
      <c r="DV743" s="81"/>
      <c r="DW743" s="121"/>
    </row>
    <row r="744" spans="1:127" x14ac:dyDescent="0.25">
      <c r="A744" s="2">
        <f>COUNTIF($D$2:D744,'Reporte de Nomina'!$E$2)</f>
        <v>0</v>
      </c>
      <c r="B744" s="125">
        <f>Lista!A743</f>
        <v>0</v>
      </c>
      <c r="C744" s="125">
        <f>Lista!B743</f>
        <v>0</v>
      </c>
      <c r="D744" s="125">
        <f>Lista!C743</f>
        <v>0</v>
      </c>
      <c r="E744" s="125">
        <f>Lista!D743</f>
        <v>0</v>
      </c>
      <c r="F744" s="125">
        <f>Lista!E743</f>
        <v>0</v>
      </c>
      <c r="G744" s="125">
        <f>Lista!F743</f>
        <v>0</v>
      </c>
      <c r="H744" s="125">
        <f>Lista!G743</f>
        <v>0</v>
      </c>
      <c r="I744" s="125">
        <f>Lista!H743</f>
        <v>0</v>
      </c>
      <c r="J744" s="125">
        <f>Lista!I743</f>
        <v>0</v>
      </c>
      <c r="K744" s="125">
        <f>Lista!J743</f>
        <v>0</v>
      </c>
      <c r="L744" s="125">
        <f>Lista!K743</f>
        <v>0</v>
      </c>
      <c r="M744" s="125">
        <f>Lista!L743</f>
        <v>0</v>
      </c>
      <c r="N744" s="125">
        <f>Lista!M743</f>
        <v>0</v>
      </c>
      <c r="O744" s="125">
        <f>Lista!N743</f>
        <v>0</v>
      </c>
      <c r="P744" s="125">
        <f>Lista!O743</f>
        <v>0</v>
      </c>
      <c r="Q744" s="125">
        <f>Lista!P743</f>
        <v>0</v>
      </c>
      <c r="R744" s="125">
        <f>Lista!Q743</f>
        <v>0</v>
      </c>
      <c r="S744" s="125">
        <f>Lista!R743</f>
        <v>0</v>
      </c>
      <c r="T744" s="81"/>
      <c r="U744" s="81"/>
      <c r="V744" s="81"/>
      <c r="W744" s="81"/>
      <c r="X744" s="81"/>
      <c r="Y744" s="81"/>
      <c r="Z744" s="81"/>
      <c r="AA744" s="81"/>
      <c r="AB744" s="81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  <c r="BS744" s="81"/>
      <c r="BT744" s="81"/>
      <c r="BU744" s="81"/>
      <c r="BV744" s="81"/>
      <c r="BW744" s="81"/>
      <c r="BX744" s="81"/>
      <c r="BY744" s="81"/>
      <c r="BZ744" s="81"/>
      <c r="CA744" s="81"/>
      <c r="CB744" s="81"/>
      <c r="CC744" s="81"/>
      <c r="CD744" s="81"/>
      <c r="CE744" s="81"/>
      <c r="CF744" s="81"/>
      <c r="CG744" s="81"/>
      <c r="CH744" s="81"/>
      <c r="CI744" s="81"/>
      <c r="CJ744" s="81"/>
      <c r="CK744" s="81"/>
      <c r="CL744" s="81"/>
      <c r="CM744" s="81"/>
      <c r="CN744" s="81"/>
      <c r="CO744" s="81"/>
      <c r="CP744" s="81"/>
      <c r="CQ744" s="81"/>
      <c r="CR744" s="81"/>
      <c r="CS744" s="81"/>
      <c r="CT744" s="81"/>
      <c r="CU744" s="81"/>
      <c r="CV744" s="81"/>
      <c r="CW744" s="81"/>
      <c r="CX744" s="81"/>
      <c r="CY744" s="81"/>
      <c r="CZ744" s="81"/>
      <c r="DA744" s="81"/>
      <c r="DB744" s="81"/>
      <c r="DC744" s="81"/>
      <c r="DD744" s="81"/>
      <c r="DE744" s="81"/>
      <c r="DF744" s="81"/>
      <c r="DG744" s="81"/>
      <c r="DH744" s="81"/>
      <c r="DI744" s="81"/>
      <c r="DJ744" s="81"/>
      <c r="DK744" s="81"/>
      <c r="DL744" s="81"/>
      <c r="DM744" s="81"/>
      <c r="DN744" s="81"/>
      <c r="DO744" s="81"/>
      <c r="DP744" s="81"/>
      <c r="DQ744" s="81"/>
      <c r="DR744" s="81"/>
      <c r="DS744" s="81"/>
      <c r="DT744" s="81"/>
      <c r="DU744" s="81"/>
      <c r="DV744" s="81"/>
      <c r="DW744" s="121"/>
    </row>
    <row r="745" spans="1:127" x14ac:dyDescent="0.25">
      <c r="A745" s="2">
        <f>COUNTIF($D$2:D745,'Reporte de Nomina'!$E$2)</f>
        <v>0</v>
      </c>
      <c r="B745" s="125">
        <f>Lista!A744</f>
        <v>0</v>
      </c>
      <c r="C745" s="125">
        <f>Lista!B744</f>
        <v>0</v>
      </c>
      <c r="D745" s="125">
        <f>Lista!C744</f>
        <v>0</v>
      </c>
      <c r="E745" s="125">
        <f>Lista!D744</f>
        <v>0</v>
      </c>
      <c r="F745" s="125">
        <f>Lista!E744</f>
        <v>0</v>
      </c>
      <c r="G745" s="125">
        <f>Lista!F744</f>
        <v>0</v>
      </c>
      <c r="H745" s="125">
        <f>Lista!G744</f>
        <v>0</v>
      </c>
      <c r="I745" s="125">
        <f>Lista!H744</f>
        <v>0</v>
      </c>
      <c r="J745" s="125">
        <f>Lista!I744</f>
        <v>0</v>
      </c>
      <c r="K745" s="125">
        <f>Lista!J744</f>
        <v>0</v>
      </c>
      <c r="L745" s="125">
        <f>Lista!K744</f>
        <v>0</v>
      </c>
      <c r="M745" s="125">
        <f>Lista!L744</f>
        <v>0</v>
      </c>
      <c r="N745" s="125">
        <f>Lista!M744</f>
        <v>0</v>
      </c>
      <c r="O745" s="125">
        <f>Lista!N744</f>
        <v>0</v>
      </c>
      <c r="P745" s="125">
        <f>Lista!O744</f>
        <v>0</v>
      </c>
      <c r="Q745" s="125">
        <f>Lista!P744</f>
        <v>0</v>
      </c>
      <c r="R745" s="125">
        <f>Lista!Q744</f>
        <v>0</v>
      </c>
      <c r="S745" s="125">
        <f>Lista!R744</f>
        <v>0</v>
      </c>
      <c r="T745" s="81"/>
      <c r="U745" s="81"/>
      <c r="V745" s="81"/>
      <c r="W745" s="81"/>
      <c r="X745" s="81"/>
      <c r="Y745" s="81"/>
      <c r="Z745" s="81"/>
      <c r="AA745" s="81"/>
      <c r="AB745" s="81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  <c r="BS745" s="81"/>
      <c r="BT745" s="81"/>
      <c r="BU745" s="81"/>
      <c r="BV745" s="81"/>
      <c r="BW745" s="81"/>
      <c r="BX745" s="81"/>
      <c r="BY745" s="81"/>
      <c r="BZ745" s="81"/>
      <c r="CA745" s="81"/>
      <c r="CB745" s="81"/>
      <c r="CC745" s="81"/>
      <c r="CD745" s="81"/>
      <c r="CE745" s="81"/>
      <c r="CF745" s="81"/>
      <c r="CG745" s="81"/>
      <c r="CH745" s="81"/>
      <c r="CI745" s="81"/>
      <c r="CJ745" s="81"/>
      <c r="CK745" s="81"/>
      <c r="CL745" s="81"/>
      <c r="CM745" s="81"/>
      <c r="CN745" s="81"/>
      <c r="CO745" s="81"/>
      <c r="CP745" s="81"/>
      <c r="CQ745" s="81"/>
      <c r="CR745" s="81"/>
      <c r="CS745" s="81"/>
      <c r="CT745" s="81"/>
      <c r="CU745" s="81"/>
      <c r="CV745" s="81"/>
      <c r="CW745" s="81"/>
      <c r="CX745" s="81"/>
      <c r="CY745" s="81"/>
      <c r="CZ745" s="81"/>
      <c r="DA745" s="81"/>
      <c r="DB745" s="81"/>
      <c r="DC745" s="81"/>
      <c r="DD745" s="81"/>
      <c r="DE745" s="81"/>
      <c r="DF745" s="81"/>
      <c r="DG745" s="81"/>
      <c r="DH745" s="81"/>
      <c r="DI745" s="81"/>
      <c r="DJ745" s="81"/>
      <c r="DK745" s="81"/>
      <c r="DL745" s="81"/>
      <c r="DM745" s="81"/>
      <c r="DN745" s="81"/>
      <c r="DO745" s="81"/>
      <c r="DP745" s="81"/>
      <c r="DQ745" s="81"/>
      <c r="DR745" s="81"/>
      <c r="DS745" s="81"/>
      <c r="DT745" s="81"/>
      <c r="DU745" s="81"/>
      <c r="DV745" s="81"/>
      <c r="DW745" s="121"/>
    </row>
    <row r="746" spans="1:127" x14ac:dyDescent="0.25">
      <c r="A746" s="2">
        <f>COUNTIF($D$2:D746,'Reporte de Nomina'!$E$2)</f>
        <v>0</v>
      </c>
      <c r="B746" s="125">
        <f>Lista!A745</f>
        <v>0</v>
      </c>
      <c r="C746" s="125">
        <f>Lista!B745</f>
        <v>0</v>
      </c>
      <c r="D746" s="125">
        <f>Lista!C745</f>
        <v>0</v>
      </c>
      <c r="E746" s="125">
        <f>Lista!D745</f>
        <v>0</v>
      </c>
      <c r="F746" s="125">
        <f>Lista!E745</f>
        <v>0</v>
      </c>
      <c r="G746" s="125">
        <f>Lista!F745</f>
        <v>0</v>
      </c>
      <c r="H746" s="125">
        <f>Lista!G745</f>
        <v>0</v>
      </c>
      <c r="I746" s="125">
        <f>Lista!H745</f>
        <v>0</v>
      </c>
      <c r="J746" s="125">
        <f>Lista!I745</f>
        <v>0</v>
      </c>
      <c r="K746" s="125">
        <f>Lista!J745</f>
        <v>0</v>
      </c>
      <c r="L746" s="125">
        <f>Lista!K745</f>
        <v>0</v>
      </c>
      <c r="M746" s="125">
        <f>Lista!L745</f>
        <v>0</v>
      </c>
      <c r="N746" s="125">
        <f>Lista!M745</f>
        <v>0</v>
      </c>
      <c r="O746" s="125">
        <f>Lista!N745</f>
        <v>0</v>
      </c>
      <c r="P746" s="125">
        <f>Lista!O745</f>
        <v>0</v>
      </c>
      <c r="Q746" s="125">
        <f>Lista!P745</f>
        <v>0</v>
      </c>
      <c r="R746" s="125">
        <f>Lista!Q745</f>
        <v>0</v>
      </c>
      <c r="S746" s="125">
        <f>Lista!R745</f>
        <v>0</v>
      </c>
      <c r="T746" s="81"/>
      <c r="U746" s="81"/>
      <c r="V746" s="81"/>
      <c r="W746" s="81"/>
      <c r="X746" s="81"/>
      <c r="Y746" s="81"/>
      <c r="Z746" s="81"/>
      <c r="AA746" s="81"/>
      <c r="AB746" s="81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  <c r="BS746" s="81"/>
      <c r="BT746" s="81"/>
      <c r="BU746" s="81"/>
      <c r="BV746" s="81"/>
      <c r="BW746" s="81"/>
      <c r="BX746" s="81"/>
      <c r="BY746" s="81"/>
      <c r="BZ746" s="81"/>
      <c r="CA746" s="81"/>
      <c r="CB746" s="81"/>
      <c r="CC746" s="81"/>
      <c r="CD746" s="81"/>
      <c r="CE746" s="81"/>
      <c r="CF746" s="81"/>
      <c r="CG746" s="81"/>
      <c r="CH746" s="81"/>
      <c r="CI746" s="81"/>
      <c r="CJ746" s="81"/>
      <c r="CK746" s="81"/>
      <c r="CL746" s="81"/>
      <c r="CM746" s="81"/>
      <c r="CN746" s="81"/>
      <c r="CO746" s="81"/>
      <c r="CP746" s="81"/>
      <c r="CQ746" s="81"/>
      <c r="CR746" s="81"/>
      <c r="CS746" s="81"/>
      <c r="CT746" s="81"/>
      <c r="CU746" s="81"/>
      <c r="CV746" s="81"/>
      <c r="CW746" s="81"/>
      <c r="CX746" s="81"/>
      <c r="CY746" s="81"/>
      <c r="CZ746" s="81"/>
      <c r="DA746" s="81"/>
      <c r="DB746" s="81"/>
      <c r="DC746" s="81"/>
      <c r="DD746" s="81"/>
      <c r="DE746" s="81"/>
      <c r="DF746" s="81"/>
      <c r="DG746" s="81"/>
      <c r="DH746" s="81"/>
      <c r="DI746" s="81"/>
      <c r="DJ746" s="81"/>
      <c r="DK746" s="81"/>
      <c r="DL746" s="81"/>
      <c r="DM746" s="81"/>
      <c r="DN746" s="81"/>
      <c r="DO746" s="81"/>
      <c r="DP746" s="81"/>
      <c r="DQ746" s="81"/>
      <c r="DR746" s="81"/>
      <c r="DS746" s="81"/>
      <c r="DT746" s="81"/>
      <c r="DU746" s="81"/>
      <c r="DV746" s="81"/>
      <c r="DW746" s="121"/>
    </row>
    <row r="747" spans="1:127" x14ac:dyDescent="0.25">
      <c r="A747" s="2">
        <f>COUNTIF($D$2:D747,'Reporte de Nomina'!$E$2)</f>
        <v>0</v>
      </c>
      <c r="B747" s="125">
        <f>Lista!A746</f>
        <v>0</v>
      </c>
      <c r="C747" s="125">
        <f>Lista!B746</f>
        <v>0</v>
      </c>
      <c r="D747" s="125">
        <f>Lista!C746</f>
        <v>0</v>
      </c>
      <c r="E747" s="125">
        <f>Lista!D746</f>
        <v>0</v>
      </c>
      <c r="F747" s="125">
        <f>Lista!E746</f>
        <v>0</v>
      </c>
      <c r="G747" s="125">
        <f>Lista!F746</f>
        <v>0</v>
      </c>
      <c r="H747" s="125">
        <f>Lista!G746</f>
        <v>0</v>
      </c>
      <c r="I747" s="125">
        <f>Lista!H746</f>
        <v>0</v>
      </c>
      <c r="J747" s="125">
        <f>Lista!I746</f>
        <v>0</v>
      </c>
      <c r="K747" s="125">
        <f>Lista!J746</f>
        <v>0</v>
      </c>
      <c r="L747" s="125">
        <f>Lista!K746</f>
        <v>0</v>
      </c>
      <c r="M747" s="125">
        <f>Lista!L746</f>
        <v>0</v>
      </c>
      <c r="N747" s="125">
        <f>Lista!M746</f>
        <v>0</v>
      </c>
      <c r="O747" s="125">
        <f>Lista!N746</f>
        <v>0</v>
      </c>
      <c r="P747" s="125">
        <f>Lista!O746</f>
        <v>0</v>
      </c>
      <c r="Q747" s="125">
        <f>Lista!P746</f>
        <v>0</v>
      </c>
      <c r="R747" s="125">
        <f>Lista!Q746</f>
        <v>0</v>
      </c>
      <c r="S747" s="125">
        <f>Lista!R746</f>
        <v>0</v>
      </c>
      <c r="T747" s="81"/>
      <c r="U747" s="81"/>
      <c r="V747" s="81"/>
      <c r="W747" s="81"/>
      <c r="X747" s="81"/>
      <c r="Y747" s="81"/>
      <c r="Z747" s="81"/>
      <c r="AA747" s="81"/>
      <c r="AB747" s="81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  <c r="BS747" s="81"/>
      <c r="BT747" s="81"/>
      <c r="BU747" s="81"/>
      <c r="BV747" s="81"/>
      <c r="BW747" s="81"/>
      <c r="BX747" s="81"/>
      <c r="BY747" s="81"/>
      <c r="BZ747" s="81"/>
      <c r="CA747" s="81"/>
      <c r="CB747" s="81"/>
      <c r="CC747" s="81"/>
      <c r="CD747" s="81"/>
      <c r="CE747" s="81"/>
      <c r="CF747" s="81"/>
      <c r="CG747" s="81"/>
      <c r="CH747" s="81"/>
      <c r="CI747" s="81"/>
      <c r="CJ747" s="81"/>
      <c r="CK747" s="81"/>
      <c r="CL747" s="81"/>
      <c r="CM747" s="81"/>
      <c r="CN747" s="81"/>
      <c r="CO747" s="81"/>
      <c r="CP747" s="81"/>
      <c r="CQ747" s="81"/>
      <c r="CR747" s="81"/>
      <c r="CS747" s="81"/>
      <c r="CT747" s="81"/>
      <c r="CU747" s="81"/>
      <c r="CV747" s="81"/>
      <c r="CW747" s="81"/>
      <c r="CX747" s="81"/>
      <c r="CY747" s="81"/>
      <c r="CZ747" s="81"/>
      <c r="DA747" s="81"/>
      <c r="DB747" s="81"/>
      <c r="DC747" s="81"/>
      <c r="DD747" s="81"/>
      <c r="DE747" s="81"/>
      <c r="DF747" s="81"/>
      <c r="DG747" s="81"/>
      <c r="DH747" s="81"/>
      <c r="DI747" s="81"/>
      <c r="DJ747" s="81"/>
      <c r="DK747" s="81"/>
      <c r="DL747" s="81"/>
      <c r="DM747" s="81"/>
      <c r="DN747" s="81"/>
      <c r="DO747" s="81"/>
      <c r="DP747" s="81"/>
      <c r="DQ747" s="81"/>
      <c r="DR747" s="81"/>
      <c r="DS747" s="81"/>
      <c r="DT747" s="81"/>
      <c r="DU747" s="81"/>
      <c r="DV747" s="81"/>
      <c r="DW747" s="121"/>
    </row>
    <row r="748" spans="1:127" x14ac:dyDescent="0.25">
      <c r="A748" s="2">
        <f>COUNTIF($D$2:D748,'Reporte de Nomina'!$E$2)</f>
        <v>0</v>
      </c>
      <c r="B748" s="125">
        <f>Lista!A747</f>
        <v>0</v>
      </c>
      <c r="C748" s="125">
        <f>Lista!B747</f>
        <v>0</v>
      </c>
      <c r="D748" s="125">
        <f>Lista!C747</f>
        <v>0</v>
      </c>
      <c r="E748" s="125">
        <f>Lista!D747</f>
        <v>0</v>
      </c>
      <c r="F748" s="125">
        <f>Lista!E747</f>
        <v>0</v>
      </c>
      <c r="G748" s="125">
        <f>Lista!F747</f>
        <v>0</v>
      </c>
      <c r="H748" s="125">
        <f>Lista!G747</f>
        <v>0</v>
      </c>
      <c r="I748" s="125">
        <f>Lista!H747</f>
        <v>0</v>
      </c>
      <c r="J748" s="125">
        <f>Lista!I747</f>
        <v>0</v>
      </c>
      <c r="K748" s="125">
        <f>Lista!J747</f>
        <v>0</v>
      </c>
      <c r="L748" s="125">
        <f>Lista!K747</f>
        <v>0</v>
      </c>
      <c r="M748" s="125">
        <f>Lista!L747</f>
        <v>0</v>
      </c>
      <c r="N748" s="125">
        <f>Lista!M747</f>
        <v>0</v>
      </c>
      <c r="O748" s="125">
        <f>Lista!N747</f>
        <v>0</v>
      </c>
      <c r="P748" s="125">
        <f>Lista!O747</f>
        <v>0</v>
      </c>
      <c r="Q748" s="125">
        <f>Lista!P747</f>
        <v>0</v>
      </c>
      <c r="R748" s="125">
        <f>Lista!Q747</f>
        <v>0</v>
      </c>
      <c r="S748" s="125">
        <f>Lista!R747</f>
        <v>0</v>
      </c>
      <c r="T748" s="81"/>
      <c r="U748" s="81"/>
      <c r="V748" s="81"/>
      <c r="W748" s="81"/>
      <c r="X748" s="81"/>
      <c r="Y748" s="81"/>
      <c r="Z748" s="81"/>
      <c r="AA748" s="81"/>
      <c r="AB748" s="81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  <c r="BS748" s="81"/>
      <c r="BT748" s="81"/>
      <c r="BU748" s="81"/>
      <c r="BV748" s="81"/>
      <c r="BW748" s="81"/>
      <c r="BX748" s="81"/>
      <c r="BY748" s="81"/>
      <c r="BZ748" s="81"/>
      <c r="CA748" s="81"/>
      <c r="CB748" s="81"/>
      <c r="CC748" s="81"/>
      <c r="CD748" s="81"/>
      <c r="CE748" s="81"/>
      <c r="CF748" s="81"/>
      <c r="CG748" s="81"/>
      <c r="CH748" s="81"/>
      <c r="CI748" s="81"/>
      <c r="CJ748" s="81"/>
      <c r="CK748" s="81"/>
      <c r="CL748" s="81"/>
      <c r="CM748" s="81"/>
      <c r="CN748" s="81"/>
      <c r="CO748" s="81"/>
      <c r="CP748" s="81"/>
      <c r="CQ748" s="81"/>
      <c r="CR748" s="81"/>
      <c r="CS748" s="81"/>
      <c r="CT748" s="81"/>
      <c r="CU748" s="81"/>
      <c r="CV748" s="81"/>
      <c r="CW748" s="81"/>
      <c r="CX748" s="81"/>
      <c r="CY748" s="81"/>
      <c r="CZ748" s="81"/>
      <c r="DA748" s="81"/>
      <c r="DB748" s="81"/>
      <c r="DC748" s="81"/>
      <c r="DD748" s="81"/>
      <c r="DE748" s="81"/>
      <c r="DF748" s="81"/>
      <c r="DG748" s="81"/>
      <c r="DH748" s="81"/>
      <c r="DI748" s="81"/>
      <c r="DJ748" s="81"/>
      <c r="DK748" s="81"/>
      <c r="DL748" s="81"/>
      <c r="DM748" s="81"/>
      <c r="DN748" s="81"/>
      <c r="DO748" s="81"/>
      <c r="DP748" s="81"/>
      <c r="DQ748" s="81"/>
      <c r="DR748" s="81"/>
      <c r="DS748" s="81"/>
      <c r="DT748" s="81"/>
      <c r="DU748" s="81"/>
      <c r="DV748" s="81"/>
      <c r="DW748" s="121"/>
    </row>
    <row r="749" spans="1:127" x14ac:dyDescent="0.25">
      <c r="A749" s="2">
        <f>COUNTIF($D$2:D749,'Reporte de Nomina'!$E$2)</f>
        <v>0</v>
      </c>
      <c r="B749" s="125">
        <f>Lista!A748</f>
        <v>0</v>
      </c>
      <c r="C749" s="125">
        <f>Lista!B748</f>
        <v>0</v>
      </c>
      <c r="D749" s="125">
        <f>Lista!C748</f>
        <v>0</v>
      </c>
      <c r="E749" s="125">
        <f>Lista!D748</f>
        <v>0</v>
      </c>
      <c r="F749" s="125">
        <f>Lista!E748</f>
        <v>0</v>
      </c>
      <c r="G749" s="125">
        <f>Lista!F748</f>
        <v>0</v>
      </c>
      <c r="H749" s="125">
        <f>Lista!G748</f>
        <v>0</v>
      </c>
      <c r="I749" s="125">
        <f>Lista!H748</f>
        <v>0</v>
      </c>
      <c r="J749" s="125">
        <f>Lista!I748</f>
        <v>0</v>
      </c>
      <c r="K749" s="125">
        <f>Lista!J748</f>
        <v>0</v>
      </c>
      <c r="L749" s="125">
        <f>Lista!K748</f>
        <v>0</v>
      </c>
      <c r="M749" s="125">
        <f>Lista!L748</f>
        <v>0</v>
      </c>
      <c r="N749" s="125">
        <f>Lista!M748</f>
        <v>0</v>
      </c>
      <c r="O749" s="125">
        <f>Lista!N748</f>
        <v>0</v>
      </c>
      <c r="P749" s="125">
        <f>Lista!O748</f>
        <v>0</v>
      </c>
      <c r="Q749" s="125">
        <f>Lista!P748</f>
        <v>0</v>
      </c>
      <c r="R749" s="125">
        <f>Lista!Q748</f>
        <v>0</v>
      </c>
      <c r="S749" s="125">
        <f>Lista!R748</f>
        <v>0</v>
      </c>
      <c r="T749" s="81"/>
      <c r="U749" s="81"/>
      <c r="V749" s="81"/>
      <c r="W749" s="81"/>
      <c r="X749" s="81"/>
      <c r="Y749" s="81"/>
      <c r="Z749" s="81"/>
      <c r="AA749" s="81"/>
      <c r="AB749" s="81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  <c r="BS749" s="81"/>
      <c r="BT749" s="81"/>
      <c r="BU749" s="81"/>
      <c r="BV749" s="81"/>
      <c r="BW749" s="81"/>
      <c r="BX749" s="81"/>
      <c r="BY749" s="81"/>
      <c r="BZ749" s="81"/>
      <c r="CA749" s="81"/>
      <c r="CB749" s="81"/>
      <c r="CC749" s="81"/>
      <c r="CD749" s="81"/>
      <c r="CE749" s="81"/>
      <c r="CF749" s="81"/>
      <c r="CG749" s="81"/>
      <c r="CH749" s="81"/>
      <c r="CI749" s="81"/>
      <c r="CJ749" s="81"/>
      <c r="CK749" s="81"/>
      <c r="CL749" s="81"/>
      <c r="CM749" s="81"/>
      <c r="CN749" s="81"/>
      <c r="CO749" s="81"/>
      <c r="CP749" s="81"/>
      <c r="CQ749" s="81"/>
      <c r="CR749" s="81"/>
      <c r="CS749" s="81"/>
      <c r="CT749" s="81"/>
      <c r="CU749" s="81"/>
      <c r="CV749" s="81"/>
      <c r="CW749" s="81"/>
      <c r="CX749" s="81"/>
      <c r="CY749" s="81"/>
      <c r="CZ749" s="81"/>
      <c r="DA749" s="81"/>
      <c r="DB749" s="81"/>
      <c r="DC749" s="81"/>
      <c r="DD749" s="81"/>
      <c r="DE749" s="81"/>
      <c r="DF749" s="81"/>
      <c r="DG749" s="81"/>
      <c r="DH749" s="81"/>
      <c r="DI749" s="81"/>
      <c r="DJ749" s="81"/>
      <c r="DK749" s="81"/>
      <c r="DL749" s="81"/>
      <c r="DM749" s="81"/>
      <c r="DN749" s="81"/>
      <c r="DO749" s="81"/>
      <c r="DP749" s="81"/>
      <c r="DQ749" s="81"/>
      <c r="DR749" s="81"/>
      <c r="DS749" s="81"/>
      <c r="DT749" s="81"/>
      <c r="DU749" s="81"/>
      <c r="DV749" s="81"/>
      <c r="DW749" s="121"/>
    </row>
    <row r="750" spans="1:127" x14ac:dyDescent="0.25">
      <c r="A750" s="2">
        <f>COUNTIF($D$2:D750,'Reporte de Nomina'!$E$2)</f>
        <v>0</v>
      </c>
      <c r="B750" s="125">
        <f>Lista!A749</f>
        <v>0</v>
      </c>
      <c r="C750" s="125">
        <f>Lista!B749</f>
        <v>0</v>
      </c>
      <c r="D750" s="125">
        <f>Lista!C749</f>
        <v>0</v>
      </c>
      <c r="E750" s="125">
        <f>Lista!D749</f>
        <v>0</v>
      </c>
      <c r="F750" s="125">
        <f>Lista!E749</f>
        <v>0</v>
      </c>
      <c r="G750" s="125">
        <f>Lista!F749</f>
        <v>0</v>
      </c>
      <c r="H750" s="125">
        <f>Lista!G749</f>
        <v>0</v>
      </c>
      <c r="I750" s="125">
        <f>Lista!H749</f>
        <v>0</v>
      </c>
      <c r="J750" s="125">
        <f>Lista!I749</f>
        <v>0</v>
      </c>
      <c r="K750" s="125">
        <f>Lista!J749</f>
        <v>0</v>
      </c>
      <c r="L750" s="125">
        <f>Lista!K749</f>
        <v>0</v>
      </c>
      <c r="M750" s="125">
        <f>Lista!L749</f>
        <v>0</v>
      </c>
      <c r="N750" s="125">
        <f>Lista!M749</f>
        <v>0</v>
      </c>
      <c r="O750" s="125">
        <f>Lista!N749</f>
        <v>0</v>
      </c>
      <c r="P750" s="125">
        <f>Lista!O749</f>
        <v>0</v>
      </c>
      <c r="Q750" s="125">
        <f>Lista!P749</f>
        <v>0</v>
      </c>
      <c r="R750" s="125">
        <f>Lista!Q749</f>
        <v>0</v>
      </c>
      <c r="S750" s="125">
        <f>Lista!R749</f>
        <v>0</v>
      </c>
      <c r="T750" s="81"/>
      <c r="U750" s="81"/>
      <c r="V750" s="81"/>
      <c r="W750" s="81"/>
      <c r="X750" s="81"/>
      <c r="Y750" s="81"/>
      <c r="Z750" s="81"/>
      <c r="AA750" s="81"/>
      <c r="AB750" s="81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  <c r="BS750" s="81"/>
      <c r="BT750" s="81"/>
      <c r="BU750" s="81"/>
      <c r="BV750" s="81"/>
      <c r="BW750" s="81"/>
      <c r="BX750" s="81"/>
      <c r="BY750" s="81"/>
      <c r="BZ750" s="81"/>
      <c r="CA750" s="81"/>
      <c r="CB750" s="81"/>
      <c r="CC750" s="81"/>
      <c r="CD750" s="81"/>
      <c r="CE750" s="81"/>
      <c r="CF750" s="81"/>
      <c r="CG750" s="81"/>
      <c r="CH750" s="81"/>
      <c r="CI750" s="81"/>
      <c r="CJ750" s="81"/>
      <c r="CK750" s="81"/>
      <c r="CL750" s="81"/>
      <c r="CM750" s="81"/>
      <c r="CN750" s="81"/>
      <c r="CO750" s="81"/>
      <c r="CP750" s="81"/>
      <c r="CQ750" s="81"/>
      <c r="CR750" s="81"/>
      <c r="CS750" s="81"/>
      <c r="CT750" s="81"/>
      <c r="CU750" s="81"/>
      <c r="CV750" s="81"/>
      <c r="CW750" s="81"/>
      <c r="CX750" s="81"/>
      <c r="CY750" s="81"/>
      <c r="CZ750" s="81"/>
      <c r="DA750" s="81"/>
      <c r="DB750" s="81"/>
      <c r="DC750" s="81"/>
      <c r="DD750" s="81"/>
      <c r="DE750" s="81"/>
      <c r="DF750" s="81"/>
      <c r="DG750" s="81"/>
      <c r="DH750" s="81"/>
      <c r="DI750" s="81"/>
      <c r="DJ750" s="81"/>
      <c r="DK750" s="81"/>
      <c r="DL750" s="81"/>
      <c r="DM750" s="81"/>
      <c r="DN750" s="81"/>
      <c r="DO750" s="81"/>
      <c r="DP750" s="81"/>
      <c r="DQ750" s="81"/>
      <c r="DR750" s="81"/>
      <c r="DS750" s="81"/>
      <c r="DT750" s="81"/>
      <c r="DU750" s="81"/>
      <c r="DV750" s="81"/>
      <c r="DW750" s="121"/>
    </row>
    <row r="751" spans="1:127" x14ac:dyDescent="0.25">
      <c r="A751" s="2">
        <f>COUNTIF($D$2:D751,'Reporte de Nomina'!$E$2)</f>
        <v>0</v>
      </c>
      <c r="B751" s="125">
        <f>Lista!A750</f>
        <v>0</v>
      </c>
      <c r="C751" s="125">
        <f>Lista!B750</f>
        <v>0</v>
      </c>
      <c r="D751" s="125">
        <f>Lista!C750</f>
        <v>0</v>
      </c>
      <c r="E751" s="125">
        <f>Lista!D750</f>
        <v>0</v>
      </c>
      <c r="F751" s="125">
        <f>Lista!E750</f>
        <v>0</v>
      </c>
      <c r="G751" s="125">
        <f>Lista!F750</f>
        <v>0</v>
      </c>
      <c r="H751" s="125">
        <f>Lista!G750</f>
        <v>0</v>
      </c>
      <c r="I751" s="125">
        <f>Lista!H750</f>
        <v>0</v>
      </c>
      <c r="J751" s="125">
        <f>Lista!I750</f>
        <v>0</v>
      </c>
      <c r="K751" s="125">
        <f>Lista!J750</f>
        <v>0</v>
      </c>
      <c r="L751" s="125">
        <f>Lista!K750</f>
        <v>0</v>
      </c>
      <c r="M751" s="125">
        <f>Lista!L750</f>
        <v>0</v>
      </c>
      <c r="N751" s="125">
        <f>Lista!M750</f>
        <v>0</v>
      </c>
      <c r="O751" s="125">
        <f>Lista!N750</f>
        <v>0</v>
      </c>
      <c r="P751" s="125">
        <f>Lista!O750</f>
        <v>0</v>
      </c>
      <c r="Q751" s="125">
        <f>Lista!P750</f>
        <v>0</v>
      </c>
      <c r="R751" s="125">
        <f>Lista!Q750</f>
        <v>0</v>
      </c>
      <c r="S751" s="125">
        <f>Lista!R750</f>
        <v>0</v>
      </c>
      <c r="T751" s="81"/>
      <c r="U751" s="81"/>
      <c r="V751" s="81"/>
      <c r="W751" s="81"/>
      <c r="X751" s="81"/>
      <c r="Y751" s="81"/>
      <c r="Z751" s="81"/>
      <c r="AA751" s="81"/>
      <c r="AB751" s="81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  <c r="BS751" s="81"/>
      <c r="BT751" s="81"/>
      <c r="BU751" s="81"/>
      <c r="BV751" s="81"/>
      <c r="BW751" s="81"/>
      <c r="BX751" s="81"/>
      <c r="BY751" s="81"/>
      <c r="BZ751" s="81"/>
      <c r="CA751" s="81"/>
      <c r="CB751" s="81"/>
      <c r="CC751" s="81"/>
      <c r="CD751" s="81"/>
      <c r="CE751" s="81"/>
      <c r="CF751" s="81"/>
      <c r="CG751" s="81"/>
      <c r="CH751" s="81"/>
      <c r="CI751" s="81"/>
      <c r="CJ751" s="81"/>
      <c r="CK751" s="81"/>
      <c r="CL751" s="81"/>
      <c r="CM751" s="81"/>
      <c r="CN751" s="81"/>
      <c r="CO751" s="81"/>
      <c r="CP751" s="81"/>
      <c r="CQ751" s="81"/>
      <c r="CR751" s="81"/>
      <c r="CS751" s="81"/>
      <c r="CT751" s="81"/>
      <c r="CU751" s="81"/>
      <c r="CV751" s="81"/>
      <c r="CW751" s="81"/>
      <c r="CX751" s="81"/>
      <c r="CY751" s="81"/>
      <c r="CZ751" s="81"/>
      <c r="DA751" s="81"/>
      <c r="DB751" s="81"/>
      <c r="DC751" s="81"/>
      <c r="DD751" s="81"/>
      <c r="DE751" s="81"/>
      <c r="DF751" s="81"/>
      <c r="DG751" s="81"/>
      <c r="DH751" s="81"/>
      <c r="DI751" s="81"/>
      <c r="DJ751" s="81"/>
      <c r="DK751" s="81"/>
      <c r="DL751" s="81"/>
      <c r="DM751" s="81"/>
      <c r="DN751" s="81"/>
      <c r="DO751" s="81"/>
      <c r="DP751" s="81"/>
      <c r="DQ751" s="81"/>
      <c r="DR751" s="81"/>
      <c r="DS751" s="81"/>
      <c r="DT751" s="81"/>
      <c r="DU751" s="81"/>
      <c r="DV751" s="81"/>
      <c r="DW751" s="121"/>
    </row>
    <row r="752" spans="1:127" x14ac:dyDescent="0.25">
      <c r="A752" s="2">
        <f>COUNTIF($D$2:D752,'Reporte de Nomina'!$E$2)</f>
        <v>0</v>
      </c>
      <c r="B752" s="125">
        <f>Lista!A751</f>
        <v>0</v>
      </c>
      <c r="C752" s="125">
        <f>Lista!B751</f>
        <v>0</v>
      </c>
      <c r="D752" s="125">
        <f>Lista!C751</f>
        <v>0</v>
      </c>
      <c r="E752" s="125">
        <f>Lista!D751</f>
        <v>0</v>
      </c>
      <c r="F752" s="125">
        <f>Lista!E751</f>
        <v>0</v>
      </c>
      <c r="G752" s="125">
        <f>Lista!F751</f>
        <v>0</v>
      </c>
      <c r="H752" s="125">
        <f>Lista!G751</f>
        <v>0</v>
      </c>
      <c r="I752" s="125">
        <f>Lista!H751</f>
        <v>0</v>
      </c>
      <c r="J752" s="125">
        <f>Lista!I751</f>
        <v>0</v>
      </c>
      <c r="K752" s="125">
        <f>Lista!J751</f>
        <v>0</v>
      </c>
      <c r="L752" s="125">
        <f>Lista!K751</f>
        <v>0</v>
      </c>
      <c r="M752" s="125">
        <f>Lista!L751</f>
        <v>0</v>
      </c>
      <c r="N752" s="125">
        <f>Lista!M751</f>
        <v>0</v>
      </c>
      <c r="O752" s="125">
        <f>Lista!N751</f>
        <v>0</v>
      </c>
      <c r="P752" s="125">
        <f>Lista!O751</f>
        <v>0</v>
      </c>
      <c r="Q752" s="125">
        <f>Lista!P751</f>
        <v>0</v>
      </c>
      <c r="R752" s="125">
        <f>Lista!Q751</f>
        <v>0</v>
      </c>
      <c r="S752" s="125">
        <f>Lista!R751</f>
        <v>0</v>
      </c>
      <c r="T752" s="81"/>
      <c r="U752" s="81"/>
      <c r="V752" s="81"/>
      <c r="W752" s="81"/>
      <c r="X752" s="81"/>
      <c r="Y752" s="81"/>
      <c r="Z752" s="81"/>
      <c r="AA752" s="81"/>
      <c r="AB752" s="81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  <c r="BS752" s="81"/>
      <c r="BT752" s="81"/>
      <c r="BU752" s="81"/>
      <c r="BV752" s="81"/>
      <c r="BW752" s="81"/>
      <c r="BX752" s="81"/>
      <c r="BY752" s="81"/>
      <c r="BZ752" s="81"/>
      <c r="CA752" s="81"/>
      <c r="CB752" s="81"/>
      <c r="CC752" s="81"/>
      <c r="CD752" s="81"/>
      <c r="CE752" s="81"/>
      <c r="CF752" s="81"/>
      <c r="CG752" s="81"/>
      <c r="CH752" s="81"/>
      <c r="CI752" s="81"/>
      <c r="CJ752" s="81"/>
      <c r="CK752" s="81"/>
      <c r="CL752" s="81"/>
      <c r="CM752" s="81"/>
      <c r="CN752" s="81"/>
      <c r="CO752" s="81"/>
      <c r="CP752" s="81"/>
      <c r="CQ752" s="81"/>
      <c r="CR752" s="81"/>
      <c r="CS752" s="81"/>
      <c r="CT752" s="81"/>
      <c r="CU752" s="81"/>
      <c r="CV752" s="81"/>
      <c r="CW752" s="81"/>
      <c r="CX752" s="81"/>
      <c r="CY752" s="81"/>
      <c r="CZ752" s="81"/>
      <c r="DA752" s="81"/>
      <c r="DB752" s="81"/>
      <c r="DC752" s="81"/>
      <c r="DD752" s="81"/>
      <c r="DE752" s="81"/>
      <c r="DF752" s="81"/>
      <c r="DG752" s="81"/>
      <c r="DH752" s="81"/>
      <c r="DI752" s="81"/>
      <c r="DJ752" s="81"/>
      <c r="DK752" s="81"/>
      <c r="DL752" s="81"/>
      <c r="DM752" s="81"/>
      <c r="DN752" s="81"/>
      <c r="DO752" s="81"/>
      <c r="DP752" s="81"/>
      <c r="DQ752" s="81"/>
      <c r="DR752" s="81"/>
      <c r="DS752" s="81"/>
      <c r="DT752" s="81"/>
      <c r="DU752" s="81"/>
      <c r="DV752" s="81"/>
      <c r="DW752" s="121"/>
    </row>
    <row r="753" spans="1:127" x14ac:dyDescent="0.25">
      <c r="A753" s="2">
        <f>COUNTIF($D$2:D753,'Reporte de Nomina'!$E$2)</f>
        <v>0</v>
      </c>
      <c r="B753" s="125">
        <f>Lista!A752</f>
        <v>0</v>
      </c>
      <c r="C753" s="125">
        <f>Lista!B752</f>
        <v>0</v>
      </c>
      <c r="D753" s="125">
        <f>Lista!C752</f>
        <v>0</v>
      </c>
      <c r="E753" s="125">
        <f>Lista!D752</f>
        <v>0</v>
      </c>
      <c r="F753" s="125">
        <f>Lista!E752</f>
        <v>0</v>
      </c>
      <c r="G753" s="125">
        <f>Lista!F752</f>
        <v>0</v>
      </c>
      <c r="H753" s="125">
        <f>Lista!G752</f>
        <v>0</v>
      </c>
      <c r="I753" s="125">
        <f>Lista!H752</f>
        <v>0</v>
      </c>
      <c r="J753" s="125">
        <f>Lista!I752</f>
        <v>0</v>
      </c>
      <c r="K753" s="125">
        <f>Lista!J752</f>
        <v>0</v>
      </c>
      <c r="L753" s="125">
        <f>Lista!K752</f>
        <v>0</v>
      </c>
      <c r="M753" s="125">
        <f>Lista!L752</f>
        <v>0</v>
      </c>
      <c r="N753" s="125">
        <f>Lista!M752</f>
        <v>0</v>
      </c>
      <c r="O753" s="125">
        <f>Lista!N752</f>
        <v>0</v>
      </c>
      <c r="P753" s="125">
        <f>Lista!O752</f>
        <v>0</v>
      </c>
      <c r="Q753" s="125">
        <f>Lista!P752</f>
        <v>0</v>
      </c>
      <c r="R753" s="125">
        <f>Lista!Q752</f>
        <v>0</v>
      </c>
      <c r="S753" s="125">
        <f>Lista!R752</f>
        <v>0</v>
      </c>
      <c r="T753" s="81"/>
      <c r="U753" s="81"/>
      <c r="V753" s="81"/>
      <c r="W753" s="81"/>
      <c r="X753" s="81"/>
      <c r="Y753" s="81"/>
      <c r="Z753" s="81"/>
      <c r="AA753" s="81"/>
      <c r="AB753" s="81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  <c r="BS753" s="81"/>
      <c r="BT753" s="81"/>
      <c r="BU753" s="81"/>
      <c r="BV753" s="81"/>
      <c r="BW753" s="81"/>
      <c r="BX753" s="81"/>
      <c r="BY753" s="81"/>
      <c r="BZ753" s="81"/>
      <c r="CA753" s="81"/>
      <c r="CB753" s="81"/>
      <c r="CC753" s="81"/>
      <c r="CD753" s="81"/>
      <c r="CE753" s="81"/>
      <c r="CF753" s="81"/>
      <c r="CG753" s="81"/>
      <c r="CH753" s="81"/>
      <c r="CI753" s="81"/>
      <c r="CJ753" s="81"/>
      <c r="CK753" s="81"/>
      <c r="CL753" s="81"/>
      <c r="CM753" s="81"/>
      <c r="CN753" s="81"/>
      <c r="CO753" s="81"/>
      <c r="CP753" s="81"/>
      <c r="CQ753" s="81"/>
      <c r="CR753" s="81"/>
      <c r="CS753" s="81"/>
      <c r="CT753" s="81"/>
      <c r="CU753" s="81"/>
      <c r="CV753" s="81"/>
      <c r="CW753" s="81"/>
      <c r="CX753" s="81"/>
      <c r="CY753" s="81"/>
      <c r="CZ753" s="81"/>
      <c r="DA753" s="81"/>
      <c r="DB753" s="81"/>
      <c r="DC753" s="81"/>
      <c r="DD753" s="81"/>
      <c r="DE753" s="81"/>
      <c r="DF753" s="81"/>
      <c r="DG753" s="81"/>
      <c r="DH753" s="81"/>
      <c r="DI753" s="81"/>
      <c r="DJ753" s="81"/>
      <c r="DK753" s="81"/>
      <c r="DL753" s="81"/>
      <c r="DM753" s="81"/>
      <c r="DN753" s="81"/>
      <c r="DO753" s="81"/>
      <c r="DP753" s="81"/>
      <c r="DQ753" s="81"/>
      <c r="DR753" s="81"/>
      <c r="DS753" s="81"/>
      <c r="DT753" s="81"/>
      <c r="DU753" s="81"/>
      <c r="DV753" s="81"/>
      <c r="DW753" s="121"/>
    </row>
    <row r="754" spans="1:127" x14ac:dyDescent="0.25">
      <c r="A754" s="2">
        <f>COUNTIF($D$2:D754,'Reporte de Nomina'!$E$2)</f>
        <v>0</v>
      </c>
      <c r="B754" s="125">
        <f>Lista!A753</f>
        <v>0</v>
      </c>
      <c r="C754" s="125">
        <f>Lista!B753</f>
        <v>0</v>
      </c>
      <c r="D754" s="125">
        <f>Lista!C753</f>
        <v>0</v>
      </c>
      <c r="E754" s="125">
        <f>Lista!D753</f>
        <v>0</v>
      </c>
      <c r="F754" s="125">
        <f>Lista!E753</f>
        <v>0</v>
      </c>
      <c r="G754" s="125">
        <f>Lista!F753</f>
        <v>0</v>
      </c>
      <c r="H754" s="125">
        <f>Lista!G753</f>
        <v>0</v>
      </c>
      <c r="I754" s="125">
        <f>Lista!H753</f>
        <v>0</v>
      </c>
      <c r="J754" s="125">
        <f>Lista!I753</f>
        <v>0</v>
      </c>
      <c r="K754" s="125">
        <f>Lista!J753</f>
        <v>0</v>
      </c>
      <c r="L754" s="125">
        <f>Lista!K753</f>
        <v>0</v>
      </c>
      <c r="M754" s="125">
        <f>Lista!L753</f>
        <v>0</v>
      </c>
      <c r="N754" s="125">
        <f>Lista!M753</f>
        <v>0</v>
      </c>
      <c r="O754" s="125">
        <f>Lista!N753</f>
        <v>0</v>
      </c>
      <c r="P754" s="125">
        <f>Lista!O753</f>
        <v>0</v>
      </c>
      <c r="Q754" s="125">
        <f>Lista!P753</f>
        <v>0</v>
      </c>
      <c r="R754" s="125">
        <f>Lista!Q753</f>
        <v>0</v>
      </c>
      <c r="S754" s="125">
        <f>Lista!R753</f>
        <v>0</v>
      </c>
      <c r="T754" s="81"/>
      <c r="U754" s="81"/>
      <c r="V754" s="81"/>
      <c r="W754" s="81"/>
      <c r="X754" s="81"/>
      <c r="Y754" s="81"/>
      <c r="Z754" s="81"/>
      <c r="AA754" s="81"/>
      <c r="AB754" s="81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  <c r="BS754" s="81"/>
      <c r="BT754" s="81"/>
      <c r="BU754" s="81"/>
      <c r="BV754" s="81"/>
      <c r="BW754" s="81"/>
      <c r="BX754" s="81"/>
      <c r="BY754" s="81"/>
      <c r="BZ754" s="81"/>
      <c r="CA754" s="81"/>
      <c r="CB754" s="81"/>
      <c r="CC754" s="81"/>
      <c r="CD754" s="81"/>
      <c r="CE754" s="81"/>
      <c r="CF754" s="81"/>
      <c r="CG754" s="81"/>
      <c r="CH754" s="81"/>
      <c r="CI754" s="81"/>
      <c r="CJ754" s="81"/>
      <c r="CK754" s="81"/>
      <c r="CL754" s="81"/>
      <c r="CM754" s="81"/>
      <c r="CN754" s="81"/>
      <c r="CO754" s="81"/>
      <c r="CP754" s="81"/>
      <c r="CQ754" s="81"/>
      <c r="CR754" s="81"/>
      <c r="CS754" s="81"/>
      <c r="CT754" s="81"/>
      <c r="CU754" s="81"/>
      <c r="CV754" s="81"/>
      <c r="CW754" s="81"/>
      <c r="CX754" s="81"/>
      <c r="CY754" s="81"/>
      <c r="CZ754" s="81"/>
      <c r="DA754" s="81"/>
      <c r="DB754" s="81"/>
      <c r="DC754" s="81"/>
      <c r="DD754" s="81"/>
      <c r="DE754" s="81"/>
      <c r="DF754" s="81"/>
      <c r="DG754" s="81"/>
      <c r="DH754" s="81"/>
      <c r="DI754" s="81"/>
      <c r="DJ754" s="81"/>
      <c r="DK754" s="81"/>
      <c r="DL754" s="81"/>
      <c r="DM754" s="81"/>
      <c r="DN754" s="81"/>
      <c r="DO754" s="81"/>
      <c r="DP754" s="81"/>
      <c r="DQ754" s="81"/>
      <c r="DR754" s="81"/>
      <c r="DS754" s="81"/>
      <c r="DT754" s="81"/>
      <c r="DU754" s="81"/>
      <c r="DV754" s="81"/>
      <c r="DW754" s="121"/>
    </row>
    <row r="755" spans="1:127" x14ac:dyDescent="0.25">
      <c r="A755" s="2">
        <f>COUNTIF($D$2:D755,'Reporte de Nomina'!$E$2)</f>
        <v>0</v>
      </c>
      <c r="B755" s="125">
        <f>Lista!A754</f>
        <v>0</v>
      </c>
      <c r="C755" s="125">
        <f>Lista!B754</f>
        <v>0</v>
      </c>
      <c r="D755" s="125">
        <f>Lista!C754</f>
        <v>0</v>
      </c>
      <c r="E755" s="125">
        <f>Lista!D754</f>
        <v>0</v>
      </c>
      <c r="F755" s="125">
        <f>Lista!E754</f>
        <v>0</v>
      </c>
      <c r="G755" s="125">
        <f>Lista!F754</f>
        <v>0</v>
      </c>
      <c r="H755" s="125">
        <f>Lista!G754</f>
        <v>0</v>
      </c>
      <c r="I755" s="125">
        <f>Lista!H754</f>
        <v>0</v>
      </c>
      <c r="J755" s="125">
        <f>Lista!I754</f>
        <v>0</v>
      </c>
      <c r="K755" s="125">
        <f>Lista!J754</f>
        <v>0</v>
      </c>
      <c r="L755" s="125">
        <f>Lista!K754</f>
        <v>0</v>
      </c>
      <c r="M755" s="125">
        <f>Lista!L754</f>
        <v>0</v>
      </c>
      <c r="N755" s="125">
        <f>Lista!M754</f>
        <v>0</v>
      </c>
      <c r="O755" s="125">
        <f>Lista!N754</f>
        <v>0</v>
      </c>
      <c r="P755" s="125">
        <f>Lista!O754</f>
        <v>0</v>
      </c>
      <c r="Q755" s="125">
        <f>Lista!P754</f>
        <v>0</v>
      </c>
      <c r="R755" s="125">
        <f>Lista!Q754</f>
        <v>0</v>
      </c>
      <c r="S755" s="125">
        <f>Lista!R754</f>
        <v>0</v>
      </c>
      <c r="T755" s="81"/>
      <c r="U755" s="81"/>
      <c r="V755" s="81"/>
      <c r="W755" s="81"/>
      <c r="X755" s="81"/>
      <c r="Y755" s="81"/>
      <c r="Z755" s="81"/>
      <c r="AA755" s="81"/>
      <c r="AB755" s="81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  <c r="BS755" s="81"/>
      <c r="BT755" s="81"/>
      <c r="BU755" s="81"/>
      <c r="BV755" s="81"/>
      <c r="BW755" s="81"/>
      <c r="BX755" s="81"/>
      <c r="BY755" s="81"/>
      <c r="BZ755" s="81"/>
      <c r="CA755" s="81"/>
      <c r="CB755" s="81"/>
      <c r="CC755" s="81"/>
      <c r="CD755" s="81"/>
      <c r="CE755" s="81"/>
      <c r="CF755" s="81"/>
      <c r="CG755" s="81"/>
      <c r="CH755" s="81"/>
      <c r="CI755" s="81"/>
      <c r="CJ755" s="81"/>
      <c r="CK755" s="81"/>
      <c r="CL755" s="81"/>
      <c r="CM755" s="81"/>
      <c r="CN755" s="81"/>
      <c r="CO755" s="81"/>
      <c r="CP755" s="81"/>
      <c r="CQ755" s="81"/>
      <c r="CR755" s="81"/>
      <c r="CS755" s="81"/>
      <c r="CT755" s="81"/>
      <c r="CU755" s="81"/>
      <c r="CV755" s="81"/>
      <c r="CW755" s="81"/>
      <c r="CX755" s="81"/>
      <c r="CY755" s="81"/>
      <c r="CZ755" s="81"/>
      <c r="DA755" s="81"/>
      <c r="DB755" s="81"/>
      <c r="DC755" s="81"/>
      <c r="DD755" s="81"/>
      <c r="DE755" s="81"/>
      <c r="DF755" s="81"/>
      <c r="DG755" s="81"/>
      <c r="DH755" s="81"/>
      <c r="DI755" s="81"/>
      <c r="DJ755" s="81"/>
      <c r="DK755" s="81"/>
      <c r="DL755" s="81"/>
      <c r="DM755" s="81"/>
      <c r="DN755" s="81"/>
      <c r="DO755" s="81"/>
      <c r="DP755" s="81"/>
      <c r="DQ755" s="81"/>
      <c r="DR755" s="81"/>
      <c r="DS755" s="81"/>
      <c r="DT755" s="81"/>
      <c r="DU755" s="81"/>
      <c r="DV755" s="81"/>
      <c r="DW755" s="121"/>
    </row>
    <row r="756" spans="1:127" x14ac:dyDescent="0.25">
      <c r="A756" s="2">
        <f>COUNTIF($D$2:D756,'Reporte de Nomina'!$E$2)</f>
        <v>0</v>
      </c>
      <c r="B756" s="125">
        <f>Lista!A755</f>
        <v>0</v>
      </c>
      <c r="C756" s="125">
        <f>Lista!B755</f>
        <v>0</v>
      </c>
      <c r="D756" s="125">
        <f>Lista!C755</f>
        <v>0</v>
      </c>
      <c r="E756" s="125">
        <f>Lista!D755</f>
        <v>0</v>
      </c>
      <c r="F756" s="125">
        <f>Lista!E755</f>
        <v>0</v>
      </c>
      <c r="G756" s="125">
        <f>Lista!F755</f>
        <v>0</v>
      </c>
      <c r="H756" s="125">
        <f>Lista!G755</f>
        <v>0</v>
      </c>
      <c r="I756" s="125">
        <f>Lista!H755</f>
        <v>0</v>
      </c>
      <c r="J756" s="125">
        <f>Lista!I755</f>
        <v>0</v>
      </c>
      <c r="K756" s="125">
        <f>Lista!J755</f>
        <v>0</v>
      </c>
      <c r="L756" s="125">
        <f>Lista!K755</f>
        <v>0</v>
      </c>
      <c r="M756" s="125">
        <f>Lista!L755</f>
        <v>0</v>
      </c>
      <c r="N756" s="125">
        <f>Lista!M755</f>
        <v>0</v>
      </c>
      <c r="O756" s="125">
        <f>Lista!N755</f>
        <v>0</v>
      </c>
      <c r="P756" s="125">
        <f>Lista!O755</f>
        <v>0</v>
      </c>
      <c r="Q756" s="125">
        <f>Lista!P755</f>
        <v>0</v>
      </c>
      <c r="R756" s="125">
        <f>Lista!Q755</f>
        <v>0</v>
      </c>
      <c r="S756" s="125">
        <f>Lista!R755</f>
        <v>0</v>
      </c>
      <c r="T756" s="81"/>
      <c r="U756" s="81"/>
      <c r="V756" s="81"/>
      <c r="W756" s="81"/>
      <c r="X756" s="81"/>
      <c r="Y756" s="81"/>
      <c r="Z756" s="81"/>
      <c r="AA756" s="81"/>
      <c r="AB756" s="81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  <c r="BS756" s="81"/>
      <c r="BT756" s="81"/>
      <c r="BU756" s="81"/>
      <c r="BV756" s="81"/>
      <c r="BW756" s="81"/>
      <c r="BX756" s="81"/>
      <c r="BY756" s="81"/>
      <c r="BZ756" s="81"/>
      <c r="CA756" s="81"/>
      <c r="CB756" s="81"/>
      <c r="CC756" s="81"/>
      <c r="CD756" s="81"/>
      <c r="CE756" s="81"/>
      <c r="CF756" s="81"/>
      <c r="CG756" s="81"/>
      <c r="CH756" s="81"/>
      <c r="CI756" s="81"/>
      <c r="CJ756" s="81"/>
      <c r="CK756" s="81"/>
      <c r="CL756" s="81"/>
      <c r="CM756" s="81"/>
      <c r="CN756" s="81"/>
      <c r="CO756" s="81"/>
      <c r="CP756" s="81"/>
      <c r="CQ756" s="81"/>
      <c r="CR756" s="81"/>
      <c r="CS756" s="81"/>
      <c r="CT756" s="81"/>
      <c r="CU756" s="81"/>
      <c r="CV756" s="81"/>
      <c r="CW756" s="81"/>
      <c r="CX756" s="81"/>
      <c r="CY756" s="81"/>
      <c r="CZ756" s="81"/>
      <c r="DA756" s="81"/>
      <c r="DB756" s="81"/>
      <c r="DC756" s="81"/>
      <c r="DD756" s="81"/>
      <c r="DE756" s="81"/>
      <c r="DF756" s="81"/>
      <c r="DG756" s="81"/>
      <c r="DH756" s="81"/>
      <c r="DI756" s="81"/>
      <c r="DJ756" s="81"/>
      <c r="DK756" s="81"/>
      <c r="DL756" s="81"/>
      <c r="DM756" s="81"/>
      <c r="DN756" s="81"/>
      <c r="DO756" s="81"/>
      <c r="DP756" s="81"/>
      <c r="DQ756" s="81"/>
      <c r="DR756" s="81"/>
      <c r="DS756" s="81"/>
      <c r="DT756" s="81"/>
      <c r="DU756" s="81"/>
      <c r="DV756" s="81"/>
      <c r="DW756" s="121"/>
    </row>
    <row r="757" spans="1:127" x14ac:dyDescent="0.25">
      <c r="A757" s="2">
        <f>COUNTIF($D$2:D757,'Reporte de Nomina'!$E$2)</f>
        <v>0</v>
      </c>
      <c r="B757" s="125">
        <f>Lista!A756</f>
        <v>0</v>
      </c>
      <c r="C757" s="125">
        <f>Lista!B756</f>
        <v>0</v>
      </c>
      <c r="D757" s="125">
        <f>Lista!C756</f>
        <v>0</v>
      </c>
      <c r="E757" s="125">
        <f>Lista!D756</f>
        <v>0</v>
      </c>
      <c r="F757" s="125">
        <f>Lista!E756</f>
        <v>0</v>
      </c>
      <c r="G757" s="125">
        <f>Lista!F756</f>
        <v>0</v>
      </c>
      <c r="H757" s="125">
        <f>Lista!G756</f>
        <v>0</v>
      </c>
      <c r="I757" s="125">
        <f>Lista!H756</f>
        <v>0</v>
      </c>
      <c r="J757" s="125">
        <f>Lista!I756</f>
        <v>0</v>
      </c>
      <c r="K757" s="125">
        <f>Lista!J756</f>
        <v>0</v>
      </c>
      <c r="L757" s="125">
        <f>Lista!K756</f>
        <v>0</v>
      </c>
      <c r="M757" s="125">
        <f>Lista!L756</f>
        <v>0</v>
      </c>
      <c r="N757" s="125">
        <f>Lista!M756</f>
        <v>0</v>
      </c>
      <c r="O757" s="125">
        <f>Lista!N756</f>
        <v>0</v>
      </c>
      <c r="P757" s="125">
        <f>Lista!O756</f>
        <v>0</v>
      </c>
      <c r="Q757" s="125">
        <f>Lista!P756</f>
        <v>0</v>
      </c>
      <c r="R757" s="125">
        <f>Lista!Q756</f>
        <v>0</v>
      </c>
      <c r="S757" s="125">
        <f>Lista!R756</f>
        <v>0</v>
      </c>
      <c r="T757" s="81"/>
      <c r="U757" s="81"/>
      <c r="V757" s="81"/>
      <c r="W757" s="81"/>
      <c r="X757" s="81"/>
      <c r="Y757" s="81"/>
      <c r="Z757" s="81"/>
      <c r="AA757" s="81"/>
      <c r="AB757" s="81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  <c r="BS757" s="81"/>
      <c r="BT757" s="81"/>
      <c r="BU757" s="81"/>
      <c r="BV757" s="81"/>
      <c r="BW757" s="81"/>
      <c r="BX757" s="81"/>
      <c r="BY757" s="81"/>
      <c r="BZ757" s="81"/>
      <c r="CA757" s="81"/>
      <c r="CB757" s="81"/>
      <c r="CC757" s="81"/>
      <c r="CD757" s="81"/>
      <c r="CE757" s="81"/>
      <c r="CF757" s="81"/>
      <c r="CG757" s="81"/>
      <c r="CH757" s="81"/>
      <c r="CI757" s="81"/>
      <c r="CJ757" s="81"/>
      <c r="CK757" s="81"/>
      <c r="CL757" s="81"/>
      <c r="CM757" s="81"/>
      <c r="CN757" s="81"/>
      <c r="CO757" s="81"/>
      <c r="CP757" s="81"/>
      <c r="CQ757" s="81"/>
      <c r="CR757" s="81"/>
      <c r="CS757" s="81"/>
      <c r="CT757" s="81"/>
      <c r="CU757" s="81"/>
      <c r="CV757" s="81"/>
      <c r="CW757" s="81"/>
      <c r="CX757" s="81"/>
      <c r="CY757" s="81"/>
      <c r="CZ757" s="81"/>
      <c r="DA757" s="81"/>
      <c r="DB757" s="81"/>
      <c r="DC757" s="81"/>
      <c r="DD757" s="81"/>
      <c r="DE757" s="81"/>
      <c r="DF757" s="81"/>
      <c r="DG757" s="81"/>
      <c r="DH757" s="81"/>
      <c r="DI757" s="81"/>
      <c r="DJ757" s="81"/>
      <c r="DK757" s="81"/>
      <c r="DL757" s="81"/>
      <c r="DM757" s="81"/>
      <c r="DN757" s="81"/>
      <c r="DO757" s="81"/>
      <c r="DP757" s="81"/>
      <c r="DQ757" s="81"/>
      <c r="DR757" s="81"/>
      <c r="DS757" s="81"/>
      <c r="DT757" s="81"/>
      <c r="DU757" s="81"/>
      <c r="DV757" s="81"/>
      <c r="DW757" s="121"/>
    </row>
    <row r="758" spans="1:127" x14ac:dyDescent="0.25">
      <c r="A758" s="2">
        <f>COUNTIF($D$2:D758,'Reporte de Nomina'!$E$2)</f>
        <v>0</v>
      </c>
      <c r="B758" s="125">
        <f>Lista!A757</f>
        <v>0</v>
      </c>
      <c r="C758" s="125">
        <f>Lista!B757</f>
        <v>0</v>
      </c>
      <c r="D758" s="125">
        <f>Lista!C757</f>
        <v>0</v>
      </c>
      <c r="E758" s="125">
        <f>Lista!D757</f>
        <v>0</v>
      </c>
      <c r="F758" s="125">
        <f>Lista!E757</f>
        <v>0</v>
      </c>
      <c r="G758" s="125">
        <f>Lista!F757</f>
        <v>0</v>
      </c>
      <c r="H758" s="125">
        <f>Lista!G757</f>
        <v>0</v>
      </c>
      <c r="I758" s="125">
        <f>Lista!H757</f>
        <v>0</v>
      </c>
      <c r="J758" s="125">
        <f>Lista!I757</f>
        <v>0</v>
      </c>
      <c r="K758" s="125">
        <f>Lista!J757</f>
        <v>0</v>
      </c>
      <c r="L758" s="125">
        <f>Lista!K757</f>
        <v>0</v>
      </c>
      <c r="M758" s="125">
        <f>Lista!L757</f>
        <v>0</v>
      </c>
      <c r="N758" s="125">
        <f>Lista!M757</f>
        <v>0</v>
      </c>
      <c r="O758" s="125">
        <f>Lista!N757</f>
        <v>0</v>
      </c>
      <c r="P758" s="125">
        <f>Lista!O757</f>
        <v>0</v>
      </c>
      <c r="Q758" s="125">
        <f>Lista!P757</f>
        <v>0</v>
      </c>
      <c r="R758" s="125">
        <f>Lista!Q757</f>
        <v>0</v>
      </c>
      <c r="S758" s="125">
        <f>Lista!R757</f>
        <v>0</v>
      </c>
      <c r="T758" s="81"/>
      <c r="U758" s="81"/>
      <c r="V758" s="81"/>
      <c r="W758" s="81"/>
      <c r="X758" s="81"/>
      <c r="Y758" s="81"/>
      <c r="Z758" s="81"/>
      <c r="AA758" s="81"/>
      <c r="AB758" s="81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  <c r="BS758" s="81"/>
      <c r="BT758" s="81"/>
      <c r="BU758" s="81"/>
      <c r="BV758" s="81"/>
      <c r="BW758" s="81"/>
      <c r="BX758" s="81"/>
      <c r="BY758" s="81"/>
      <c r="BZ758" s="81"/>
      <c r="CA758" s="81"/>
      <c r="CB758" s="81"/>
      <c r="CC758" s="81"/>
      <c r="CD758" s="81"/>
      <c r="CE758" s="81"/>
      <c r="CF758" s="81"/>
      <c r="CG758" s="81"/>
      <c r="CH758" s="81"/>
      <c r="CI758" s="81"/>
      <c r="CJ758" s="81"/>
      <c r="CK758" s="81"/>
      <c r="CL758" s="81"/>
      <c r="CM758" s="81"/>
      <c r="CN758" s="81"/>
      <c r="CO758" s="81"/>
      <c r="CP758" s="81"/>
      <c r="CQ758" s="81"/>
      <c r="CR758" s="81"/>
      <c r="CS758" s="81"/>
      <c r="CT758" s="81"/>
      <c r="CU758" s="81"/>
      <c r="CV758" s="81"/>
      <c r="CW758" s="81"/>
      <c r="CX758" s="81"/>
      <c r="CY758" s="81"/>
      <c r="CZ758" s="81"/>
      <c r="DA758" s="81"/>
      <c r="DB758" s="81"/>
      <c r="DC758" s="81"/>
      <c r="DD758" s="81"/>
      <c r="DE758" s="81"/>
      <c r="DF758" s="81"/>
      <c r="DG758" s="81"/>
      <c r="DH758" s="81"/>
      <c r="DI758" s="81"/>
      <c r="DJ758" s="81"/>
      <c r="DK758" s="81"/>
      <c r="DL758" s="81"/>
      <c r="DM758" s="81"/>
      <c r="DN758" s="81"/>
      <c r="DO758" s="81"/>
      <c r="DP758" s="81"/>
      <c r="DQ758" s="81"/>
      <c r="DR758" s="81"/>
      <c r="DS758" s="81"/>
      <c r="DT758" s="81"/>
      <c r="DU758" s="81"/>
      <c r="DV758" s="81"/>
      <c r="DW758" s="121"/>
    </row>
    <row r="759" spans="1:127" x14ac:dyDescent="0.25">
      <c r="A759" s="2">
        <f>COUNTIF($D$2:D759,'Reporte de Nomina'!$E$2)</f>
        <v>0</v>
      </c>
      <c r="B759" s="125">
        <f>Lista!A758</f>
        <v>0</v>
      </c>
      <c r="C759" s="125">
        <f>Lista!B758</f>
        <v>0</v>
      </c>
      <c r="D759" s="125">
        <f>Lista!C758</f>
        <v>0</v>
      </c>
      <c r="E759" s="125">
        <f>Lista!D758</f>
        <v>0</v>
      </c>
      <c r="F759" s="125">
        <f>Lista!E758</f>
        <v>0</v>
      </c>
      <c r="G759" s="125">
        <f>Lista!F758</f>
        <v>0</v>
      </c>
      <c r="H759" s="125">
        <f>Lista!G758</f>
        <v>0</v>
      </c>
      <c r="I759" s="125">
        <f>Lista!H758</f>
        <v>0</v>
      </c>
      <c r="J759" s="125">
        <f>Lista!I758</f>
        <v>0</v>
      </c>
      <c r="K759" s="125">
        <f>Lista!J758</f>
        <v>0</v>
      </c>
      <c r="L759" s="125">
        <f>Lista!K758</f>
        <v>0</v>
      </c>
      <c r="M759" s="125">
        <f>Lista!L758</f>
        <v>0</v>
      </c>
      <c r="N759" s="125">
        <f>Lista!M758</f>
        <v>0</v>
      </c>
      <c r="O759" s="125">
        <f>Lista!N758</f>
        <v>0</v>
      </c>
      <c r="P759" s="125">
        <f>Lista!O758</f>
        <v>0</v>
      </c>
      <c r="Q759" s="125">
        <f>Lista!P758</f>
        <v>0</v>
      </c>
      <c r="R759" s="125">
        <f>Lista!Q758</f>
        <v>0</v>
      </c>
      <c r="S759" s="125">
        <f>Lista!R758</f>
        <v>0</v>
      </c>
      <c r="T759" s="81"/>
      <c r="U759" s="81"/>
      <c r="V759" s="81"/>
      <c r="W759" s="81"/>
      <c r="X759" s="81"/>
      <c r="Y759" s="81"/>
      <c r="Z759" s="81"/>
      <c r="AA759" s="81"/>
      <c r="AB759" s="81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  <c r="BS759" s="81"/>
      <c r="BT759" s="81"/>
      <c r="BU759" s="81"/>
      <c r="BV759" s="81"/>
      <c r="BW759" s="81"/>
      <c r="BX759" s="81"/>
      <c r="BY759" s="81"/>
      <c r="BZ759" s="81"/>
      <c r="CA759" s="81"/>
      <c r="CB759" s="81"/>
      <c r="CC759" s="81"/>
      <c r="CD759" s="81"/>
      <c r="CE759" s="81"/>
      <c r="CF759" s="81"/>
      <c r="CG759" s="81"/>
      <c r="CH759" s="81"/>
      <c r="CI759" s="81"/>
      <c r="CJ759" s="81"/>
      <c r="CK759" s="81"/>
      <c r="CL759" s="81"/>
      <c r="CM759" s="81"/>
      <c r="CN759" s="81"/>
      <c r="CO759" s="81"/>
      <c r="CP759" s="81"/>
      <c r="CQ759" s="81"/>
      <c r="CR759" s="81"/>
      <c r="CS759" s="81"/>
      <c r="CT759" s="81"/>
      <c r="CU759" s="81"/>
      <c r="CV759" s="81"/>
      <c r="CW759" s="81"/>
      <c r="CX759" s="81"/>
      <c r="CY759" s="81"/>
      <c r="CZ759" s="81"/>
      <c r="DA759" s="81"/>
      <c r="DB759" s="81"/>
      <c r="DC759" s="81"/>
      <c r="DD759" s="81"/>
      <c r="DE759" s="81"/>
      <c r="DF759" s="81"/>
      <c r="DG759" s="81"/>
      <c r="DH759" s="81"/>
      <c r="DI759" s="81"/>
      <c r="DJ759" s="81"/>
      <c r="DK759" s="81"/>
      <c r="DL759" s="81"/>
      <c r="DM759" s="81"/>
      <c r="DN759" s="81"/>
      <c r="DO759" s="81"/>
      <c r="DP759" s="81"/>
      <c r="DQ759" s="81"/>
      <c r="DR759" s="81"/>
      <c r="DS759" s="81"/>
      <c r="DT759" s="81"/>
      <c r="DU759" s="81"/>
      <c r="DV759" s="81"/>
      <c r="DW759" s="121"/>
    </row>
    <row r="760" spans="1:127" x14ac:dyDescent="0.25">
      <c r="A760" s="2">
        <f>COUNTIF($D$2:D760,'Reporte de Nomina'!$E$2)</f>
        <v>0</v>
      </c>
      <c r="B760" s="125">
        <f>Lista!A759</f>
        <v>0</v>
      </c>
      <c r="C760" s="125">
        <f>Lista!B759</f>
        <v>0</v>
      </c>
      <c r="D760" s="125">
        <f>Lista!C759</f>
        <v>0</v>
      </c>
      <c r="E760" s="125">
        <f>Lista!D759</f>
        <v>0</v>
      </c>
      <c r="F760" s="125">
        <f>Lista!E759</f>
        <v>0</v>
      </c>
      <c r="G760" s="125">
        <f>Lista!F759</f>
        <v>0</v>
      </c>
      <c r="H760" s="125">
        <f>Lista!G759</f>
        <v>0</v>
      </c>
      <c r="I760" s="125">
        <f>Lista!H759</f>
        <v>0</v>
      </c>
      <c r="J760" s="125">
        <f>Lista!I759</f>
        <v>0</v>
      </c>
      <c r="K760" s="125">
        <f>Lista!J759</f>
        <v>0</v>
      </c>
      <c r="L760" s="125">
        <f>Lista!K759</f>
        <v>0</v>
      </c>
      <c r="M760" s="125">
        <f>Lista!L759</f>
        <v>0</v>
      </c>
      <c r="N760" s="125">
        <f>Lista!M759</f>
        <v>0</v>
      </c>
      <c r="O760" s="125">
        <f>Lista!N759</f>
        <v>0</v>
      </c>
      <c r="P760" s="125">
        <f>Lista!O759</f>
        <v>0</v>
      </c>
      <c r="Q760" s="125">
        <f>Lista!P759</f>
        <v>0</v>
      </c>
      <c r="R760" s="125">
        <f>Lista!Q759</f>
        <v>0</v>
      </c>
      <c r="S760" s="125">
        <f>Lista!R759</f>
        <v>0</v>
      </c>
      <c r="T760" s="81"/>
      <c r="U760" s="81"/>
      <c r="V760" s="81"/>
      <c r="W760" s="81"/>
      <c r="X760" s="81"/>
      <c r="Y760" s="81"/>
      <c r="Z760" s="81"/>
      <c r="AA760" s="81"/>
      <c r="AB760" s="81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  <c r="BS760" s="81"/>
      <c r="BT760" s="81"/>
      <c r="BU760" s="81"/>
      <c r="BV760" s="81"/>
      <c r="BW760" s="81"/>
      <c r="BX760" s="81"/>
      <c r="BY760" s="81"/>
      <c r="BZ760" s="81"/>
      <c r="CA760" s="81"/>
      <c r="CB760" s="81"/>
      <c r="CC760" s="81"/>
      <c r="CD760" s="81"/>
      <c r="CE760" s="81"/>
      <c r="CF760" s="81"/>
      <c r="CG760" s="81"/>
      <c r="CH760" s="81"/>
      <c r="CI760" s="81"/>
      <c r="CJ760" s="81"/>
      <c r="CK760" s="81"/>
      <c r="CL760" s="81"/>
      <c r="CM760" s="81"/>
      <c r="CN760" s="81"/>
      <c r="CO760" s="81"/>
      <c r="CP760" s="81"/>
      <c r="CQ760" s="81"/>
      <c r="CR760" s="81"/>
      <c r="CS760" s="81"/>
      <c r="CT760" s="81"/>
      <c r="CU760" s="81"/>
      <c r="CV760" s="81"/>
      <c r="CW760" s="81"/>
      <c r="CX760" s="81"/>
      <c r="CY760" s="81"/>
      <c r="CZ760" s="81"/>
      <c r="DA760" s="81"/>
      <c r="DB760" s="81"/>
      <c r="DC760" s="81"/>
      <c r="DD760" s="81"/>
      <c r="DE760" s="81"/>
      <c r="DF760" s="81"/>
      <c r="DG760" s="81"/>
      <c r="DH760" s="81"/>
      <c r="DI760" s="81"/>
      <c r="DJ760" s="81"/>
      <c r="DK760" s="81"/>
      <c r="DL760" s="81"/>
      <c r="DM760" s="81"/>
      <c r="DN760" s="81"/>
      <c r="DO760" s="81"/>
      <c r="DP760" s="81"/>
      <c r="DQ760" s="81"/>
      <c r="DR760" s="81"/>
      <c r="DS760" s="81"/>
      <c r="DT760" s="81"/>
      <c r="DU760" s="81"/>
      <c r="DV760" s="81"/>
      <c r="DW760" s="121"/>
    </row>
    <row r="761" spans="1:127" x14ac:dyDescent="0.25">
      <c r="A761" s="2">
        <f>COUNTIF($D$2:D761,'Reporte de Nomina'!$E$2)</f>
        <v>0</v>
      </c>
      <c r="B761" s="125">
        <f>Lista!A760</f>
        <v>0</v>
      </c>
      <c r="C761" s="125">
        <f>Lista!B760</f>
        <v>0</v>
      </c>
      <c r="D761" s="125">
        <f>Lista!C760</f>
        <v>0</v>
      </c>
      <c r="E761" s="125">
        <f>Lista!D760</f>
        <v>0</v>
      </c>
      <c r="F761" s="125">
        <f>Lista!E760</f>
        <v>0</v>
      </c>
      <c r="G761" s="125">
        <f>Lista!F760</f>
        <v>0</v>
      </c>
      <c r="H761" s="125">
        <f>Lista!G760</f>
        <v>0</v>
      </c>
      <c r="I761" s="125">
        <f>Lista!H760</f>
        <v>0</v>
      </c>
      <c r="J761" s="125">
        <f>Lista!I760</f>
        <v>0</v>
      </c>
      <c r="K761" s="125">
        <f>Lista!J760</f>
        <v>0</v>
      </c>
      <c r="L761" s="125">
        <f>Lista!K760</f>
        <v>0</v>
      </c>
      <c r="M761" s="125">
        <f>Lista!L760</f>
        <v>0</v>
      </c>
      <c r="N761" s="125">
        <f>Lista!M760</f>
        <v>0</v>
      </c>
      <c r="O761" s="125">
        <f>Lista!N760</f>
        <v>0</v>
      </c>
      <c r="P761" s="125">
        <f>Lista!O760</f>
        <v>0</v>
      </c>
      <c r="Q761" s="125">
        <f>Lista!P760</f>
        <v>0</v>
      </c>
      <c r="R761" s="125">
        <f>Lista!Q760</f>
        <v>0</v>
      </c>
      <c r="S761" s="125">
        <f>Lista!R760</f>
        <v>0</v>
      </c>
      <c r="T761" s="81"/>
      <c r="U761" s="81"/>
      <c r="V761" s="81"/>
      <c r="W761" s="81"/>
      <c r="X761" s="81"/>
      <c r="Y761" s="81"/>
      <c r="Z761" s="81"/>
      <c r="AA761" s="81"/>
      <c r="AB761" s="81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  <c r="BS761" s="81"/>
      <c r="BT761" s="81"/>
      <c r="BU761" s="81"/>
      <c r="BV761" s="81"/>
      <c r="BW761" s="81"/>
      <c r="BX761" s="81"/>
      <c r="BY761" s="81"/>
      <c r="BZ761" s="81"/>
      <c r="CA761" s="81"/>
      <c r="CB761" s="81"/>
      <c r="CC761" s="81"/>
      <c r="CD761" s="81"/>
      <c r="CE761" s="81"/>
      <c r="CF761" s="81"/>
      <c r="CG761" s="81"/>
      <c r="CH761" s="81"/>
      <c r="CI761" s="81"/>
      <c r="CJ761" s="81"/>
      <c r="CK761" s="81"/>
      <c r="CL761" s="81"/>
      <c r="CM761" s="81"/>
      <c r="CN761" s="81"/>
      <c r="CO761" s="81"/>
      <c r="CP761" s="81"/>
      <c r="CQ761" s="81"/>
      <c r="CR761" s="81"/>
      <c r="CS761" s="81"/>
      <c r="CT761" s="81"/>
      <c r="CU761" s="81"/>
      <c r="CV761" s="81"/>
      <c r="CW761" s="81"/>
      <c r="CX761" s="81"/>
      <c r="CY761" s="81"/>
      <c r="CZ761" s="81"/>
      <c r="DA761" s="81"/>
      <c r="DB761" s="81"/>
      <c r="DC761" s="81"/>
      <c r="DD761" s="81"/>
      <c r="DE761" s="81"/>
      <c r="DF761" s="81"/>
      <c r="DG761" s="81"/>
      <c r="DH761" s="81"/>
      <c r="DI761" s="81"/>
      <c r="DJ761" s="81"/>
      <c r="DK761" s="81"/>
      <c r="DL761" s="81"/>
      <c r="DM761" s="81"/>
      <c r="DN761" s="81"/>
      <c r="DO761" s="81"/>
      <c r="DP761" s="81"/>
      <c r="DQ761" s="81"/>
      <c r="DR761" s="81"/>
      <c r="DS761" s="81"/>
      <c r="DT761" s="81"/>
      <c r="DU761" s="81"/>
      <c r="DV761" s="81"/>
      <c r="DW761" s="121"/>
    </row>
    <row r="762" spans="1:127" x14ac:dyDescent="0.25">
      <c r="A762" s="2">
        <f>COUNTIF($D$2:D762,'Reporte de Nomina'!$E$2)</f>
        <v>0</v>
      </c>
      <c r="B762" s="125">
        <f>Lista!A761</f>
        <v>0</v>
      </c>
      <c r="C762" s="125">
        <f>Lista!B761</f>
        <v>0</v>
      </c>
      <c r="D762" s="125">
        <f>Lista!C761</f>
        <v>0</v>
      </c>
      <c r="E762" s="125">
        <f>Lista!D761</f>
        <v>0</v>
      </c>
      <c r="F762" s="125">
        <f>Lista!E761</f>
        <v>0</v>
      </c>
      <c r="G762" s="125">
        <f>Lista!F761</f>
        <v>0</v>
      </c>
      <c r="H762" s="125">
        <f>Lista!G761</f>
        <v>0</v>
      </c>
      <c r="I762" s="125">
        <f>Lista!H761</f>
        <v>0</v>
      </c>
      <c r="J762" s="125">
        <f>Lista!I761</f>
        <v>0</v>
      </c>
      <c r="K762" s="125">
        <f>Lista!J761</f>
        <v>0</v>
      </c>
      <c r="L762" s="125">
        <f>Lista!K761</f>
        <v>0</v>
      </c>
      <c r="M762" s="125">
        <f>Lista!L761</f>
        <v>0</v>
      </c>
      <c r="N762" s="125">
        <f>Lista!M761</f>
        <v>0</v>
      </c>
      <c r="O762" s="125">
        <f>Lista!N761</f>
        <v>0</v>
      </c>
      <c r="P762" s="125">
        <f>Lista!O761</f>
        <v>0</v>
      </c>
      <c r="Q762" s="125">
        <f>Lista!P761</f>
        <v>0</v>
      </c>
      <c r="R762" s="125">
        <f>Lista!Q761</f>
        <v>0</v>
      </c>
      <c r="S762" s="125">
        <f>Lista!R761</f>
        <v>0</v>
      </c>
      <c r="T762" s="81"/>
      <c r="U762" s="81"/>
      <c r="V762" s="81"/>
      <c r="W762" s="81"/>
      <c r="X762" s="81"/>
      <c r="Y762" s="81"/>
      <c r="Z762" s="81"/>
      <c r="AA762" s="81"/>
      <c r="AB762" s="81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  <c r="BS762" s="81"/>
      <c r="BT762" s="81"/>
      <c r="BU762" s="81"/>
      <c r="BV762" s="81"/>
      <c r="BW762" s="81"/>
      <c r="BX762" s="81"/>
      <c r="BY762" s="81"/>
      <c r="BZ762" s="81"/>
      <c r="CA762" s="81"/>
      <c r="CB762" s="81"/>
      <c r="CC762" s="81"/>
      <c r="CD762" s="81"/>
      <c r="CE762" s="81"/>
      <c r="CF762" s="81"/>
      <c r="CG762" s="81"/>
      <c r="CH762" s="81"/>
      <c r="CI762" s="81"/>
      <c r="CJ762" s="81"/>
      <c r="CK762" s="81"/>
      <c r="CL762" s="81"/>
      <c r="CM762" s="81"/>
      <c r="CN762" s="81"/>
      <c r="CO762" s="81"/>
      <c r="CP762" s="81"/>
      <c r="CQ762" s="81"/>
      <c r="CR762" s="81"/>
      <c r="CS762" s="81"/>
      <c r="CT762" s="81"/>
      <c r="CU762" s="81"/>
      <c r="CV762" s="81"/>
      <c r="CW762" s="81"/>
      <c r="CX762" s="81"/>
      <c r="CY762" s="81"/>
      <c r="CZ762" s="81"/>
      <c r="DA762" s="81"/>
      <c r="DB762" s="81"/>
      <c r="DC762" s="81"/>
      <c r="DD762" s="81"/>
      <c r="DE762" s="81"/>
      <c r="DF762" s="81"/>
      <c r="DG762" s="81"/>
      <c r="DH762" s="81"/>
      <c r="DI762" s="81"/>
      <c r="DJ762" s="81"/>
      <c r="DK762" s="81"/>
      <c r="DL762" s="81"/>
      <c r="DM762" s="81"/>
      <c r="DN762" s="81"/>
      <c r="DO762" s="81"/>
      <c r="DP762" s="81"/>
      <c r="DQ762" s="81"/>
      <c r="DR762" s="81"/>
      <c r="DS762" s="81"/>
      <c r="DT762" s="81"/>
      <c r="DU762" s="81"/>
      <c r="DV762" s="81"/>
      <c r="DW762" s="121"/>
    </row>
    <row r="763" spans="1:127" x14ac:dyDescent="0.25">
      <c r="A763" s="2">
        <f>COUNTIF($D$2:D763,'Reporte de Nomina'!$E$2)</f>
        <v>0</v>
      </c>
      <c r="B763" s="125">
        <f>Lista!A762</f>
        <v>0</v>
      </c>
      <c r="C763" s="125">
        <f>Lista!B762</f>
        <v>0</v>
      </c>
      <c r="D763" s="125">
        <f>Lista!C762</f>
        <v>0</v>
      </c>
      <c r="E763" s="125">
        <f>Lista!D762</f>
        <v>0</v>
      </c>
      <c r="F763" s="125">
        <f>Lista!E762</f>
        <v>0</v>
      </c>
      <c r="G763" s="125">
        <f>Lista!F762</f>
        <v>0</v>
      </c>
      <c r="H763" s="125">
        <f>Lista!G762</f>
        <v>0</v>
      </c>
      <c r="I763" s="125">
        <f>Lista!H762</f>
        <v>0</v>
      </c>
      <c r="J763" s="125">
        <f>Lista!I762</f>
        <v>0</v>
      </c>
      <c r="K763" s="125">
        <f>Lista!J762</f>
        <v>0</v>
      </c>
      <c r="L763" s="125">
        <f>Lista!K762</f>
        <v>0</v>
      </c>
      <c r="M763" s="125">
        <f>Lista!L762</f>
        <v>0</v>
      </c>
      <c r="N763" s="125">
        <f>Lista!M762</f>
        <v>0</v>
      </c>
      <c r="O763" s="125">
        <f>Lista!N762</f>
        <v>0</v>
      </c>
      <c r="P763" s="125">
        <f>Lista!O762</f>
        <v>0</v>
      </c>
      <c r="Q763" s="125">
        <f>Lista!P762</f>
        <v>0</v>
      </c>
      <c r="R763" s="125">
        <f>Lista!Q762</f>
        <v>0</v>
      </c>
      <c r="S763" s="125">
        <f>Lista!R762</f>
        <v>0</v>
      </c>
      <c r="T763" s="81"/>
      <c r="U763" s="81"/>
      <c r="V763" s="81"/>
      <c r="W763" s="81"/>
      <c r="X763" s="81"/>
      <c r="Y763" s="81"/>
      <c r="Z763" s="81"/>
      <c r="AA763" s="81"/>
      <c r="AB763" s="81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  <c r="BS763" s="81"/>
      <c r="BT763" s="81"/>
      <c r="BU763" s="81"/>
      <c r="BV763" s="81"/>
      <c r="BW763" s="81"/>
      <c r="BX763" s="81"/>
      <c r="BY763" s="81"/>
      <c r="BZ763" s="81"/>
      <c r="CA763" s="81"/>
      <c r="CB763" s="81"/>
      <c r="CC763" s="81"/>
      <c r="CD763" s="81"/>
      <c r="CE763" s="81"/>
      <c r="CF763" s="81"/>
      <c r="CG763" s="81"/>
      <c r="CH763" s="81"/>
      <c r="CI763" s="81"/>
      <c r="CJ763" s="81"/>
      <c r="CK763" s="81"/>
      <c r="CL763" s="81"/>
      <c r="CM763" s="81"/>
      <c r="CN763" s="81"/>
      <c r="CO763" s="81"/>
      <c r="CP763" s="81"/>
      <c r="CQ763" s="81"/>
      <c r="CR763" s="81"/>
      <c r="CS763" s="81"/>
      <c r="CT763" s="81"/>
      <c r="CU763" s="81"/>
      <c r="CV763" s="81"/>
      <c r="CW763" s="81"/>
      <c r="CX763" s="81"/>
      <c r="CY763" s="81"/>
      <c r="CZ763" s="81"/>
      <c r="DA763" s="81"/>
      <c r="DB763" s="81"/>
      <c r="DC763" s="81"/>
      <c r="DD763" s="81"/>
      <c r="DE763" s="81"/>
      <c r="DF763" s="81"/>
      <c r="DG763" s="81"/>
      <c r="DH763" s="81"/>
      <c r="DI763" s="81"/>
      <c r="DJ763" s="81"/>
      <c r="DK763" s="81"/>
      <c r="DL763" s="81"/>
      <c r="DM763" s="81"/>
      <c r="DN763" s="81"/>
      <c r="DO763" s="81"/>
      <c r="DP763" s="81"/>
      <c r="DQ763" s="81"/>
      <c r="DR763" s="81"/>
      <c r="DS763" s="81"/>
      <c r="DT763" s="81"/>
      <c r="DU763" s="81"/>
      <c r="DV763" s="81"/>
      <c r="DW763" s="121"/>
    </row>
    <row r="764" spans="1:127" x14ac:dyDescent="0.25">
      <c r="A764" s="2">
        <f>COUNTIF($D$2:D764,'Reporte de Nomina'!$E$2)</f>
        <v>0</v>
      </c>
      <c r="B764" s="125">
        <f>Lista!A763</f>
        <v>0</v>
      </c>
      <c r="C764" s="125">
        <f>Lista!B763</f>
        <v>0</v>
      </c>
      <c r="D764" s="125">
        <f>Lista!C763</f>
        <v>0</v>
      </c>
      <c r="E764" s="125">
        <f>Lista!D763</f>
        <v>0</v>
      </c>
      <c r="F764" s="125">
        <f>Lista!E763</f>
        <v>0</v>
      </c>
      <c r="G764" s="125">
        <f>Lista!F763</f>
        <v>0</v>
      </c>
      <c r="H764" s="125">
        <f>Lista!G763</f>
        <v>0</v>
      </c>
      <c r="I764" s="125">
        <f>Lista!H763</f>
        <v>0</v>
      </c>
      <c r="J764" s="125">
        <f>Lista!I763</f>
        <v>0</v>
      </c>
      <c r="K764" s="125">
        <f>Lista!J763</f>
        <v>0</v>
      </c>
      <c r="L764" s="125">
        <f>Lista!K763</f>
        <v>0</v>
      </c>
      <c r="M764" s="125">
        <f>Lista!L763</f>
        <v>0</v>
      </c>
      <c r="N764" s="125">
        <f>Lista!M763</f>
        <v>0</v>
      </c>
      <c r="O764" s="125">
        <f>Lista!N763</f>
        <v>0</v>
      </c>
      <c r="P764" s="125">
        <f>Lista!O763</f>
        <v>0</v>
      </c>
      <c r="Q764" s="125">
        <f>Lista!P763</f>
        <v>0</v>
      </c>
      <c r="R764" s="125">
        <f>Lista!Q763</f>
        <v>0</v>
      </c>
      <c r="S764" s="125">
        <f>Lista!R763</f>
        <v>0</v>
      </c>
      <c r="T764" s="81"/>
      <c r="U764" s="81"/>
      <c r="V764" s="81"/>
      <c r="W764" s="81"/>
      <c r="X764" s="81"/>
      <c r="Y764" s="81"/>
      <c r="Z764" s="81"/>
      <c r="AA764" s="81"/>
      <c r="AB764" s="81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  <c r="BS764" s="81"/>
      <c r="BT764" s="81"/>
      <c r="BU764" s="81"/>
      <c r="BV764" s="81"/>
      <c r="BW764" s="81"/>
      <c r="BX764" s="81"/>
      <c r="BY764" s="81"/>
      <c r="BZ764" s="81"/>
      <c r="CA764" s="81"/>
      <c r="CB764" s="81"/>
      <c r="CC764" s="81"/>
      <c r="CD764" s="81"/>
      <c r="CE764" s="81"/>
      <c r="CF764" s="81"/>
      <c r="CG764" s="81"/>
      <c r="CH764" s="81"/>
      <c r="CI764" s="81"/>
      <c r="CJ764" s="81"/>
      <c r="CK764" s="81"/>
      <c r="CL764" s="81"/>
      <c r="CM764" s="81"/>
      <c r="CN764" s="81"/>
      <c r="CO764" s="81"/>
      <c r="CP764" s="81"/>
      <c r="CQ764" s="81"/>
      <c r="CR764" s="81"/>
      <c r="CS764" s="81"/>
      <c r="CT764" s="81"/>
      <c r="CU764" s="81"/>
      <c r="CV764" s="81"/>
      <c r="CW764" s="81"/>
      <c r="CX764" s="81"/>
      <c r="CY764" s="81"/>
      <c r="CZ764" s="81"/>
      <c r="DA764" s="81"/>
      <c r="DB764" s="81"/>
      <c r="DC764" s="81"/>
      <c r="DD764" s="81"/>
      <c r="DE764" s="81"/>
      <c r="DF764" s="81"/>
      <c r="DG764" s="81"/>
      <c r="DH764" s="81"/>
      <c r="DI764" s="81"/>
      <c r="DJ764" s="81"/>
      <c r="DK764" s="81"/>
      <c r="DL764" s="81"/>
      <c r="DM764" s="81"/>
      <c r="DN764" s="81"/>
      <c r="DO764" s="81"/>
      <c r="DP764" s="81"/>
      <c r="DQ764" s="81"/>
      <c r="DR764" s="81"/>
      <c r="DS764" s="81"/>
      <c r="DT764" s="81"/>
      <c r="DU764" s="81"/>
      <c r="DV764" s="81"/>
      <c r="DW764" s="121"/>
    </row>
    <row r="765" spans="1:127" x14ac:dyDescent="0.25">
      <c r="A765" s="2">
        <f>COUNTIF($D$2:D765,'Reporte de Nomina'!$E$2)</f>
        <v>0</v>
      </c>
      <c r="B765" s="125">
        <f>Lista!A764</f>
        <v>0</v>
      </c>
      <c r="C765" s="125">
        <f>Lista!B764</f>
        <v>0</v>
      </c>
      <c r="D765" s="125">
        <f>Lista!C764</f>
        <v>0</v>
      </c>
      <c r="E765" s="125">
        <f>Lista!D764</f>
        <v>0</v>
      </c>
      <c r="F765" s="125">
        <f>Lista!E764</f>
        <v>0</v>
      </c>
      <c r="G765" s="125">
        <f>Lista!F764</f>
        <v>0</v>
      </c>
      <c r="H765" s="125">
        <f>Lista!G764</f>
        <v>0</v>
      </c>
      <c r="I765" s="125">
        <f>Lista!H764</f>
        <v>0</v>
      </c>
      <c r="J765" s="125">
        <f>Lista!I764</f>
        <v>0</v>
      </c>
      <c r="K765" s="125">
        <f>Lista!J764</f>
        <v>0</v>
      </c>
      <c r="L765" s="125">
        <f>Lista!K764</f>
        <v>0</v>
      </c>
      <c r="M765" s="125">
        <f>Lista!L764</f>
        <v>0</v>
      </c>
      <c r="N765" s="125">
        <f>Lista!M764</f>
        <v>0</v>
      </c>
      <c r="O765" s="125">
        <f>Lista!N764</f>
        <v>0</v>
      </c>
      <c r="P765" s="125">
        <f>Lista!O764</f>
        <v>0</v>
      </c>
      <c r="Q765" s="125">
        <f>Lista!P764</f>
        <v>0</v>
      </c>
      <c r="R765" s="125">
        <f>Lista!Q764</f>
        <v>0</v>
      </c>
      <c r="S765" s="125">
        <f>Lista!R764</f>
        <v>0</v>
      </c>
      <c r="T765" s="81"/>
      <c r="U765" s="81"/>
      <c r="V765" s="81"/>
      <c r="W765" s="81"/>
      <c r="X765" s="81"/>
      <c r="Y765" s="81"/>
      <c r="Z765" s="81"/>
      <c r="AA765" s="81"/>
      <c r="AB765" s="81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  <c r="BS765" s="81"/>
      <c r="BT765" s="81"/>
      <c r="BU765" s="81"/>
      <c r="BV765" s="81"/>
      <c r="BW765" s="81"/>
      <c r="BX765" s="81"/>
      <c r="BY765" s="81"/>
      <c r="BZ765" s="81"/>
      <c r="CA765" s="81"/>
      <c r="CB765" s="81"/>
      <c r="CC765" s="81"/>
      <c r="CD765" s="81"/>
      <c r="CE765" s="81"/>
      <c r="CF765" s="81"/>
      <c r="CG765" s="81"/>
      <c r="CH765" s="81"/>
      <c r="CI765" s="81"/>
      <c r="CJ765" s="81"/>
      <c r="CK765" s="81"/>
      <c r="CL765" s="81"/>
      <c r="CM765" s="81"/>
      <c r="CN765" s="81"/>
      <c r="CO765" s="81"/>
      <c r="CP765" s="81"/>
      <c r="CQ765" s="81"/>
      <c r="CR765" s="81"/>
      <c r="CS765" s="81"/>
      <c r="CT765" s="81"/>
      <c r="CU765" s="81"/>
      <c r="CV765" s="81"/>
      <c r="CW765" s="81"/>
      <c r="CX765" s="81"/>
      <c r="CY765" s="81"/>
      <c r="CZ765" s="81"/>
      <c r="DA765" s="81"/>
      <c r="DB765" s="81"/>
      <c r="DC765" s="81"/>
      <c r="DD765" s="81"/>
      <c r="DE765" s="81"/>
      <c r="DF765" s="81"/>
      <c r="DG765" s="81"/>
      <c r="DH765" s="81"/>
      <c r="DI765" s="81"/>
      <c r="DJ765" s="81"/>
      <c r="DK765" s="81"/>
      <c r="DL765" s="81"/>
      <c r="DM765" s="81"/>
      <c r="DN765" s="81"/>
      <c r="DO765" s="81"/>
      <c r="DP765" s="81"/>
      <c r="DQ765" s="81"/>
      <c r="DR765" s="81"/>
      <c r="DS765" s="81"/>
      <c r="DT765" s="81"/>
      <c r="DU765" s="81"/>
      <c r="DV765" s="81"/>
      <c r="DW765" s="121"/>
    </row>
    <row r="766" spans="1:127" x14ac:dyDescent="0.25">
      <c r="A766" s="2">
        <f>COUNTIF($D$2:D766,'Reporte de Nomina'!$E$2)</f>
        <v>0</v>
      </c>
      <c r="B766" s="125">
        <f>Lista!A765</f>
        <v>0</v>
      </c>
      <c r="C766" s="125">
        <f>Lista!B765</f>
        <v>0</v>
      </c>
      <c r="D766" s="125">
        <f>Lista!C765</f>
        <v>0</v>
      </c>
      <c r="E766" s="125">
        <f>Lista!D765</f>
        <v>0</v>
      </c>
      <c r="F766" s="125">
        <f>Lista!E765</f>
        <v>0</v>
      </c>
      <c r="G766" s="125">
        <f>Lista!F765</f>
        <v>0</v>
      </c>
      <c r="H766" s="125">
        <f>Lista!G765</f>
        <v>0</v>
      </c>
      <c r="I766" s="125">
        <f>Lista!H765</f>
        <v>0</v>
      </c>
      <c r="J766" s="125">
        <f>Lista!I765</f>
        <v>0</v>
      </c>
      <c r="K766" s="125">
        <f>Lista!J765</f>
        <v>0</v>
      </c>
      <c r="L766" s="125">
        <f>Lista!K765</f>
        <v>0</v>
      </c>
      <c r="M766" s="125">
        <f>Lista!L765</f>
        <v>0</v>
      </c>
      <c r="N766" s="125">
        <f>Lista!M765</f>
        <v>0</v>
      </c>
      <c r="O766" s="125">
        <f>Lista!N765</f>
        <v>0</v>
      </c>
      <c r="P766" s="125">
        <f>Lista!O765</f>
        <v>0</v>
      </c>
      <c r="Q766" s="125">
        <f>Lista!P765</f>
        <v>0</v>
      </c>
      <c r="R766" s="125">
        <f>Lista!Q765</f>
        <v>0</v>
      </c>
      <c r="S766" s="125">
        <f>Lista!R765</f>
        <v>0</v>
      </c>
      <c r="T766" s="81"/>
      <c r="U766" s="81"/>
      <c r="V766" s="81"/>
      <c r="W766" s="81"/>
      <c r="X766" s="81"/>
      <c r="Y766" s="81"/>
      <c r="Z766" s="81"/>
      <c r="AA766" s="81"/>
      <c r="AB766" s="81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  <c r="BS766" s="81"/>
      <c r="BT766" s="81"/>
      <c r="BU766" s="81"/>
      <c r="BV766" s="81"/>
      <c r="BW766" s="81"/>
      <c r="BX766" s="81"/>
      <c r="BY766" s="81"/>
      <c r="BZ766" s="81"/>
      <c r="CA766" s="81"/>
      <c r="CB766" s="81"/>
      <c r="CC766" s="81"/>
      <c r="CD766" s="81"/>
      <c r="CE766" s="81"/>
      <c r="CF766" s="81"/>
      <c r="CG766" s="81"/>
      <c r="CH766" s="81"/>
      <c r="CI766" s="81"/>
      <c r="CJ766" s="81"/>
      <c r="CK766" s="81"/>
      <c r="CL766" s="81"/>
      <c r="CM766" s="81"/>
      <c r="CN766" s="81"/>
      <c r="CO766" s="81"/>
      <c r="CP766" s="81"/>
      <c r="CQ766" s="81"/>
      <c r="CR766" s="81"/>
      <c r="CS766" s="81"/>
      <c r="CT766" s="81"/>
      <c r="CU766" s="81"/>
      <c r="CV766" s="81"/>
      <c r="CW766" s="81"/>
      <c r="CX766" s="81"/>
      <c r="CY766" s="81"/>
      <c r="CZ766" s="81"/>
      <c r="DA766" s="81"/>
      <c r="DB766" s="81"/>
      <c r="DC766" s="81"/>
      <c r="DD766" s="81"/>
      <c r="DE766" s="81"/>
      <c r="DF766" s="81"/>
      <c r="DG766" s="81"/>
      <c r="DH766" s="81"/>
      <c r="DI766" s="81"/>
      <c r="DJ766" s="81"/>
      <c r="DK766" s="81"/>
      <c r="DL766" s="81"/>
      <c r="DM766" s="81"/>
      <c r="DN766" s="81"/>
      <c r="DO766" s="81"/>
      <c r="DP766" s="81"/>
      <c r="DQ766" s="81"/>
      <c r="DR766" s="81"/>
      <c r="DS766" s="81"/>
      <c r="DT766" s="81"/>
      <c r="DU766" s="81"/>
      <c r="DV766" s="81"/>
      <c r="DW766" s="121"/>
    </row>
    <row r="767" spans="1:127" x14ac:dyDescent="0.25">
      <c r="A767" s="2">
        <f>COUNTIF($D$2:D767,'Reporte de Nomina'!$E$2)</f>
        <v>0</v>
      </c>
      <c r="B767" s="125">
        <f>Lista!A766</f>
        <v>0</v>
      </c>
      <c r="C767" s="125">
        <f>Lista!B766</f>
        <v>0</v>
      </c>
      <c r="D767" s="125">
        <f>Lista!C766</f>
        <v>0</v>
      </c>
      <c r="E767" s="125">
        <f>Lista!D766</f>
        <v>0</v>
      </c>
      <c r="F767" s="125">
        <f>Lista!E766</f>
        <v>0</v>
      </c>
      <c r="G767" s="125">
        <f>Lista!F766</f>
        <v>0</v>
      </c>
      <c r="H767" s="125">
        <f>Lista!G766</f>
        <v>0</v>
      </c>
      <c r="I767" s="125">
        <f>Lista!H766</f>
        <v>0</v>
      </c>
      <c r="J767" s="125">
        <f>Lista!I766</f>
        <v>0</v>
      </c>
      <c r="K767" s="125">
        <f>Lista!J766</f>
        <v>0</v>
      </c>
      <c r="L767" s="125">
        <f>Lista!K766</f>
        <v>0</v>
      </c>
      <c r="M767" s="125">
        <f>Lista!L766</f>
        <v>0</v>
      </c>
      <c r="N767" s="125">
        <f>Lista!M766</f>
        <v>0</v>
      </c>
      <c r="O767" s="125">
        <f>Lista!N766</f>
        <v>0</v>
      </c>
      <c r="P767" s="125">
        <f>Lista!O766</f>
        <v>0</v>
      </c>
      <c r="Q767" s="125">
        <f>Lista!P766</f>
        <v>0</v>
      </c>
      <c r="R767" s="125">
        <f>Lista!Q766</f>
        <v>0</v>
      </c>
      <c r="S767" s="125">
        <f>Lista!R766</f>
        <v>0</v>
      </c>
      <c r="T767" s="81"/>
      <c r="U767" s="81"/>
      <c r="V767" s="81"/>
      <c r="W767" s="81"/>
      <c r="X767" s="81"/>
      <c r="Y767" s="81"/>
      <c r="Z767" s="81"/>
      <c r="AA767" s="81"/>
      <c r="AB767" s="81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  <c r="BS767" s="81"/>
      <c r="BT767" s="81"/>
      <c r="BU767" s="81"/>
      <c r="BV767" s="81"/>
      <c r="BW767" s="81"/>
      <c r="BX767" s="81"/>
      <c r="BY767" s="81"/>
      <c r="BZ767" s="81"/>
      <c r="CA767" s="81"/>
      <c r="CB767" s="81"/>
      <c r="CC767" s="81"/>
      <c r="CD767" s="81"/>
      <c r="CE767" s="81"/>
      <c r="CF767" s="81"/>
      <c r="CG767" s="81"/>
      <c r="CH767" s="81"/>
      <c r="CI767" s="81"/>
      <c r="CJ767" s="81"/>
      <c r="CK767" s="81"/>
      <c r="CL767" s="81"/>
      <c r="CM767" s="81"/>
      <c r="CN767" s="81"/>
      <c r="CO767" s="81"/>
      <c r="CP767" s="81"/>
      <c r="CQ767" s="81"/>
      <c r="CR767" s="81"/>
      <c r="CS767" s="81"/>
      <c r="CT767" s="81"/>
      <c r="CU767" s="81"/>
      <c r="CV767" s="81"/>
      <c r="CW767" s="81"/>
      <c r="CX767" s="81"/>
      <c r="CY767" s="81"/>
      <c r="CZ767" s="81"/>
      <c r="DA767" s="81"/>
      <c r="DB767" s="81"/>
      <c r="DC767" s="81"/>
      <c r="DD767" s="81"/>
      <c r="DE767" s="81"/>
      <c r="DF767" s="81"/>
      <c r="DG767" s="81"/>
      <c r="DH767" s="81"/>
      <c r="DI767" s="81"/>
      <c r="DJ767" s="81"/>
      <c r="DK767" s="81"/>
      <c r="DL767" s="81"/>
      <c r="DM767" s="81"/>
      <c r="DN767" s="81"/>
      <c r="DO767" s="81"/>
      <c r="DP767" s="81"/>
      <c r="DQ767" s="81"/>
      <c r="DR767" s="81"/>
      <c r="DS767" s="81"/>
      <c r="DT767" s="81"/>
      <c r="DU767" s="81"/>
      <c r="DV767" s="81"/>
      <c r="DW767" s="121"/>
    </row>
    <row r="768" spans="1:127" x14ac:dyDescent="0.25">
      <c r="A768" s="2">
        <f>COUNTIF($D$2:D768,'Reporte de Nomina'!$E$2)</f>
        <v>0</v>
      </c>
      <c r="B768" s="125">
        <f>Lista!A767</f>
        <v>0</v>
      </c>
      <c r="C768" s="125">
        <f>Lista!B767</f>
        <v>0</v>
      </c>
      <c r="D768" s="125">
        <f>Lista!C767</f>
        <v>0</v>
      </c>
      <c r="E768" s="125">
        <f>Lista!D767</f>
        <v>0</v>
      </c>
      <c r="F768" s="125">
        <f>Lista!E767</f>
        <v>0</v>
      </c>
      <c r="G768" s="125">
        <f>Lista!F767</f>
        <v>0</v>
      </c>
      <c r="H768" s="125">
        <f>Lista!G767</f>
        <v>0</v>
      </c>
      <c r="I768" s="125">
        <f>Lista!H767</f>
        <v>0</v>
      </c>
      <c r="J768" s="125">
        <f>Lista!I767</f>
        <v>0</v>
      </c>
      <c r="K768" s="125">
        <f>Lista!J767</f>
        <v>0</v>
      </c>
      <c r="L768" s="125">
        <f>Lista!K767</f>
        <v>0</v>
      </c>
      <c r="M768" s="125">
        <f>Lista!L767</f>
        <v>0</v>
      </c>
      <c r="N768" s="125">
        <f>Lista!M767</f>
        <v>0</v>
      </c>
      <c r="O768" s="125">
        <f>Lista!N767</f>
        <v>0</v>
      </c>
      <c r="P768" s="125">
        <f>Lista!O767</f>
        <v>0</v>
      </c>
      <c r="Q768" s="125">
        <f>Lista!P767</f>
        <v>0</v>
      </c>
      <c r="R768" s="125">
        <f>Lista!Q767</f>
        <v>0</v>
      </c>
      <c r="S768" s="125">
        <f>Lista!R767</f>
        <v>0</v>
      </c>
      <c r="T768" s="81"/>
      <c r="U768" s="81"/>
      <c r="V768" s="81"/>
      <c r="W768" s="81"/>
      <c r="X768" s="81"/>
      <c r="Y768" s="81"/>
      <c r="Z768" s="81"/>
      <c r="AA768" s="81"/>
      <c r="AB768" s="81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  <c r="BS768" s="81"/>
      <c r="BT768" s="81"/>
      <c r="BU768" s="81"/>
      <c r="BV768" s="81"/>
      <c r="BW768" s="81"/>
      <c r="BX768" s="81"/>
      <c r="BY768" s="81"/>
      <c r="BZ768" s="81"/>
      <c r="CA768" s="81"/>
      <c r="CB768" s="81"/>
      <c r="CC768" s="81"/>
      <c r="CD768" s="81"/>
      <c r="CE768" s="81"/>
      <c r="CF768" s="81"/>
      <c r="CG768" s="81"/>
      <c r="CH768" s="81"/>
      <c r="CI768" s="81"/>
      <c r="CJ768" s="81"/>
      <c r="CK768" s="81"/>
      <c r="CL768" s="81"/>
      <c r="CM768" s="81"/>
      <c r="CN768" s="81"/>
      <c r="CO768" s="81"/>
      <c r="CP768" s="81"/>
      <c r="CQ768" s="81"/>
      <c r="CR768" s="81"/>
      <c r="CS768" s="81"/>
      <c r="CT768" s="81"/>
      <c r="CU768" s="81"/>
      <c r="CV768" s="81"/>
      <c r="CW768" s="81"/>
      <c r="CX768" s="81"/>
      <c r="CY768" s="81"/>
      <c r="CZ768" s="81"/>
      <c r="DA768" s="81"/>
      <c r="DB768" s="81"/>
      <c r="DC768" s="81"/>
      <c r="DD768" s="81"/>
      <c r="DE768" s="81"/>
      <c r="DF768" s="81"/>
      <c r="DG768" s="81"/>
      <c r="DH768" s="81"/>
      <c r="DI768" s="81"/>
      <c r="DJ768" s="81"/>
      <c r="DK768" s="81"/>
      <c r="DL768" s="81"/>
      <c r="DM768" s="81"/>
      <c r="DN768" s="81"/>
      <c r="DO768" s="81"/>
      <c r="DP768" s="81"/>
      <c r="DQ768" s="81"/>
      <c r="DR768" s="81"/>
      <c r="DS768" s="81"/>
      <c r="DT768" s="81"/>
      <c r="DU768" s="81"/>
      <c r="DV768" s="81"/>
      <c r="DW768" s="121"/>
    </row>
    <row r="769" spans="1:127" x14ac:dyDescent="0.25">
      <c r="A769" s="2">
        <f>COUNTIF($D$2:D769,'Reporte de Nomina'!$E$2)</f>
        <v>0</v>
      </c>
      <c r="B769" s="125">
        <f>Lista!A768</f>
        <v>0</v>
      </c>
      <c r="C769" s="125">
        <f>Lista!B768</f>
        <v>0</v>
      </c>
      <c r="D769" s="125">
        <f>Lista!C768</f>
        <v>0</v>
      </c>
      <c r="E769" s="125">
        <f>Lista!D768</f>
        <v>0</v>
      </c>
      <c r="F769" s="125">
        <f>Lista!E768</f>
        <v>0</v>
      </c>
      <c r="G769" s="125">
        <f>Lista!F768</f>
        <v>0</v>
      </c>
      <c r="H769" s="125">
        <f>Lista!G768</f>
        <v>0</v>
      </c>
      <c r="I769" s="125">
        <f>Lista!H768</f>
        <v>0</v>
      </c>
      <c r="J769" s="125">
        <f>Lista!I768</f>
        <v>0</v>
      </c>
      <c r="K769" s="125">
        <f>Lista!J768</f>
        <v>0</v>
      </c>
      <c r="L769" s="125">
        <f>Lista!K768</f>
        <v>0</v>
      </c>
      <c r="M769" s="125">
        <f>Lista!L768</f>
        <v>0</v>
      </c>
      <c r="N769" s="125">
        <f>Lista!M768</f>
        <v>0</v>
      </c>
      <c r="O769" s="125">
        <f>Lista!N768</f>
        <v>0</v>
      </c>
      <c r="P769" s="125">
        <f>Lista!O768</f>
        <v>0</v>
      </c>
      <c r="Q769" s="125">
        <f>Lista!P768</f>
        <v>0</v>
      </c>
      <c r="R769" s="125">
        <f>Lista!Q768</f>
        <v>0</v>
      </c>
      <c r="S769" s="125">
        <f>Lista!R768</f>
        <v>0</v>
      </c>
      <c r="T769" s="81"/>
      <c r="U769" s="81"/>
      <c r="V769" s="81"/>
      <c r="W769" s="81"/>
      <c r="X769" s="81"/>
      <c r="Y769" s="81"/>
      <c r="Z769" s="81"/>
      <c r="AA769" s="81"/>
      <c r="AB769" s="81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  <c r="BS769" s="81"/>
      <c r="BT769" s="81"/>
      <c r="BU769" s="81"/>
      <c r="BV769" s="81"/>
      <c r="BW769" s="81"/>
      <c r="BX769" s="81"/>
      <c r="BY769" s="81"/>
      <c r="BZ769" s="81"/>
      <c r="CA769" s="81"/>
      <c r="CB769" s="81"/>
      <c r="CC769" s="81"/>
      <c r="CD769" s="81"/>
      <c r="CE769" s="81"/>
      <c r="CF769" s="81"/>
      <c r="CG769" s="81"/>
      <c r="CH769" s="81"/>
      <c r="CI769" s="81"/>
      <c r="CJ769" s="81"/>
      <c r="CK769" s="81"/>
      <c r="CL769" s="81"/>
      <c r="CM769" s="81"/>
      <c r="CN769" s="81"/>
      <c r="CO769" s="81"/>
      <c r="CP769" s="81"/>
      <c r="CQ769" s="81"/>
      <c r="CR769" s="81"/>
      <c r="CS769" s="81"/>
      <c r="CT769" s="81"/>
      <c r="CU769" s="81"/>
      <c r="CV769" s="81"/>
      <c r="CW769" s="81"/>
      <c r="CX769" s="81"/>
      <c r="CY769" s="81"/>
      <c r="CZ769" s="81"/>
      <c r="DA769" s="81"/>
      <c r="DB769" s="81"/>
      <c r="DC769" s="81"/>
      <c r="DD769" s="81"/>
      <c r="DE769" s="81"/>
      <c r="DF769" s="81"/>
      <c r="DG769" s="81"/>
      <c r="DH769" s="81"/>
      <c r="DI769" s="81"/>
      <c r="DJ769" s="81"/>
      <c r="DK769" s="81"/>
      <c r="DL769" s="81"/>
      <c r="DM769" s="81"/>
      <c r="DN769" s="81"/>
      <c r="DO769" s="81"/>
      <c r="DP769" s="81"/>
      <c r="DQ769" s="81"/>
      <c r="DR769" s="81"/>
      <c r="DS769" s="81"/>
      <c r="DT769" s="81"/>
      <c r="DU769" s="81"/>
      <c r="DV769" s="81"/>
      <c r="DW769" s="121"/>
    </row>
    <row r="770" spans="1:127" x14ac:dyDescent="0.25">
      <c r="A770" s="2">
        <f>COUNTIF($D$2:D770,'Reporte de Nomina'!$E$2)</f>
        <v>0</v>
      </c>
      <c r="B770" s="125">
        <f>Lista!A769</f>
        <v>0</v>
      </c>
      <c r="C770" s="125">
        <f>Lista!B769</f>
        <v>0</v>
      </c>
      <c r="D770" s="125">
        <f>Lista!C769</f>
        <v>0</v>
      </c>
      <c r="E770" s="125">
        <f>Lista!D769</f>
        <v>0</v>
      </c>
      <c r="F770" s="125">
        <f>Lista!E769</f>
        <v>0</v>
      </c>
      <c r="G770" s="125">
        <f>Lista!F769</f>
        <v>0</v>
      </c>
      <c r="H770" s="125">
        <f>Lista!G769</f>
        <v>0</v>
      </c>
      <c r="I770" s="125">
        <f>Lista!H769</f>
        <v>0</v>
      </c>
      <c r="J770" s="125">
        <f>Lista!I769</f>
        <v>0</v>
      </c>
      <c r="K770" s="125">
        <f>Lista!J769</f>
        <v>0</v>
      </c>
      <c r="L770" s="125">
        <f>Lista!K769</f>
        <v>0</v>
      </c>
      <c r="M770" s="125">
        <f>Lista!L769</f>
        <v>0</v>
      </c>
      <c r="N770" s="125">
        <f>Lista!M769</f>
        <v>0</v>
      </c>
      <c r="O770" s="125">
        <f>Lista!N769</f>
        <v>0</v>
      </c>
      <c r="P770" s="125">
        <f>Lista!O769</f>
        <v>0</v>
      </c>
      <c r="Q770" s="125">
        <f>Lista!P769</f>
        <v>0</v>
      </c>
      <c r="R770" s="125">
        <f>Lista!Q769</f>
        <v>0</v>
      </c>
      <c r="S770" s="125">
        <f>Lista!R769</f>
        <v>0</v>
      </c>
      <c r="T770" s="81"/>
      <c r="U770" s="81"/>
      <c r="V770" s="81"/>
      <c r="W770" s="81"/>
      <c r="X770" s="81"/>
      <c r="Y770" s="81"/>
      <c r="Z770" s="81"/>
      <c r="AA770" s="81"/>
      <c r="AB770" s="81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  <c r="BS770" s="81"/>
      <c r="BT770" s="81"/>
      <c r="BU770" s="81"/>
      <c r="BV770" s="81"/>
      <c r="BW770" s="81"/>
      <c r="BX770" s="81"/>
      <c r="BY770" s="81"/>
      <c r="BZ770" s="81"/>
      <c r="CA770" s="81"/>
      <c r="CB770" s="81"/>
      <c r="CC770" s="81"/>
      <c r="CD770" s="81"/>
      <c r="CE770" s="81"/>
      <c r="CF770" s="81"/>
      <c r="CG770" s="81"/>
      <c r="CH770" s="81"/>
      <c r="CI770" s="81"/>
      <c r="CJ770" s="81"/>
      <c r="CK770" s="81"/>
      <c r="CL770" s="81"/>
      <c r="CM770" s="81"/>
      <c r="CN770" s="81"/>
      <c r="CO770" s="81"/>
      <c r="CP770" s="81"/>
      <c r="CQ770" s="81"/>
      <c r="CR770" s="81"/>
      <c r="CS770" s="81"/>
      <c r="CT770" s="81"/>
      <c r="CU770" s="81"/>
      <c r="CV770" s="81"/>
      <c r="CW770" s="81"/>
      <c r="CX770" s="81"/>
      <c r="CY770" s="81"/>
      <c r="CZ770" s="81"/>
      <c r="DA770" s="81"/>
      <c r="DB770" s="81"/>
      <c r="DC770" s="81"/>
      <c r="DD770" s="81"/>
      <c r="DE770" s="81"/>
      <c r="DF770" s="81"/>
      <c r="DG770" s="81"/>
      <c r="DH770" s="81"/>
      <c r="DI770" s="81"/>
      <c r="DJ770" s="81"/>
      <c r="DK770" s="81"/>
      <c r="DL770" s="81"/>
      <c r="DM770" s="81"/>
      <c r="DN770" s="81"/>
      <c r="DO770" s="81"/>
      <c r="DP770" s="81"/>
      <c r="DQ770" s="81"/>
      <c r="DR770" s="81"/>
      <c r="DS770" s="81"/>
      <c r="DT770" s="81"/>
      <c r="DU770" s="81"/>
      <c r="DV770" s="81"/>
      <c r="DW770" s="121"/>
    </row>
    <row r="771" spans="1:127" x14ac:dyDescent="0.25">
      <c r="A771" s="2">
        <f>COUNTIF($D$2:D771,'Reporte de Nomina'!$E$2)</f>
        <v>0</v>
      </c>
      <c r="B771" s="125">
        <f>Lista!A770</f>
        <v>0</v>
      </c>
      <c r="C771" s="125">
        <f>Lista!B770</f>
        <v>0</v>
      </c>
      <c r="D771" s="125">
        <f>Lista!C770</f>
        <v>0</v>
      </c>
      <c r="E771" s="125">
        <f>Lista!D770</f>
        <v>0</v>
      </c>
      <c r="F771" s="125">
        <f>Lista!E770</f>
        <v>0</v>
      </c>
      <c r="G771" s="125">
        <f>Lista!F770</f>
        <v>0</v>
      </c>
      <c r="H771" s="125">
        <f>Lista!G770</f>
        <v>0</v>
      </c>
      <c r="I771" s="125">
        <f>Lista!H770</f>
        <v>0</v>
      </c>
      <c r="J771" s="125">
        <f>Lista!I770</f>
        <v>0</v>
      </c>
      <c r="K771" s="125">
        <f>Lista!J770</f>
        <v>0</v>
      </c>
      <c r="L771" s="125">
        <f>Lista!K770</f>
        <v>0</v>
      </c>
      <c r="M771" s="125">
        <f>Lista!L770</f>
        <v>0</v>
      </c>
      <c r="N771" s="125">
        <f>Lista!M770</f>
        <v>0</v>
      </c>
      <c r="O771" s="125">
        <f>Lista!N770</f>
        <v>0</v>
      </c>
      <c r="P771" s="125">
        <f>Lista!O770</f>
        <v>0</v>
      </c>
      <c r="Q771" s="125">
        <f>Lista!P770</f>
        <v>0</v>
      </c>
      <c r="R771" s="125">
        <f>Lista!Q770</f>
        <v>0</v>
      </c>
      <c r="S771" s="125">
        <f>Lista!R770</f>
        <v>0</v>
      </c>
      <c r="T771" s="81"/>
      <c r="U771" s="81"/>
      <c r="V771" s="81"/>
      <c r="W771" s="81"/>
      <c r="X771" s="81"/>
      <c r="Y771" s="81"/>
      <c r="Z771" s="81"/>
      <c r="AA771" s="81"/>
      <c r="AB771" s="81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  <c r="BS771" s="81"/>
      <c r="BT771" s="81"/>
      <c r="BU771" s="81"/>
      <c r="BV771" s="81"/>
      <c r="BW771" s="81"/>
      <c r="BX771" s="81"/>
      <c r="BY771" s="81"/>
      <c r="BZ771" s="81"/>
      <c r="CA771" s="81"/>
      <c r="CB771" s="81"/>
      <c r="CC771" s="81"/>
      <c r="CD771" s="81"/>
      <c r="CE771" s="81"/>
      <c r="CF771" s="81"/>
      <c r="CG771" s="81"/>
      <c r="CH771" s="81"/>
      <c r="CI771" s="81"/>
      <c r="CJ771" s="81"/>
      <c r="CK771" s="81"/>
      <c r="CL771" s="81"/>
      <c r="CM771" s="81"/>
      <c r="CN771" s="81"/>
      <c r="CO771" s="81"/>
      <c r="CP771" s="81"/>
      <c r="CQ771" s="81"/>
      <c r="CR771" s="81"/>
      <c r="CS771" s="81"/>
      <c r="CT771" s="81"/>
      <c r="CU771" s="81"/>
      <c r="CV771" s="81"/>
      <c r="CW771" s="81"/>
      <c r="CX771" s="81"/>
      <c r="CY771" s="81"/>
      <c r="CZ771" s="81"/>
      <c r="DA771" s="81"/>
      <c r="DB771" s="81"/>
      <c r="DC771" s="81"/>
      <c r="DD771" s="81"/>
      <c r="DE771" s="81"/>
      <c r="DF771" s="81"/>
      <c r="DG771" s="81"/>
      <c r="DH771" s="81"/>
      <c r="DI771" s="81"/>
      <c r="DJ771" s="81"/>
      <c r="DK771" s="81"/>
      <c r="DL771" s="81"/>
      <c r="DM771" s="81"/>
      <c r="DN771" s="81"/>
      <c r="DO771" s="81"/>
      <c r="DP771" s="81"/>
      <c r="DQ771" s="81"/>
      <c r="DR771" s="81"/>
      <c r="DS771" s="81"/>
      <c r="DT771" s="81"/>
      <c r="DU771" s="81"/>
      <c r="DV771" s="81"/>
      <c r="DW771" s="121"/>
    </row>
    <row r="772" spans="1:127" x14ac:dyDescent="0.25">
      <c r="A772" s="2">
        <f>COUNTIF($D$2:D772,'Reporte de Nomina'!$E$2)</f>
        <v>0</v>
      </c>
      <c r="B772" s="125">
        <f>Lista!A771</f>
        <v>0</v>
      </c>
      <c r="C772" s="125">
        <f>Lista!B771</f>
        <v>0</v>
      </c>
      <c r="D772" s="125">
        <f>Lista!C771</f>
        <v>0</v>
      </c>
      <c r="E772" s="125">
        <f>Lista!D771</f>
        <v>0</v>
      </c>
      <c r="F772" s="125">
        <f>Lista!E771</f>
        <v>0</v>
      </c>
      <c r="G772" s="125">
        <f>Lista!F771</f>
        <v>0</v>
      </c>
      <c r="H772" s="125">
        <f>Lista!G771</f>
        <v>0</v>
      </c>
      <c r="I772" s="125">
        <f>Lista!H771</f>
        <v>0</v>
      </c>
      <c r="J772" s="125">
        <f>Lista!I771</f>
        <v>0</v>
      </c>
      <c r="K772" s="125">
        <f>Lista!J771</f>
        <v>0</v>
      </c>
      <c r="L772" s="125">
        <f>Lista!K771</f>
        <v>0</v>
      </c>
      <c r="M772" s="125">
        <f>Lista!L771</f>
        <v>0</v>
      </c>
      <c r="N772" s="125">
        <f>Lista!M771</f>
        <v>0</v>
      </c>
      <c r="O772" s="125">
        <f>Lista!N771</f>
        <v>0</v>
      </c>
      <c r="P772" s="125">
        <f>Lista!O771</f>
        <v>0</v>
      </c>
      <c r="Q772" s="125">
        <f>Lista!P771</f>
        <v>0</v>
      </c>
      <c r="R772" s="125">
        <f>Lista!Q771</f>
        <v>0</v>
      </c>
      <c r="S772" s="125">
        <f>Lista!R771</f>
        <v>0</v>
      </c>
      <c r="T772" s="81"/>
      <c r="U772" s="81"/>
      <c r="V772" s="81"/>
      <c r="W772" s="81"/>
      <c r="X772" s="81"/>
      <c r="Y772" s="81"/>
      <c r="Z772" s="81"/>
      <c r="AA772" s="81"/>
      <c r="AB772" s="81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  <c r="BS772" s="81"/>
      <c r="BT772" s="81"/>
      <c r="BU772" s="81"/>
      <c r="BV772" s="81"/>
      <c r="BW772" s="81"/>
      <c r="BX772" s="81"/>
      <c r="BY772" s="81"/>
      <c r="BZ772" s="81"/>
      <c r="CA772" s="81"/>
      <c r="CB772" s="81"/>
      <c r="CC772" s="81"/>
      <c r="CD772" s="81"/>
      <c r="CE772" s="81"/>
      <c r="CF772" s="81"/>
      <c r="CG772" s="81"/>
      <c r="CH772" s="81"/>
      <c r="CI772" s="81"/>
      <c r="CJ772" s="81"/>
      <c r="CK772" s="81"/>
      <c r="CL772" s="81"/>
      <c r="CM772" s="81"/>
      <c r="CN772" s="81"/>
      <c r="CO772" s="81"/>
      <c r="CP772" s="81"/>
      <c r="CQ772" s="81"/>
      <c r="CR772" s="81"/>
      <c r="CS772" s="81"/>
      <c r="CT772" s="81"/>
      <c r="CU772" s="81"/>
      <c r="CV772" s="81"/>
      <c r="CW772" s="81"/>
      <c r="CX772" s="81"/>
      <c r="CY772" s="81"/>
      <c r="CZ772" s="81"/>
      <c r="DA772" s="81"/>
      <c r="DB772" s="81"/>
      <c r="DC772" s="81"/>
      <c r="DD772" s="81"/>
      <c r="DE772" s="81"/>
      <c r="DF772" s="81"/>
      <c r="DG772" s="81"/>
      <c r="DH772" s="81"/>
      <c r="DI772" s="81"/>
      <c r="DJ772" s="81"/>
      <c r="DK772" s="81"/>
      <c r="DL772" s="81"/>
      <c r="DM772" s="81"/>
      <c r="DN772" s="81"/>
      <c r="DO772" s="81"/>
      <c r="DP772" s="81"/>
      <c r="DQ772" s="81"/>
      <c r="DR772" s="81"/>
      <c r="DS772" s="81"/>
      <c r="DT772" s="81"/>
      <c r="DU772" s="81"/>
      <c r="DV772" s="81"/>
      <c r="DW772" s="121"/>
    </row>
    <row r="773" spans="1:127" x14ac:dyDescent="0.25">
      <c r="A773" s="2">
        <f>COUNTIF($D$2:D773,'Reporte de Nomina'!$E$2)</f>
        <v>0</v>
      </c>
      <c r="B773" s="125">
        <f>Lista!A772</f>
        <v>0</v>
      </c>
      <c r="C773" s="125">
        <f>Lista!B772</f>
        <v>0</v>
      </c>
      <c r="D773" s="125">
        <f>Lista!C772</f>
        <v>0</v>
      </c>
      <c r="E773" s="125">
        <f>Lista!D772</f>
        <v>0</v>
      </c>
      <c r="F773" s="125">
        <f>Lista!E772</f>
        <v>0</v>
      </c>
      <c r="G773" s="125">
        <f>Lista!F772</f>
        <v>0</v>
      </c>
      <c r="H773" s="125">
        <f>Lista!G772</f>
        <v>0</v>
      </c>
      <c r="I773" s="125">
        <f>Lista!H772</f>
        <v>0</v>
      </c>
      <c r="J773" s="125">
        <f>Lista!I772</f>
        <v>0</v>
      </c>
      <c r="K773" s="125">
        <f>Lista!J772</f>
        <v>0</v>
      </c>
      <c r="L773" s="125">
        <f>Lista!K772</f>
        <v>0</v>
      </c>
      <c r="M773" s="125">
        <f>Lista!L772</f>
        <v>0</v>
      </c>
      <c r="N773" s="125">
        <f>Lista!M772</f>
        <v>0</v>
      </c>
      <c r="O773" s="125">
        <f>Lista!N772</f>
        <v>0</v>
      </c>
      <c r="P773" s="125">
        <f>Lista!O772</f>
        <v>0</v>
      </c>
      <c r="Q773" s="125">
        <f>Lista!P772</f>
        <v>0</v>
      </c>
      <c r="R773" s="125">
        <f>Lista!Q772</f>
        <v>0</v>
      </c>
      <c r="S773" s="125">
        <f>Lista!R772</f>
        <v>0</v>
      </c>
      <c r="T773" s="81"/>
      <c r="U773" s="81"/>
      <c r="V773" s="81"/>
      <c r="W773" s="81"/>
      <c r="X773" s="81"/>
      <c r="Y773" s="81"/>
      <c r="Z773" s="81"/>
      <c r="AA773" s="81"/>
      <c r="AB773" s="81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  <c r="BS773" s="81"/>
      <c r="BT773" s="81"/>
      <c r="BU773" s="81"/>
      <c r="BV773" s="81"/>
      <c r="BW773" s="81"/>
      <c r="BX773" s="81"/>
      <c r="BY773" s="81"/>
      <c r="BZ773" s="81"/>
      <c r="CA773" s="81"/>
      <c r="CB773" s="81"/>
      <c r="CC773" s="81"/>
      <c r="CD773" s="81"/>
      <c r="CE773" s="81"/>
      <c r="CF773" s="81"/>
      <c r="CG773" s="81"/>
      <c r="CH773" s="81"/>
      <c r="CI773" s="81"/>
      <c r="CJ773" s="81"/>
      <c r="CK773" s="81"/>
      <c r="CL773" s="81"/>
      <c r="CM773" s="81"/>
      <c r="CN773" s="81"/>
      <c r="CO773" s="81"/>
      <c r="CP773" s="81"/>
      <c r="CQ773" s="81"/>
      <c r="CR773" s="81"/>
      <c r="CS773" s="81"/>
      <c r="CT773" s="81"/>
      <c r="CU773" s="81"/>
      <c r="CV773" s="81"/>
      <c r="CW773" s="81"/>
      <c r="CX773" s="81"/>
      <c r="CY773" s="81"/>
      <c r="CZ773" s="81"/>
      <c r="DA773" s="81"/>
      <c r="DB773" s="81"/>
      <c r="DC773" s="81"/>
      <c r="DD773" s="81"/>
      <c r="DE773" s="81"/>
      <c r="DF773" s="81"/>
      <c r="DG773" s="81"/>
      <c r="DH773" s="81"/>
      <c r="DI773" s="81"/>
      <c r="DJ773" s="81"/>
      <c r="DK773" s="81"/>
      <c r="DL773" s="81"/>
      <c r="DM773" s="81"/>
      <c r="DN773" s="81"/>
      <c r="DO773" s="81"/>
      <c r="DP773" s="81"/>
      <c r="DQ773" s="81"/>
      <c r="DR773" s="81"/>
      <c r="DS773" s="81"/>
      <c r="DT773" s="81"/>
      <c r="DU773" s="81"/>
      <c r="DV773" s="81"/>
      <c r="DW773" s="121"/>
    </row>
    <row r="774" spans="1:127" x14ac:dyDescent="0.25">
      <c r="A774" s="2">
        <f>COUNTIF($D$2:D774,'Reporte de Nomina'!$E$2)</f>
        <v>0</v>
      </c>
      <c r="B774" s="125">
        <f>Lista!A773</f>
        <v>0</v>
      </c>
      <c r="C774" s="125">
        <f>Lista!B773</f>
        <v>0</v>
      </c>
      <c r="D774" s="125">
        <f>Lista!C773</f>
        <v>0</v>
      </c>
      <c r="E774" s="125">
        <f>Lista!D773</f>
        <v>0</v>
      </c>
      <c r="F774" s="125">
        <f>Lista!E773</f>
        <v>0</v>
      </c>
      <c r="G774" s="125">
        <f>Lista!F773</f>
        <v>0</v>
      </c>
      <c r="H774" s="125">
        <f>Lista!G773</f>
        <v>0</v>
      </c>
      <c r="I774" s="125">
        <f>Lista!H773</f>
        <v>0</v>
      </c>
      <c r="J774" s="125">
        <f>Lista!I773</f>
        <v>0</v>
      </c>
      <c r="K774" s="125">
        <f>Lista!J773</f>
        <v>0</v>
      </c>
      <c r="L774" s="125">
        <f>Lista!K773</f>
        <v>0</v>
      </c>
      <c r="M774" s="125">
        <f>Lista!L773</f>
        <v>0</v>
      </c>
      <c r="N774" s="125">
        <f>Lista!M773</f>
        <v>0</v>
      </c>
      <c r="O774" s="125">
        <f>Lista!N773</f>
        <v>0</v>
      </c>
      <c r="P774" s="125">
        <f>Lista!O773</f>
        <v>0</v>
      </c>
      <c r="Q774" s="125">
        <f>Lista!P773</f>
        <v>0</v>
      </c>
      <c r="R774" s="125">
        <f>Lista!Q773</f>
        <v>0</v>
      </c>
      <c r="S774" s="125">
        <f>Lista!R773</f>
        <v>0</v>
      </c>
      <c r="T774" s="81"/>
      <c r="U774" s="81"/>
      <c r="V774" s="81"/>
      <c r="W774" s="81"/>
      <c r="X774" s="81"/>
      <c r="Y774" s="81"/>
      <c r="Z774" s="81"/>
      <c r="AA774" s="81"/>
      <c r="AB774" s="81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  <c r="BS774" s="81"/>
      <c r="BT774" s="81"/>
      <c r="BU774" s="81"/>
      <c r="BV774" s="81"/>
      <c r="BW774" s="81"/>
      <c r="BX774" s="81"/>
      <c r="BY774" s="81"/>
      <c r="BZ774" s="81"/>
      <c r="CA774" s="81"/>
      <c r="CB774" s="81"/>
      <c r="CC774" s="81"/>
      <c r="CD774" s="81"/>
      <c r="CE774" s="81"/>
      <c r="CF774" s="81"/>
      <c r="CG774" s="81"/>
      <c r="CH774" s="81"/>
      <c r="CI774" s="81"/>
      <c r="CJ774" s="81"/>
      <c r="CK774" s="81"/>
      <c r="CL774" s="81"/>
      <c r="CM774" s="81"/>
      <c r="CN774" s="81"/>
      <c r="CO774" s="81"/>
      <c r="CP774" s="81"/>
      <c r="CQ774" s="81"/>
      <c r="CR774" s="81"/>
      <c r="CS774" s="81"/>
      <c r="CT774" s="81"/>
      <c r="CU774" s="81"/>
      <c r="CV774" s="81"/>
      <c r="CW774" s="81"/>
      <c r="CX774" s="81"/>
      <c r="CY774" s="81"/>
      <c r="CZ774" s="81"/>
      <c r="DA774" s="81"/>
      <c r="DB774" s="81"/>
      <c r="DC774" s="81"/>
      <c r="DD774" s="81"/>
      <c r="DE774" s="81"/>
      <c r="DF774" s="81"/>
      <c r="DG774" s="81"/>
      <c r="DH774" s="81"/>
      <c r="DI774" s="81"/>
      <c r="DJ774" s="81"/>
      <c r="DK774" s="81"/>
      <c r="DL774" s="81"/>
      <c r="DM774" s="81"/>
      <c r="DN774" s="81"/>
      <c r="DO774" s="81"/>
      <c r="DP774" s="81"/>
      <c r="DQ774" s="81"/>
      <c r="DR774" s="81"/>
      <c r="DS774" s="81"/>
      <c r="DT774" s="81"/>
      <c r="DU774" s="81"/>
      <c r="DV774" s="81"/>
      <c r="DW774" s="121"/>
    </row>
    <row r="775" spans="1:127" x14ac:dyDescent="0.25">
      <c r="A775" s="2">
        <f>COUNTIF($D$2:D775,'Reporte de Nomina'!$E$2)</f>
        <v>0</v>
      </c>
      <c r="B775" s="125">
        <f>Lista!A774</f>
        <v>0</v>
      </c>
      <c r="C775" s="125">
        <f>Lista!B774</f>
        <v>0</v>
      </c>
      <c r="D775" s="125">
        <f>Lista!C774</f>
        <v>0</v>
      </c>
      <c r="E775" s="125">
        <f>Lista!D774</f>
        <v>0</v>
      </c>
      <c r="F775" s="125">
        <f>Lista!E774</f>
        <v>0</v>
      </c>
      <c r="G775" s="125">
        <f>Lista!F774</f>
        <v>0</v>
      </c>
      <c r="H775" s="125">
        <f>Lista!G774</f>
        <v>0</v>
      </c>
      <c r="I775" s="125">
        <f>Lista!H774</f>
        <v>0</v>
      </c>
      <c r="J775" s="125">
        <f>Lista!I774</f>
        <v>0</v>
      </c>
      <c r="K775" s="125">
        <f>Lista!J774</f>
        <v>0</v>
      </c>
      <c r="L775" s="125">
        <f>Lista!K774</f>
        <v>0</v>
      </c>
      <c r="M775" s="125">
        <f>Lista!L774</f>
        <v>0</v>
      </c>
      <c r="N775" s="125">
        <f>Lista!M774</f>
        <v>0</v>
      </c>
      <c r="O775" s="125">
        <f>Lista!N774</f>
        <v>0</v>
      </c>
      <c r="P775" s="125">
        <f>Lista!O774</f>
        <v>0</v>
      </c>
      <c r="Q775" s="125">
        <f>Lista!P774</f>
        <v>0</v>
      </c>
      <c r="R775" s="125">
        <f>Lista!Q774</f>
        <v>0</v>
      </c>
      <c r="S775" s="125">
        <f>Lista!R774</f>
        <v>0</v>
      </c>
      <c r="T775" s="81"/>
      <c r="U775" s="81"/>
      <c r="V775" s="81"/>
      <c r="W775" s="81"/>
      <c r="X775" s="81"/>
      <c r="Y775" s="81"/>
      <c r="Z775" s="81"/>
      <c r="AA775" s="81"/>
      <c r="AB775" s="81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  <c r="BS775" s="81"/>
      <c r="BT775" s="81"/>
      <c r="BU775" s="81"/>
      <c r="BV775" s="81"/>
      <c r="BW775" s="81"/>
      <c r="BX775" s="81"/>
      <c r="BY775" s="81"/>
      <c r="BZ775" s="81"/>
      <c r="CA775" s="81"/>
      <c r="CB775" s="81"/>
      <c r="CC775" s="81"/>
      <c r="CD775" s="81"/>
      <c r="CE775" s="81"/>
      <c r="CF775" s="81"/>
      <c r="CG775" s="81"/>
      <c r="CH775" s="81"/>
      <c r="CI775" s="81"/>
      <c r="CJ775" s="81"/>
      <c r="CK775" s="81"/>
      <c r="CL775" s="81"/>
      <c r="CM775" s="81"/>
      <c r="CN775" s="81"/>
      <c r="CO775" s="81"/>
      <c r="CP775" s="81"/>
      <c r="CQ775" s="81"/>
      <c r="CR775" s="81"/>
      <c r="CS775" s="81"/>
      <c r="CT775" s="81"/>
      <c r="CU775" s="81"/>
      <c r="CV775" s="81"/>
      <c r="CW775" s="81"/>
      <c r="CX775" s="81"/>
      <c r="CY775" s="81"/>
      <c r="CZ775" s="81"/>
      <c r="DA775" s="81"/>
      <c r="DB775" s="81"/>
      <c r="DC775" s="81"/>
      <c r="DD775" s="81"/>
      <c r="DE775" s="81"/>
      <c r="DF775" s="81"/>
      <c r="DG775" s="81"/>
      <c r="DH775" s="81"/>
      <c r="DI775" s="81"/>
      <c r="DJ775" s="81"/>
      <c r="DK775" s="81"/>
      <c r="DL775" s="81"/>
      <c r="DM775" s="81"/>
      <c r="DN775" s="81"/>
      <c r="DO775" s="81"/>
      <c r="DP775" s="81"/>
      <c r="DQ775" s="81"/>
      <c r="DR775" s="81"/>
      <c r="DS775" s="81"/>
      <c r="DT775" s="81"/>
      <c r="DU775" s="81"/>
      <c r="DV775" s="81"/>
      <c r="DW775" s="121"/>
    </row>
    <row r="776" spans="1:127" x14ac:dyDescent="0.25">
      <c r="A776" s="2">
        <f>COUNTIF($D$2:D776,'Reporte de Nomina'!$E$2)</f>
        <v>0</v>
      </c>
      <c r="B776" s="125">
        <f>Lista!A775</f>
        <v>0</v>
      </c>
      <c r="C776" s="125">
        <f>Lista!B775</f>
        <v>0</v>
      </c>
      <c r="D776" s="125">
        <f>Lista!C775</f>
        <v>0</v>
      </c>
      <c r="E776" s="125">
        <f>Lista!D775</f>
        <v>0</v>
      </c>
      <c r="F776" s="125">
        <f>Lista!E775</f>
        <v>0</v>
      </c>
      <c r="G776" s="125">
        <f>Lista!F775</f>
        <v>0</v>
      </c>
      <c r="H776" s="125">
        <f>Lista!G775</f>
        <v>0</v>
      </c>
      <c r="I776" s="125">
        <f>Lista!H775</f>
        <v>0</v>
      </c>
      <c r="J776" s="125">
        <f>Lista!I775</f>
        <v>0</v>
      </c>
      <c r="K776" s="125">
        <f>Lista!J775</f>
        <v>0</v>
      </c>
      <c r="L776" s="125">
        <f>Lista!K775</f>
        <v>0</v>
      </c>
      <c r="M776" s="125">
        <f>Lista!L775</f>
        <v>0</v>
      </c>
      <c r="N776" s="125">
        <f>Lista!M775</f>
        <v>0</v>
      </c>
      <c r="O776" s="125">
        <f>Lista!N775</f>
        <v>0</v>
      </c>
      <c r="P776" s="125">
        <f>Lista!O775</f>
        <v>0</v>
      </c>
      <c r="Q776" s="125">
        <f>Lista!P775</f>
        <v>0</v>
      </c>
      <c r="R776" s="125">
        <f>Lista!Q775</f>
        <v>0</v>
      </c>
      <c r="S776" s="125">
        <f>Lista!R775</f>
        <v>0</v>
      </c>
      <c r="T776" s="81"/>
      <c r="U776" s="81"/>
      <c r="V776" s="81"/>
      <c r="W776" s="81"/>
      <c r="X776" s="81"/>
      <c r="Y776" s="81"/>
      <c r="Z776" s="81"/>
      <c r="AA776" s="81"/>
      <c r="AB776" s="81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  <c r="BS776" s="81"/>
      <c r="BT776" s="81"/>
      <c r="BU776" s="81"/>
      <c r="BV776" s="81"/>
      <c r="BW776" s="81"/>
      <c r="BX776" s="81"/>
      <c r="BY776" s="81"/>
      <c r="BZ776" s="81"/>
      <c r="CA776" s="81"/>
      <c r="CB776" s="81"/>
      <c r="CC776" s="81"/>
      <c r="CD776" s="81"/>
      <c r="CE776" s="81"/>
      <c r="CF776" s="81"/>
      <c r="CG776" s="81"/>
      <c r="CH776" s="81"/>
      <c r="CI776" s="81"/>
      <c r="CJ776" s="81"/>
      <c r="CK776" s="81"/>
      <c r="CL776" s="81"/>
      <c r="CM776" s="81"/>
      <c r="CN776" s="81"/>
      <c r="CO776" s="81"/>
      <c r="CP776" s="81"/>
      <c r="CQ776" s="81"/>
      <c r="CR776" s="81"/>
      <c r="CS776" s="81"/>
      <c r="CT776" s="81"/>
      <c r="CU776" s="81"/>
      <c r="CV776" s="81"/>
      <c r="CW776" s="81"/>
      <c r="CX776" s="81"/>
      <c r="CY776" s="81"/>
      <c r="CZ776" s="81"/>
      <c r="DA776" s="81"/>
      <c r="DB776" s="81"/>
      <c r="DC776" s="81"/>
      <c r="DD776" s="81"/>
      <c r="DE776" s="81"/>
      <c r="DF776" s="81"/>
      <c r="DG776" s="81"/>
      <c r="DH776" s="81"/>
      <c r="DI776" s="81"/>
      <c r="DJ776" s="81"/>
      <c r="DK776" s="81"/>
      <c r="DL776" s="81"/>
      <c r="DM776" s="81"/>
      <c r="DN776" s="81"/>
      <c r="DO776" s="81"/>
      <c r="DP776" s="81"/>
      <c r="DQ776" s="81"/>
      <c r="DR776" s="81"/>
      <c r="DS776" s="81"/>
      <c r="DT776" s="81"/>
      <c r="DU776" s="81"/>
      <c r="DV776" s="81"/>
      <c r="DW776" s="121"/>
    </row>
    <row r="777" spans="1:127" x14ac:dyDescent="0.25">
      <c r="A777" s="2">
        <f>COUNTIF($D$2:D777,'Reporte de Nomina'!$E$2)</f>
        <v>0</v>
      </c>
      <c r="B777" s="125">
        <f>Lista!A776</f>
        <v>0</v>
      </c>
      <c r="C777" s="125">
        <f>Lista!B776</f>
        <v>0</v>
      </c>
      <c r="D777" s="125">
        <f>Lista!C776</f>
        <v>0</v>
      </c>
      <c r="E777" s="125">
        <f>Lista!D776</f>
        <v>0</v>
      </c>
      <c r="F777" s="125">
        <f>Lista!E776</f>
        <v>0</v>
      </c>
      <c r="G777" s="125">
        <f>Lista!F776</f>
        <v>0</v>
      </c>
      <c r="H777" s="125">
        <f>Lista!G776</f>
        <v>0</v>
      </c>
      <c r="I777" s="125">
        <f>Lista!H776</f>
        <v>0</v>
      </c>
      <c r="J777" s="125">
        <f>Lista!I776</f>
        <v>0</v>
      </c>
      <c r="K777" s="125">
        <f>Lista!J776</f>
        <v>0</v>
      </c>
      <c r="L777" s="125">
        <f>Lista!K776</f>
        <v>0</v>
      </c>
      <c r="M777" s="125">
        <f>Lista!L776</f>
        <v>0</v>
      </c>
      <c r="N777" s="125">
        <f>Lista!M776</f>
        <v>0</v>
      </c>
      <c r="O777" s="125">
        <f>Lista!N776</f>
        <v>0</v>
      </c>
      <c r="P777" s="125">
        <f>Lista!O776</f>
        <v>0</v>
      </c>
      <c r="Q777" s="125">
        <f>Lista!P776</f>
        <v>0</v>
      </c>
      <c r="R777" s="125">
        <f>Lista!Q776</f>
        <v>0</v>
      </c>
      <c r="S777" s="125">
        <f>Lista!R776</f>
        <v>0</v>
      </c>
      <c r="T777" s="81"/>
      <c r="U777" s="81"/>
      <c r="V777" s="81"/>
      <c r="W777" s="81"/>
      <c r="X777" s="81"/>
      <c r="Y777" s="81"/>
      <c r="Z777" s="81"/>
      <c r="AA777" s="81"/>
      <c r="AB777" s="81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  <c r="BS777" s="81"/>
      <c r="BT777" s="81"/>
      <c r="BU777" s="81"/>
      <c r="BV777" s="81"/>
      <c r="BW777" s="81"/>
      <c r="BX777" s="81"/>
      <c r="BY777" s="81"/>
      <c r="BZ777" s="81"/>
      <c r="CA777" s="81"/>
      <c r="CB777" s="81"/>
      <c r="CC777" s="81"/>
      <c r="CD777" s="81"/>
      <c r="CE777" s="81"/>
      <c r="CF777" s="81"/>
      <c r="CG777" s="81"/>
      <c r="CH777" s="81"/>
      <c r="CI777" s="81"/>
      <c r="CJ777" s="81"/>
      <c r="CK777" s="81"/>
      <c r="CL777" s="81"/>
      <c r="CM777" s="81"/>
      <c r="CN777" s="81"/>
      <c r="CO777" s="81"/>
      <c r="CP777" s="81"/>
      <c r="CQ777" s="81"/>
      <c r="CR777" s="81"/>
      <c r="CS777" s="81"/>
      <c r="CT777" s="81"/>
      <c r="CU777" s="81"/>
      <c r="CV777" s="81"/>
      <c r="CW777" s="81"/>
      <c r="CX777" s="81"/>
      <c r="CY777" s="81"/>
      <c r="CZ777" s="81"/>
      <c r="DA777" s="81"/>
      <c r="DB777" s="81"/>
      <c r="DC777" s="81"/>
      <c r="DD777" s="81"/>
      <c r="DE777" s="81"/>
      <c r="DF777" s="81"/>
      <c r="DG777" s="81"/>
      <c r="DH777" s="81"/>
      <c r="DI777" s="81"/>
      <c r="DJ777" s="81"/>
      <c r="DK777" s="81"/>
      <c r="DL777" s="81"/>
      <c r="DM777" s="81"/>
      <c r="DN777" s="81"/>
      <c r="DO777" s="81"/>
      <c r="DP777" s="81"/>
      <c r="DQ777" s="81"/>
      <c r="DR777" s="81"/>
      <c r="DS777" s="81"/>
      <c r="DT777" s="81"/>
      <c r="DU777" s="81"/>
      <c r="DV777" s="81"/>
      <c r="DW777" s="121"/>
    </row>
    <row r="778" spans="1:127" x14ac:dyDescent="0.25">
      <c r="A778" s="2">
        <f>COUNTIF($D$2:D778,'Reporte de Nomina'!$E$2)</f>
        <v>0</v>
      </c>
      <c r="B778" s="125">
        <f>Lista!A777</f>
        <v>0</v>
      </c>
      <c r="C778" s="125">
        <f>Lista!B777</f>
        <v>0</v>
      </c>
      <c r="D778" s="125">
        <f>Lista!C777</f>
        <v>0</v>
      </c>
      <c r="E778" s="125">
        <f>Lista!D777</f>
        <v>0</v>
      </c>
      <c r="F778" s="125">
        <f>Lista!E777</f>
        <v>0</v>
      </c>
      <c r="G778" s="125">
        <f>Lista!F777</f>
        <v>0</v>
      </c>
      <c r="H778" s="125">
        <f>Lista!G777</f>
        <v>0</v>
      </c>
      <c r="I778" s="125">
        <f>Lista!H777</f>
        <v>0</v>
      </c>
      <c r="J778" s="125">
        <f>Lista!I777</f>
        <v>0</v>
      </c>
      <c r="K778" s="125">
        <f>Lista!J777</f>
        <v>0</v>
      </c>
      <c r="L778" s="125">
        <f>Lista!K777</f>
        <v>0</v>
      </c>
      <c r="M778" s="125">
        <f>Lista!L777</f>
        <v>0</v>
      </c>
      <c r="N778" s="125">
        <f>Lista!M777</f>
        <v>0</v>
      </c>
      <c r="O778" s="125">
        <f>Lista!N777</f>
        <v>0</v>
      </c>
      <c r="P778" s="125">
        <f>Lista!O777</f>
        <v>0</v>
      </c>
      <c r="Q778" s="125">
        <f>Lista!P777</f>
        <v>0</v>
      </c>
      <c r="R778" s="125">
        <f>Lista!Q777</f>
        <v>0</v>
      </c>
      <c r="S778" s="125">
        <f>Lista!R777</f>
        <v>0</v>
      </c>
      <c r="T778" s="81"/>
      <c r="U778" s="81"/>
      <c r="V778" s="81"/>
      <c r="W778" s="81"/>
      <c r="X778" s="81"/>
      <c r="Y778" s="81"/>
      <c r="Z778" s="81"/>
      <c r="AA778" s="81"/>
      <c r="AB778" s="81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  <c r="BS778" s="81"/>
      <c r="BT778" s="81"/>
      <c r="BU778" s="81"/>
      <c r="BV778" s="81"/>
      <c r="BW778" s="81"/>
      <c r="BX778" s="81"/>
      <c r="BY778" s="81"/>
      <c r="BZ778" s="81"/>
      <c r="CA778" s="81"/>
      <c r="CB778" s="81"/>
      <c r="CC778" s="81"/>
      <c r="CD778" s="81"/>
      <c r="CE778" s="81"/>
      <c r="CF778" s="81"/>
      <c r="CG778" s="81"/>
      <c r="CH778" s="81"/>
      <c r="CI778" s="81"/>
      <c r="CJ778" s="81"/>
      <c r="CK778" s="81"/>
      <c r="CL778" s="81"/>
      <c r="CM778" s="81"/>
      <c r="CN778" s="81"/>
      <c r="CO778" s="81"/>
      <c r="CP778" s="81"/>
      <c r="CQ778" s="81"/>
      <c r="CR778" s="81"/>
      <c r="CS778" s="81"/>
      <c r="CT778" s="81"/>
      <c r="CU778" s="81"/>
      <c r="CV778" s="81"/>
      <c r="CW778" s="81"/>
      <c r="CX778" s="81"/>
      <c r="CY778" s="81"/>
      <c r="CZ778" s="81"/>
      <c r="DA778" s="81"/>
      <c r="DB778" s="81"/>
      <c r="DC778" s="81"/>
      <c r="DD778" s="81"/>
      <c r="DE778" s="81"/>
      <c r="DF778" s="81"/>
      <c r="DG778" s="81"/>
      <c r="DH778" s="81"/>
      <c r="DI778" s="81"/>
      <c r="DJ778" s="81"/>
      <c r="DK778" s="81"/>
      <c r="DL778" s="81"/>
      <c r="DM778" s="81"/>
      <c r="DN778" s="81"/>
      <c r="DO778" s="81"/>
      <c r="DP778" s="81"/>
      <c r="DQ778" s="81"/>
      <c r="DR778" s="81"/>
      <c r="DS778" s="81"/>
      <c r="DT778" s="81"/>
      <c r="DU778" s="81"/>
      <c r="DV778" s="81"/>
      <c r="DW778" s="121"/>
    </row>
    <row r="779" spans="1:127" x14ac:dyDescent="0.25">
      <c r="A779" s="2">
        <f>COUNTIF($D$2:D779,'Reporte de Nomina'!$E$2)</f>
        <v>0</v>
      </c>
      <c r="B779" s="125">
        <f>Lista!A778</f>
        <v>0</v>
      </c>
      <c r="C779" s="125">
        <f>Lista!B778</f>
        <v>0</v>
      </c>
      <c r="D779" s="125">
        <f>Lista!C778</f>
        <v>0</v>
      </c>
      <c r="E779" s="125">
        <f>Lista!D778</f>
        <v>0</v>
      </c>
      <c r="F779" s="125">
        <f>Lista!E778</f>
        <v>0</v>
      </c>
      <c r="G779" s="125">
        <f>Lista!F778</f>
        <v>0</v>
      </c>
      <c r="H779" s="125">
        <f>Lista!G778</f>
        <v>0</v>
      </c>
      <c r="I779" s="125">
        <f>Lista!H778</f>
        <v>0</v>
      </c>
      <c r="J779" s="125">
        <f>Lista!I778</f>
        <v>0</v>
      </c>
      <c r="K779" s="125">
        <f>Lista!J778</f>
        <v>0</v>
      </c>
      <c r="L779" s="125">
        <f>Lista!K778</f>
        <v>0</v>
      </c>
      <c r="M779" s="125">
        <f>Lista!L778</f>
        <v>0</v>
      </c>
      <c r="N779" s="125">
        <f>Lista!M778</f>
        <v>0</v>
      </c>
      <c r="O779" s="125">
        <f>Lista!N778</f>
        <v>0</v>
      </c>
      <c r="P779" s="125">
        <f>Lista!O778</f>
        <v>0</v>
      </c>
      <c r="Q779" s="125">
        <f>Lista!P778</f>
        <v>0</v>
      </c>
      <c r="R779" s="125">
        <f>Lista!Q778</f>
        <v>0</v>
      </c>
      <c r="S779" s="125">
        <f>Lista!R778</f>
        <v>0</v>
      </c>
      <c r="T779" s="81"/>
      <c r="U779" s="81"/>
      <c r="V779" s="81"/>
      <c r="W779" s="81"/>
      <c r="X779" s="81"/>
      <c r="Y779" s="81"/>
      <c r="Z779" s="81"/>
      <c r="AA779" s="81"/>
      <c r="AB779" s="81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  <c r="BS779" s="81"/>
      <c r="BT779" s="81"/>
      <c r="BU779" s="81"/>
      <c r="BV779" s="81"/>
      <c r="BW779" s="81"/>
      <c r="BX779" s="81"/>
      <c r="BY779" s="81"/>
      <c r="BZ779" s="81"/>
      <c r="CA779" s="81"/>
      <c r="CB779" s="81"/>
      <c r="CC779" s="81"/>
      <c r="CD779" s="81"/>
      <c r="CE779" s="81"/>
      <c r="CF779" s="81"/>
      <c r="CG779" s="81"/>
      <c r="CH779" s="81"/>
      <c r="CI779" s="81"/>
      <c r="CJ779" s="81"/>
      <c r="CK779" s="81"/>
      <c r="CL779" s="81"/>
      <c r="CM779" s="81"/>
      <c r="CN779" s="81"/>
      <c r="CO779" s="81"/>
      <c r="CP779" s="81"/>
      <c r="CQ779" s="81"/>
      <c r="CR779" s="81"/>
      <c r="CS779" s="81"/>
      <c r="CT779" s="81"/>
      <c r="CU779" s="81"/>
      <c r="CV779" s="81"/>
      <c r="CW779" s="81"/>
      <c r="CX779" s="81"/>
      <c r="CY779" s="81"/>
      <c r="CZ779" s="81"/>
      <c r="DA779" s="81"/>
      <c r="DB779" s="81"/>
      <c r="DC779" s="81"/>
      <c r="DD779" s="81"/>
      <c r="DE779" s="81"/>
      <c r="DF779" s="81"/>
      <c r="DG779" s="81"/>
      <c r="DH779" s="81"/>
      <c r="DI779" s="81"/>
      <c r="DJ779" s="81"/>
      <c r="DK779" s="81"/>
      <c r="DL779" s="81"/>
      <c r="DM779" s="81"/>
      <c r="DN779" s="81"/>
      <c r="DO779" s="81"/>
      <c r="DP779" s="81"/>
      <c r="DQ779" s="81"/>
      <c r="DR779" s="81"/>
      <c r="DS779" s="81"/>
      <c r="DT779" s="81"/>
      <c r="DU779" s="81"/>
      <c r="DV779" s="81"/>
      <c r="DW779" s="121"/>
    </row>
    <row r="780" spans="1:127" x14ac:dyDescent="0.25">
      <c r="A780" s="2">
        <f>COUNTIF($D$2:D780,'Reporte de Nomina'!$E$2)</f>
        <v>0</v>
      </c>
      <c r="B780" s="125">
        <f>Lista!A779</f>
        <v>0</v>
      </c>
      <c r="C780" s="125">
        <f>Lista!B779</f>
        <v>0</v>
      </c>
      <c r="D780" s="125">
        <f>Lista!C779</f>
        <v>0</v>
      </c>
      <c r="E780" s="125">
        <f>Lista!D779</f>
        <v>0</v>
      </c>
      <c r="F780" s="125">
        <f>Lista!E779</f>
        <v>0</v>
      </c>
      <c r="G780" s="125">
        <f>Lista!F779</f>
        <v>0</v>
      </c>
      <c r="H780" s="125">
        <f>Lista!G779</f>
        <v>0</v>
      </c>
      <c r="I780" s="125">
        <f>Lista!H779</f>
        <v>0</v>
      </c>
      <c r="J780" s="125">
        <f>Lista!I779</f>
        <v>0</v>
      </c>
      <c r="K780" s="125">
        <f>Lista!J779</f>
        <v>0</v>
      </c>
      <c r="L780" s="125">
        <f>Lista!K779</f>
        <v>0</v>
      </c>
      <c r="M780" s="125">
        <f>Lista!L779</f>
        <v>0</v>
      </c>
      <c r="N780" s="125">
        <f>Lista!M779</f>
        <v>0</v>
      </c>
      <c r="O780" s="125">
        <f>Lista!N779</f>
        <v>0</v>
      </c>
      <c r="P780" s="125">
        <f>Lista!O779</f>
        <v>0</v>
      </c>
      <c r="Q780" s="125">
        <f>Lista!P779</f>
        <v>0</v>
      </c>
      <c r="R780" s="125">
        <f>Lista!Q779</f>
        <v>0</v>
      </c>
      <c r="S780" s="125">
        <f>Lista!R779</f>
        <v>0</v>
      </c>
      <c r="T780" s="81"/>
      <c r="U780" s="81"/>
      <c r="V780" s="81"/>
      <c r="W780" s="81"/>
      <c r="X780" s="81"/>
      <c r="Y780" s="81"/>
      <c r="Z780" s="81"/>
      <c r="AA780" s="81"/>
      <c r="AB780" s="81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  <c r="BS780" s="81"/>
      <c r="BT780" s="81"/>
      <c r="BU780" s="81"/>
      <c r="BV780" s="81"/>
      <c r="BW780" s="81"/>
      <c r="BX780" s="81"/>
      <c r="BY780" s="81"/>
      <c r="BZ780" s="81"/>
      <c r="CA780" s="81"/>
      <c r="CB780" s="81"/>
      <c r="CC780" s="81"/>
      <c r="CD780" s="81"/>
      <c r="CE780" s="81"/>
      <c r="CF780" s="81"/>
      <c r="CG780" s="81"/>
      <c r="CH780" s="81"/>
      <c r="CI780" s="81"/>
      <c r="CJ780" s="81"/>
      <c r="CK780" s="81"/>
      <c r="CL780" s="81"/>
      <c r="CM780" s="81"/>
      <c r="CN780" s="81"/>
      <c r="CO780" s="81"/>
      <c r="CP780" s="81"/>
      <c r="CQ780" s="81"/>
      <c r="CR780" s="81"/>
      <c r="CS780" s="81"/>
      <c r="CT780" s="81"/>
      <c r="CU780" s="81"/>
      <c r="CV780" s="81"/>
      <c r="CW780" s="81"/>
      <c r="CX780" s="81"/>
      <c r="CY780" s="81"/>
      <c r="CZ780" s="81"/>
      <c r="DA780" s="81"/>
      <c r="DB780" s="81"/>
      <c r="DC780" s="81"/>
      <c r="DD780" s="81"/>
      <c r="DE780" s="81"/>
      <c r="DF780" s="81"/>
      <c r="DG780" s="81"/>
      <c r="DH780" s="81"/>
      <c r="DI780" s="81"/>
      <c r="DJ780" s="81"/>
      <c r="DK780" s="81"/>
      <c r="DL780" s="81"/>
      <c r="DM780" s="81"/>
      <c r="DN780" s="81"/>
      <c r="DO780" s="81"/>
      <c r="DP780" s="81"/>
      <c r="DQ780" s="81"/>
      <c r="DR780" s="81"/>
      <c r="DS780" s="81"/>
      <c r="DT780" s="81"/>
      <c r="DU780" s="81"/>
      <c r="DV780" s="81"/>
      <c r="DW780" s="121"/>
    </row>
    <row r="781" spans="1:127" x14ac:dyDescent="0.25">
      <c r="A781" s="2">
        <f>COUNTIF($D$2:D781,'Reporte de Nomina'!$E$2)</f>
        <v>0</v>
      </c>
      <c r="B781" s="125">
        <f>Lista!A780</f>
        <v>0</v>
      </c>
      <c r="C781" s="125">
        <f>Lista!B780</f>
        <v>0</v>
      </c>
      <c r="D781" s="125">
        <f>Lista!C780</f>
        <v>0</v>
      </c>
      <c r="E781" s="125">
        <f>Lista!D780</f>
        <v>0</v>
      </c>
      <c r="F781" s="125">
        <f>Lista!E780</f>
        <v>0</v>
      </c>
      <c r="G781" s="125">
        <f>Lista!F780</f>
        <v>0</v>
      </c>
      <c r="H781" s="125">
        <f>Lista!G780</f>
        <v>0</v>
      </c>
      <c r="I781" s="125">
        <f>Lista!H780</f>
        <v>0</v>
      </c>
      <c r="J781" s="125">
        <f>Lista!I780</f>
        <v>0</v>
      </c>
      <c r="K781" s="125">
        <f>Lista!J780</f>
        <v>0</v>
      </c>
      <c r="L781" s="125">
        <f>Lista!K780</f>
        <v>0</v>
      </c>
      <c r="M781" s="125">
        <f>Lista!L780</f>
        <v>0</v>
      </c>
      <c r="N781" s="125">
        <f>Lista!M780</f>
        <v>0</v>
      </c>
      <c r="O781" s="125">
        <f>Lista!N780</f>
        <v>0</v>
      </c>
      <c r="P781" s="125">
        <f>Lista!O780</f>
        <v>0</v>
      </c>
      <c r="Q781" s="125">
        <f>Lista!P780</f>
        <v>0</v>
      </c>
      <c r="R781" s="125">
        <f>Lista!Q780</f>
        <v>0</v>
      </c>
      <c r="S781" s="125">
        <f>Lista!R780</f>
        <v>0</v>
      </c>
      <c r="T781" s="81"/>
      <c r="U781" s="81"/>
      <c r="V781" s="81"/>
      <c r="W781" s="81"/>
      <c r="X781" s="81"/>
      <c r="Y781" s="81"/>
      <c r="Z781" s="81"/>
      <c r="AA781" s="81"/>
      <c r="AB781" s="81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  <c r="BS781" s="81"/>
      <c r="BT781" s="81"/>
      <c r="BU781" s="81"/>
      <c r="BV781" s="81"/>
      <c r="BW781" s="81"/>
      <c r="BX781" s="81"/>
      <c r="BY781" s="81"/>
      <c r="BZ781" s="81"/>
      <c r="CA781" s="81"/>
      <c r="CB781" s="81"/>
      <c r="CC781" s="81"/>
      <c r="CD781" s="81"/>
      <c r="CE781" s="81"/>
      <c r="CF781" s="81"/>
      <c r="CG781" s="81"/>
      <c r="CH781" s="81"/>
      <c r="CI781" s="81"/>
      <c r="CJ781" s="81"/>
      <c r="CK781" s="81"/>
      <c r="CL781" s="81"/>
      <c r="CM781" s="81"/>
      <c r="CN781" s="81"/>
      <c r="CO781" s="81"/>
      <c r="CP781" s="81"/>
      <c r="CQ781" s="81"/>
      <c r="CR781" s="81"/>
      <c r="CS781" s="81"/>
      <c r="CT781" s="81"/>
      <c r="CU781" s="81"/>
      <c r="CV781" s="81"/>
      <c r="CW781" s="81"/>
      <c r="CX781" s="81"/>
      <c r="CY781" s="81"/>
      <c r="CZ781" s="81"/>
      <c r="DA781" s="81"/>
      <c r="DB781" s="81"/>
      <c r="DC781" s="81"/>
      <c r="DD781" s="81"/>
      <c r="DE781" s="81"/>
      <c r="DF781" s="81"/>
      <c r="DG781" s="81"/>
      <c r="DH781" s="81"/>
      <c r="DI781" s="81"/>
      <c r="DJ781" s="81"/>
      <c r="DK781" s="81"/>
      <c r="DL781" s="81"/>
      <c r="DM781" s="81"/>
      <c r="DN781" s="81"/>
      <c r="DO781" s="81"/>
      <c r="DP781" s="81"/>
      <c r="DQ781" s="81"/>
      <c r="DR781" s="81"/>
      <c r="DS781" s="81"/>
      <c r="DT781" s="81"/>
      <c r="DU781" s="81"/>
      <c r="DV781" s="81"/>
      <c r="DW781" s="121"/>
    </row>
    <row r="782" spans="1:127" x14ac:dyDescent="0.25">
      <c r="A782" s="2">
        <f>COUNTIF($D$2:D782,'Reporte de Nomina'!$E$2)</f>
        <v>0</v>
      </c>
      <c r="B782" s="125">
        <f>Lista!A781</f>
        <v>0</v>
      </c>
      <c r="C782" s="125">
        <f>Lista!B781</f>
        <v>0</v>
      </c>
      <c r="D782" s="125">
        <f>Lista!C781</f>
        <v>0</v>
      </c>
      <c r="E782" s="125">
        <f>Lista!D781</f>
        <v>0</v>
      </c>
      <c r="F782" s="125">
        <f>Lista!E781</f>
        <v>0</v>
      </c>
      <c r="G782" s="125">
        <f>Lista!F781</f>
        <v>0</v>
      </c>
      <c r="H782" s="125">
        <f>Lista!G781</f>
        <v>0</v>
      </c>
      <c r="I782" s="125">
        <f>Lista!H781</f>
        <v>0</v>
      </c>
      <c r="J782" s="125">
        <f>Lista!I781</f>
        <v>0</v>
      </c>
      <c r="K782" s="125">
        <f>Lista!J781</f>
        <v>0</v>
      </c>
      <c r="L782" s="125">
        <f>Lista!K781</f>
        <v>0</v>
      </c>
      <c r="M782" s="125">
        <f>Lista!L781</f>
        <v>0</v>
      </c>
      <c r="N782" s="125">
        <f>Lista!M781</f>
        <v>0</v>
      </c>
      <c r="O782" s="125">
        <f>Lista!N781</f>
        <v>0</v>
      </c>
      <c r="P782" s="125">
        <f>Lista!O781</f>
        <v>0</v>
      </c>
      <c r="Q782" s="125">
        <f>Lista!P781</f>
        <v>0</v>
      </c>
      <c r="R782" s="125">
        <f>Lista!Q781</f>
        <v>0</v>
      </c>
      <c r="S782" s="125">
        <f>Lista!R781</f>
        <v>0</v>
      </c>
      <c r="T782" s="81"/>
      <c r="U782" s="81"/>
      <c r="V782" s="81"/>
      <c r="W782" s="81"/>
      <c r="X782" s="81"/>
      <c r="Y782" s="81"/>
      <c r="Z782" s="81"/>
      <c r="AA782" s="81"/>
      <c r="AB782" s="81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  <c r="BS782" s="81"/>
      <c r="BT782" s="81"/>
      <c r="BU782" s="81"/>
      <c r="BV782" s="81"/>
      <c r="BW782" s="81"/>
      <c r="BX782" s="81"/>
      <c r="BY782" s="81"/>
      <c r="BZ782" s="81"/>
      <c r="CA782" s="81"/>
      <c r="CB782" s="81"/>
      <c r="CC782" s="81"/>
      <c r="CD782" s="81"/>
      <c r="CE782" s="81"/>
      <c r="CF782" s="81"/>
      <c r="CG782" s="81"/>
      <c r="CH782" s="81"/>
      <c r="CI782" s="81"/>
      <c r="CJ782" s="81"/>
      <c r="CK782" s="81"/>
      <c r="CL782" s="81"/>
      <c r="CM782" s="81"/>
      <c r="CN782" s="81"/>
      <c r="CO782" s="81"/>
      <c r="CP782" s="81"/>
      <c r="CQ782" s="81"/>
      <c r="CR782" s="81"/>
      <c r="CS782" s="81"/>
      <c r="CT782" s="81"/>
      <c r="CU782" s="81"/>
      <c r="CV782" s="81"/>
      <c r="CW782" s="81"/>
      <c r="CX782" s="81"/>
      <c r="CY782" s="81"/>
      <c r="CZ782" s="81"/>
      <c r="DA782" s="81"/>
      <c r="DB782" s="81"/>
      <c r="DC782" s="81"/>
      <c r="DD782" s="81"/>
      <c r="DE782" s="81"/>
      <c r="DF782" s="81"/>
      <c r="DG782" s="81"/>
      <c r="DH782" s="81"/>
      <c r="DI782" s="81"/>
      <c r="DJ782" s="81"/>
      <c r="DK782" s="81"/>
      <c r="DL782" s="81"/>
      <c r="DM782" s="81"/>
      <c r="DN782" s="81"/>
      <c r="DO782" s="81"/>
      <c r="DP782" s="81"/>
      <c r="DQ782" s="81"/>
      <c r="DR782" s="81"/>
      <c r="DS782" s="81"/>
      <c r="DT782" s="81"/>
      <c r="DU782" s="81"/>
      <c r="DV782" s="81"/>
      <c r="DW782" s="121"/>
    </row>
    <row r="783" spans="1:127" x14ac:dyDescent="0.25">
      <c r="A783" s="2">
        <f>COUNTIF($D$2:D783,'Reporte de Nomina'!$E$2)</f>
        <v>0</v>
      </c>
      <c r="B783" s="125">
        <f>Lista!A782</f>
        <v>0</v>
      </c>
      <c r="C783" s="125">
        <f>Lista!B782</f>
        <v>0</v>
      </c>
      <c r="D783" s="125">
        <f>Lista!C782</f>
        <v>0</v>
      </c>
      <c r="E783" s="125">
        <f>Lista!D782</f>
        <v>0</v>
      </c>
      <c r="F783" s="125">
        <f>Lista!E782</f>
        <v>0</v>
      </c>
      <c r="G783" s="125">
        <f>Lista!F782</f>
        <v>0</v>
      </c>
      <c r="H783" s="125">
        <f>Lista!G782</f>
        <v>0</v>
      </c>
      <c r="I783" s="125">
        <f>Lista!H782</f>
        <v>0</v>
      </c>
      <c r="J783" s="125">
        <f>Lista!I782</f>
        <v>0</v>
      </c>
      <c r="K783" s="125">
        <f>Lista!J782</f>
        <v>0</v>
      </c>
      <c r="L783" s="125">
        <f>Lista!K782</f>
        <v>0</v>
      </c>
      <c r="M783" s="125">
        <f>Lista!L782</f>
        <v>0</v>
      </c>
      <c r="N783" s="125">
        <f>Lista!M782</f>
        <v>0</v>
      </c>
      <c r="O783" s="125">
        <f>Lista!N782</f>
        <v>0</v>
      </c>
      <c r="P783" s="125">
        <f>Lista!O782</f>
        <v>0</v>
      </c>
      <c r="Q783" s="125">
        <f>Lista!P782</f>
        <v>0</v>
      </c>
      <c r="R783" s="125">
        <f>Lista!Q782</f>
        <v>0</v>
      </c>
      <c r="S783" s="125">
        <f>Lista!R782</f>
        <v>0</v>
      </c>
      <c r="T783" s="81"/>
      <c r="U783" s="81"/>
      <c r="V783" s="81"/>
      <c r="W783" s="81"/>
      <c r="X783" s="81"/>
      <c r="Y783" s="81"/>
      <c r="Z783" s="81"/>
      <c r="AA783" s="81"/>
      <c r="AB783" s="81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  <c r="BS783" s="81"/>
      <c r="BT783" s="81"/>
      <c r="BU783" s="81"/>
      <c r="BV783" s="81"/>
      <c r="BW783" s="81"/>
      <c r="BX783" s="81"/>
      <c r="BY783" s="81"/>
      <c r="BZ783" s="81"/>
      <c r="CA783" s="81"/>
      <c r="CB783" s="81"/>
      <c r="CC783" s="81"/>
      <c r="CD783" s="81"/>
      <c r="CE783" s="81"/>
      <c r="CF783" s="81"/>
      <c r="CG783" s="81"/>
      <c r="CH783" s="81"/>
      <c r="CI783" s="81"/>
      <c r="CJ783" s="81"/>
      <c r="CK783" s="81"/>
      <c r="CL783" s="81"/>
      <c r="CM783" s="81"/>
      <c r="CN783" s="81"/>
      <c r="CO783" s="81"/>
      <c r="CP783" s="81"/>
      <c r="CQ783" s="81"/>
      <c r="CR783" s="81"/>
      <c r="CS783" s="81"/>
      <c r="CT783" s="81"/>
      <c r="CU783" s="81"/>
      <c r="CV783" s="81"/>
      <c r="CW783" s="81"/>
      <c r="CX783" s="81"/>
      <c r="CY783" s="81"/>
      <c r="CZ783" s="81"/>
      <c r="DA783" s="81"/>
      <c r="DB783" s="81"/>
      <c r="DC783" s="81"/>
      <c r="DD783" s="81"/>
      <c r="DE783" s="81"/>
      <c r="DF783" s="81"/>
      <c r="DG783" s="81"/>
      <c r="DH783" s="81"/>
      <c r="DI783" s="81"/>
      <c r="DJ783" s="81"/>
      <c r="DK783" s="81"/>
      <c r="DL783" s="81"/>
      <c r="DM783" s="81"/>
      <c r="DN783" s="81"/>
      <c r="DO783" s="81"/>
      <c r="DP783" s="81"/>
      <c r="DQ783" s="81"/>
      <c r="DR783" s="81"/>
      <c r="DS783" s="81"/>
      <c r="DT783" s="81"/>
      <c r="DU783" s="81"/>
      <c r="DV783" s="81"/>
      <c r="DW783" s="121"/>
    </row>
    <row r="784" spans="1:127" x14ac:dyDescent="0.25">
      <c r="A784" s="2">
        <f>COUNTIF($D$2:D784,'Reporte de Nomina'!$E$2)</f>
        <v>0</v>
      </c>
      <c r="B784" s="125">
        <f>Lista!A783</f>
        <v>0</v>
      </c>
      <c r="C784" s="125">
        <f>Lista!B783</f>
        <v>0</v>
      </c>
      <c r="D784" s="125">
        <f>Lista!C783</f>
        <v>0</v>
      </c>
      <c r="E784" s="125">
        <f>Lista!D783</f>
        <v>0</v>
      </c>
      <c r="F784" s="125">
        <f>Lista!E783</f>
        <v>0</v>
      </c>
      <c r="G784" s="125">
        <f>Lista!F783</f>
        <v>0</v>
      </c>
      <c r="H784" s="125">
        <f>Lista!G783</f>
        <v>0</v>
      </c>
      <c r="I784" s="125">
        <f>Lista!H783</f>
        <v>0</v>
      </c>
      <c r="J784" s="125">
        <f>Lista!I783</f>
        <v>0</v>
      </c>
      <c r="K784" s="125">
        <f>Lista!J783</f>
        <v>0</v>
      </c>
      <c r="L784" s="125">
        <f>Lista!K783</f>
        <v>0</v>
      </c>
      <c r="M784" s="125">
        <f>Lista!L783</f>
        <v>0</v>
      </c>
      <c r="N784" s="125">
        <f>Lista!M783</f>
        <v>0</v>
      </c>
      <c r="O784" s="125">
        <f>Lista!N783</f>
        <v>0</v>
      </c>
      <c r="P784" s="125">
        <f>Lista!O783</f>
        <v>0</v>
      </c>
      <c r="Q784" s="125">
        <f>Lista!P783</f>
        <v>0</v>
      </c>
      <c r="R784" s="125">
        <f>Lista!Q783</f>
        <v>0</v>
      </c>
      <c r="S784" s="125">
        <f>Lista!R783</f>
        <v>0</v>
      </c>
      <c r="T784" s="81"/>
      <c r="U784" s="81"/>
      <c r="V784" s="81"/>
      <c r="W784" s="81"/>
      <c r="X784" s="81"/>
      <c r="Y784" s="81"/>
      <c r="Z784" s="81"/>
      <c r="AA784" s="81"/>
      <c r="AB784" s="81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  <c r="BS784" s="81"/>
      <c r="BT784" s="81"/>
      <c r="BU784" s="81"/>
      <c r="BV784" s="81"/>
      <c r="BW784" s="81"/>
      <c r="BX784" s="81"/>
      <c r="BY784" s="81"/>
      <c r="BZ784" s="81"/>
      <c r="CA784" s="81"/>
      <c r="CB784" s="81"/>
      <c r="CC784" s="81"/>
      <c r="CD784" s="81"/>
      <c r="CE784" s="81"/>
      <c r="CF784" s="81"/>
      <c r="CG784" s="81"/>
      <c r="CH784" s="81"/>
      <c r="CI784" s="81"/>
      <c r="CJ784" s="81"/>
      <c r="CK784" s="81"/>
      <c r="CL784" s="81"/>
      <c r="CM784" s="81"/>
      <c r="CN784" s="81"/>
      <c r="CO784" s="81"/>
      <c r="CP784" s="81"/>
      <c r="CQ784" s="81"/>
      <c r="CR784" s="81"/>
      <c r="CS784" s="81"/>
      <c r="CT784" s="81"/>
      <c r="CU784" s="81"/>
      <c r="CV784" s="81"/>
      <c r="CW784" s="81"/>
      <c r="CX784" s="81"/>
      <c r="CY784" s="81"/>
      <c r="CZ784" s="81"/>
      <c r="DA784" s="81"/>
      <c r="DB784" s="81"/>
      <c r="DC784" s="81"/>
      <c r="DD784" s="81"/>
      <c r="DE784" s="81"/>
      <c r="DF784" s="81"/>
      <c r="DG784" s="81"/>
      <c r="DH784" s="81"/>
      <c r="DI784" s="81"/>
      <c r="DJ784" s="81"/>
      <c r="DK784" s="81"/>
      <c r="DL784" s="81"/>
      <c r="DM784" s="81"/>
      <c r="DN784" s="81"/>
      <c r="DO784" s="81"/>
      <c r="DP784" s="81"/>
      <c r="DQ784" s="81"/>
      <c r="DR784" s="81"/>
      <c r="DS784" s="81"/>
      <c r="DT784" s="81"/>
      <c r="DU784" s="81"/>
      <c r="DV784" s="81"/>
      <c r="DW784" s="121"/>
    </row>
    <row r="785" spans="1:127" x14ac:dyDescent="0.25">
      <c r="A785" s="2">
        <f>COUNTIF($D$2:D785,'Reporte de Nomina'!$E$2)</f>
        <v>0</v>
      </c>
      <c r="B785" s="125">
        <f>Lista!A784</f>
        <v>0</v>
      </c>
      <c r="C785" s="125">
        <f>Lista!B784</f>
        <v>0</v>
      </c>
      <c r="D785" s="125">
        <f>Lista!C784</f>
        <v>0</v>
      </c>
      <c r="E785" s="125">
        <f>Lista!D784</f>
        <v>0</v>
      </c>
      <c r="F785" s="125">
        <f>Lista!E784</f>
        <v>0</v>
      </c>
      <c r="G785" s="125">
        <f>Lista!F784</f>
        <v>0</v>
      </c>
      <c r="H785" s="125">
        <f>Lista!G784</f>
        <v>0</v>
      </c>
      <c r="I785" s="125">
        <f>Lista!H784</f>
        <v>0</v>
      </c>
      <c r="J785" s="125">
        <f>Lista!I784</f>
        <v>0</v>
      </c>
      <c r="K785" s="125">
        <f>Lista!J784</f>
        <v>0</v>
      </c>
      <c r="L785" s="125">
        <f>Lista!K784</f>
        <v>0</v>
      </c>
      <c r="M785" s="125">
        <f>Lista!L784</f>
        <v>0</v>
      </c>
      <c r="N785" s="125">
        <f>Lista!M784</f>
        <v>0</v>
      </c>
      <c r="O785" s="125">
        <f>Lista!N784</f>
        <v>0</v>
      </c>
      <c r="P785" s="125">
        <f>Lista!O784</f>
        <v>0</v>
      </c>
      <c r="Q785" s="125">
        <f>Lista!P784</f>
        <v>0</v>
      </c>
      <c r="R785" s="125">
        <f>Lista!Q784</f>
        <v>0</v>
      </c>
      <c r="S785" s="125">
        <f>Lista!R784</f>
        <v>0</v>
      </c>
      <c r="T785" s="81"/>
      <c r="U785" s="81"/>
      <c r="V785" s="81"/>
      <c r="W785" s="81"/>
      <c r="X785" s="81"/>
      <c r="Y785" s="81"/>
      <c r="Z785" s="81"/>
      <c r="AA785" s="81"/>
      <c r="AB785" s="81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  <c r="BS785" s="81"/>
      <c r="BT785" s="81"/>
      <c r="BU785" s="81"/>
      <c r="BV785" s="81"/>
      <c r="BW785" s="81"/>
      <c r="BX785" s="81"/>
      <c r="BY785" s="81"/>
      <c r="BZ785" s="81"/>
      <c r="CA785" s="81"/>
      <c r="CB785" s="81"/>
      <c r="CC785" s="81"/>
      <c r="CD785" s="81"/>
      <c r="CE785" s="81"/>
      <c r="CF785" s="81"/>
      <c r="CG785" s="81"/>
      <c r="CH785" s="81"/>
      <c r="CI785" s="81"/>
      <c r="CJ785" s="81"/>
      <c r="CK785" s="81"/>
      <c r="CL785" s="81"/>
      <c r="CM785" s="81"/>
      <c r="CN785" s="81"/>
      <c r="CO785" s="81"/>
      <c r="CP785" s="81"/>
      <c r="CQ785" s="81"/>
      <c r="CR785" s="81"/>
      <c r="CS785" s="81"/>
      <c r="CT785" s="81"/>
      <c r="CU785" s="81"/>
      <c r="CV785" s="81"/>
      <c r="CW785" s="81"/>
      <c r="CX785" s="81"/>
      <c r="CY785" s="81"/>
      <c r="CZ785" s="81"/>
      <c r="DA785" s="81"/>
      <c r="DB785" s="81"/>
      <c r="DC785" s="81"/>
      <c r="DD785" s="81"/>
      <c r="DE785" s="81"/>
      <c r="DF785" s="81"/>
      <c r="DG785" s="81"/>
      <c r="DH785" s="81"/>
      <c r="DI785" s="81"/>
      <c r="DJ785" s="81"/>
      <c r="DK785" s="81"/>
      <c r="DL785" s="81"/>
      <c r="DM785" s="81"/>
      <c r="DN785" s="81"/>
      <c r="DO785" s="81"/>
      <c r="DP785" s="81"/>
      <c r="DQ785" s="81"/>
      <c r="DR785" s="81"/>
      <c r="DS785" s="81"/>
      <c r="DT785" s="81"/>
      <c r="DU785" s="81"/>
      <c r="DV785" s="81"/>
      <c r="DW785" s="121"/>
    </row>
    <row r="786" spans="1:127" x14ac:dyDescent="0.25">
      <c r="A786" s="2">
        <f>COUNTIF($D$2:D786,'Reporte de Nomina'!$E$2)</f>
        <v>0</v>
      </c>
      <c r="B786" s="125">
        <f>Lista!A785</f>
        <v>0</v>
      </c>
      <c r="C786" s="125">
        <f>Lista!B785</f>
        <v>0</v>
      </c>
      <c r="D786" s="125">
        <f>Lista!C785</f>
        <v>0</v>
      </c>
      <c r="E786" s="125">
        <f>Lista!D785</f>
        <v>0</v>
      </c>
      <c r="F786" s="125">
        <f>Lista!E785</f>
        <v>0</v>
      </c>
      <c r="G786" s="125">
        <f>Lista!F785</f>
        <v>0</v>
      </c>
      <c r="H786" s="125">
        <f>Lista!G785</f>
        <v>0</v>
      </c>
      <c r="I786" s="125">
        <f>Lista!H785</f>
        <v>0</v>
      </c>
      <c r="J786" s="125">
        <f>Lista!I785</f>
        <v>0</v>
      </c>
      <c r="K786" s="125">
        <f>Lista!J785</f>
        <v>0</v>
      </c>
      <c r="L786" s="125">
        <f>Lista!K785</f>
        <v>0</v>
      </c>
      <c r="M786" s="125">
        <f>Lista!L785</f>
        <v>0</v>
      </c>
      <c r="N786" s="125">
        <f>Lista!M785</f>
        <v>0</v>
      </c>
      <c r="O786" s="125">
        <f>Lista!N785</f>
        <v>0</v>
      </c>
      <c r="P786" s="125">
        <f>Lista!O785</f>
        <v>0</v>
      </c>
      <c r="Q786" s="125">
        <f>Lista!P785</f>
        <v>0</v>
      </c>
      <c r="R786" s="125">
        <f>Lista!Q785</f>
        <v>0</v>
      </c>
      <c r="S786" s="125">
        <f>Lista!R785</f>
        <v>0</v>
      </c>
      <c r="T786" s="81"/>
      <c r="U786" s="81"/>
      <c r="V786" s="81"/>
      <c r="W786" s="81"/>
      <c r="X786" s="81"/>
      <c r="Y786" s="81"/>
      <c r="Z786" s="81"/>
      <c r="AA786" s="81"/>
      <c r="AB786" s="81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  <c r="BS786" s="81"/>
      <c r="BT786" s="81"/>
      <c r="BU786" s="81"/>
      <c r="BV786" s="81"/>
      <c r="BW786" s="81"/>
      <c r="BX786" s="81"/>
      <c r="BY786" s="81"/>
      <c r="BZ786" s="81"/>
      <c r="CA786" s="81"/>
      <c r="CB786" s="81"/>
      <c r="CC786" s="81"/>
      <c r="CD786" s="81"/>
      <c r="CE786" s="81"/>
      <c r="CF786" s="81"/>
      <c r="CG786" s="81"/>
      <c r="CH786" s="81"/>
      <c r="CI786" s="81"/>
      <c r="CJ786" s="81"/>
      <c r="CK786" s="81"/>
      <c r="CL786" s="81"/>
      <c r="CM786" s="81"/>
      <c r="CN786" s="81"/>
      <c r="CO786" s="81"/>
      <c r="CP786" s="81"/>
      <c r="CQ786" s="81"/>
      <c r="CR786" s="81"/>
      <c r="CS786" s="81"/>
      <c r="CT786" s="81"/>
      <c r="CU786" s="81"/>
      <c r="CV786" s="81"/>
      <c r="CW786" s="81"/>
      <c r="CX786" s="81"/>
      <c r="CY786" s="81"/>
      <c r="CZ786" s="81"/>
      <c r="DA786" s="81"/>
      <c r="DB786" s="81"/>
      <c r="DC786" s="81"/>
      <c r="DD786" s="81"/>
      <c r="DE786" s="81"/>
      <c r="DF786" s="81"/>
      <c r="DG786" s="81"/>
      <c r="DH786" s="81"/>
      <c r="DI786" s="81"/>
      <c r="DJ786" s="81"/>
      <c r="DK786" s="81"/>
      <c r="DL786" s="81"/>
      <c r="DM786" s="81"/>
      <c r="DN786" s="81"/>
      <c r="DO786" s="81"/>
      <c r="DP786" s="81"/>
      <c r="DQ786" s="81"/>
      <c r="DR786" s="81"/>
      <c r="DS786" s="81"/>
      <c r="DT786" s="81"/>
      <c r="DU786" s="81"/>
      <c r="DV786" s="81"/>
      <c r="DW786" s="121"/>
    </row>
    <row r="787" spans="1:127" x14ac:dyDescent="0.25">
      <c r="A787" s="2">
        <f>COUNTIF($D$2:D787,'Reporte de Nomina'!$E$2)</f>
        <v>0</v>
      </c>
      <c r="B787" s="125">
        <f>Lista!A786</f>
        <v>0</v>
      </c>
      <c r="C787" s="125">
        <f>Lista!B786</f>
        <v>0</v>
      </c>
      <c r="D787" s="125">
        <f>Lista!C786</f>
        <v>0</v>
      </c>
      <c r="E787" s="125">
        <f>Lista!D786</f>
        <v>0</v>
      </c>
      <c r="F787" s="125">
        <f>Lista!E786</f>
        <v>0</v>
      </c>
      <c r="G787" s="125">
        <f>Lista!F786</f>
        <v>0</v>
      </c>
      <c r="H787" s="125">
        <f>Lista!G786</f>
        <v>0</v>
      </c>
      <c r="I787" s="125">
        <f>Lista!H786</f>
        <v>0</v>
      </c>
      <c r="J787" s="125">
        <f>Lista!I786</f>
        <v>0</v>
      </c>
      <c r="K787" s="125">
        <f>Lista!J786</f>
        <v>0</v>
      </c>
      <c r="L787" s="125">
        <f>Lista!K786</f>
        <v>0</v>
      </c>
      <c r="M787" s="125">
        <f>Lista!L786</f>
        <v>0</v>
      </c>
      <c r="N787" s="125">
        <f>Lista!M786</f>
        <v>0</v>
      </c>
      <c r="O787" s="125">
        <f>Lista!N786</f>
        <v>0</v>
      </c>
      <c r="P787" s="125">
        <f>Lista!O786</f>
        <v>0</v>
      </c>
      <c r="Q787" s="125">
        <f>Lista!P786</f>
        <v>0</v>
      </c>
      <c r="R787" s="125">
        <f>Lista!Q786</f>
        <v>0</v>
      </c>
      <c r="S787" s="125">
        <f>Lista!R786</f>
        <v>0</v>
      </c>
      <c r="T787" s="81"/>
      <c r="U787" s="81"/>
      <c r="V787" s="81"/>
      <c r="W787" s="81"/>
      <c r="X787" s="81"/>
      <c r="Y787" s="81"/>
      <c r="Z787" s="81"/>
      <c r="AA787" s="81"/>
      <c r="AB787" s="81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  <c r="BS787" s="81"/>
      <c r="BT787" s="81"/>
      <c r="BU787" s="81"/>
      <c r="BV787" s="81"/>
      <c r="BW787" s="81"/>
      <c r="BX787" s="81"/>
      <c r="BY787" s="81"/>
      <c r="BZ787" s="81"/>
      <c r="CA787" s="81"/>
      <c r="CB787" s="81"/>
      <c r="CC787" s="81"/>
      <c r="CD787" s="81"/>
      <c r="CE787" s="81"/>
      <c r="CF787" s="81"/>
      <c r="CG787" s="81"/>
      <c r="CH787" s="81"/>
      <c r="CI787" s="81"/>
      <c r="CJ787" s="81"/>
      <c r="CK787" s="81"/>
      <c r="CL787" s="81"/>
      <c r="CM787" s="81"/>
      <c r="CN787" s="81"/>
      <c r="CO787" s="81"/>
      <c r="CP787" s="81"/>
      <c r="CQ787" s="81"/>
      <c r="CR787" s="81"/>
      <c r="CS787" s="81"/>
      <c r="CT787" s="81"/>
      <c r="CU787" s="81"/>
      <c r="CV787" s="81"/>
      <c r="CW787" s="81"/>
      <c r="CX787" s="81"/>
      <c r="CY787" s="81"/>
      <c r="CZ787" s="81"/>
      <c r="DA787" s="81"/>
      <c r="DB787" s="81"/>
      <c r="DC787" s="81"/>
      <c r="DD787" s="81"/>
      <c r="DE787" s="81"/>
      <c r="DF787" s="81"/>
      <c r="DG787" s="81"/>
      <c r="DH787" s="81"/>
      <c r="DI787" s="81"/>
      <c r="DJ787" s="81"/>
      <c r="DK787" s="81"/>
      <c r="DL787" s="81"/>
      <c r="DM787" s="81"/>
      <c r="DN787" s="81"/>
      <c r="DO787" s="81"/>
      <c r="DP787" s="81"/>
      <c r="DQ787" s="81"/>
      <c r="DR787" s="81"/>
      <c r="DS787" s="81"/>
      <c r="DT787" s="81"/>
      <c r="DU787" s="81"/>
      <c r="DV787" s="81"/>
      <c r="DW787" s="121"/>
    </row>
    <row r="788" spans="1:127" x14ac:dyDescent="0.25">
      <c r="A788" s="2">
        <f>COUNTIF($D$2:D788,'Reporte de Nomina'!$E$2)</f>
        <v>0</v>
      </c>
      <c r="B788" s="125">
        <f>Lista!A787</f>
        <v>0</v>
      </c>
      <c r="C788" s="125">
        <f>Lista!B787</f>
        <v>0</v>
      </c>
      <c r="D788" s="125">
        <f>Lista!C787</f>
        <v>0</v>
      </c>
      <c r="E788" s="125">
        <f>Lista!D787</f>
        <v>0</v>
      </c>
      <c r="F788" s="125">
        <f>Lista!E787</f>
        <v>0</v>
      </c>
      <c r="G788" s="125">
        <f>Lista!F787</f>
        <v>0</v>
      </c>
      <c r="H788" s="125">
        <f>Lista!G787</f>
        <v>0</v>
      </c>
      <c r="I788" s="125">
        <f>Lista!H787</f>
        <v>0</v>
      </c>
      <c r="J788" s="125">
        <f>Lista!I787</f>
        <v>0</v>
      </c>
      <c r="K788" s="125">
        <f>Lista!J787</f>
        <v>0</v>
      </c>
      <c r="L788" s="125">
        <f>Lista!K787</f>
        <v>0</v>
      </c>
      <c r="M788" s="125">
        <f>Lista!L787</f>
        <v>0</v>
      </c>
      <c r="N788" s="125">
        <f>Lista!M787</f>
        <v>0</v>
      </c>
      <c r="O788" s="125">
        <f>Lista!N787</f>
        <v>0</v>
      </c>
      <c r="P788" s="125">
        <f>Lista!O787</f>
        <v>0</v>
      </c>
      <c r="Q788" s="125">
        <f>Lista!P787</f>
        <v>0</v>
      </c>
      <c r="R788" s="125">
        <f>Lista!Q787</f>
        <v>0</v>
      </c>
      <c r="S788" s="125">
        <f>Lista!R787</f>
        <v>0</v>
      </c>
      <c r="T788" s="81"/>
      <c r="U788" s="81"/>
      <c r="V788" s="81"/>
      <c r="W788" s="81"/>
      <c r="X788" s="81"/>
      <c r="Y788" s="81"/>
      <c r="Z788" s="81"/>
      <c r="AA788" s="81"/>
      <c r="AB788" s="81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  <c r="BS788" s="81"/>
      <c r="BT788" s="81"/>
      <c r="BU788" s="81"/>
      <c r="BV788" s="81"/>
      <c r="BW788" s="81"/>
      <c r="BX788" s="81"/>
      <c r="BY788" s="81"/>
      <c r="BZ788" s="81"/>
      <c r="CA788" s="81"/>
      <c r="CB788" s="81"/>
      <c r="CC788" s="81"/>
      <c r="CD788" s="81"/>
      <c r="CE788" s="81"/>
      <c r="CF788" s="81"/>
      <c r="CG788" s="81"/>
      <c r="CH788" s="81"/>
      <c r="CI788" s="81"/>
      <c r="CJ788" s="81"/>
      <c r="CK788" s="81"/>
      <c r="CL788" s="81"/>
      <c r="CM788" s="81"/>
      <c r="CN788" s="81"/>
      <c r="CO788" s="81"/>
      <c r="CP788" s="81"/>
      <c r="CQ788" s="81"/>
      <c r="CR788" s="81"/>
      <c r="CS788" s="81"/>
      <c r="CT788" s="81"/>
      <c r="CU788" s="81"/>
      <c r="CV788" s="81"/>
      <c r="CW788" s="81"/>
      <c r="CX788" s="81"/>
      <c r="CY788" s="81"/>
      <c r="CZ788" s="81"/>
      <c r="DA788" s="81"/>
      <c r="DB788" s="81"/>
      <c r="DC788" s="81"/>
      <c r="DD788" s="81"/>
      <c r="DE788" s="81"/>
      <c r="DF788" s="81"/>
      <c r="DG788" s="81"/>
      <c r="DH788" s="81"/>
      <c r="DI788" s="81"/>
      <c r="DJ788" s="81"/>
      <c r="DK788" s="81"/>
      <c r="DL788" s="81"/>
      <c r="DM788" s="81"/>
      <c r="DN788" s="81"/>
      <c r="DO788" s="81"/>
      <c r="DP788" s="81"/>
      <c r="DQ788" s="81"/>
      <c r="DR788" s="81"/>
      <c r="DS788" s="81"/>
      <c r="DT788" s="81"/>
      <c r="DU788" s="81"/>
      <c r="DV788" s="81"/>
      <c r="DW788" s="121"/>
    </row>
    <row r="789" spans="1:127" x14ac:dyDescent="0.25">
      <c r="A789" s="2">
        <f>COUNTIF($D$2:D789,'Reporte de Nomina'!$E$2)</f>
        <v>0</v>
      </c>
      <c r="B789" s="125">
        <f>Lista!A788</f>
        <v>0</v>
      </c>
      <c r="C789" s="125">
        <f>Lista!B788</f>
        <v>0</v>
      </c>
      <c r="D789" s="125">
        <f>Lista!C788</f>
        <v>0</v>
      </c>
      <c r="E789" s="125">
        <f>Lista!D788</f>
        <v>0</v>
      </c>
      <c r="F789" s="125">
        <f>Lista!E788</f>
        <v>0</v>
      </c>
      <c r="G789" s="125">
        <f>Lista!F788</f>
        <v>0</v>
      </c>
      <c r="H789" s="125">
        <f>Lista!G788</f>
        <v>0</v>
      </c>
      <c r="I789" s="125">
        <f>Lista!H788</f>
        <v>0</v>
      </c>
      <c r="J789" s="125">
        <f>Lista!I788</f>
        <v>0</v>
      </c>
      <c r="K789" s="125">
        <f>Lista!J788</f>
        <v>0</v>
      </c>
      <c r="L789" s="125">
        <f>Lista!K788</f>
        <v>0</v>
      </c>
      <c r="M789" s="125">
        <f>Lista!L788</f>
        <v>0</v>
      </c>
      <c r="N789" s="125">
        <f>Lista!M788</f>
        <v>0</v>
      </c>
      <c r="O789" s="125">
        <f>Lista!N788</f>
        <v>0</v>
      </c>
      <c r="P789" s="125">
        <f>Lista!O788</f>
        <v>0</v>
      </c>
      <c r="Q789" s="125">
        <f>Lista!P788</f>
        <v>0</v>
      </c>
      <c r="R789" s="125">
        <f>Lista!Q788</f>
        <v>0</v>
      </c>
      <c r="S789" s="125">
        <f>Lista!R788</f>
        <v>0</v>
      </c>
      <c r="T789" s="81"/>
      <c r="U789" s="81"/>
      <c r="V789" s="81"/>
      <c r="W789" s="81"/>
      <c r="X789" s="81"/>
      <c r="Y789" s="81"/>
      <c r="Z789" s="81"/>
      <c r="AA789" s="81"/>
      <c r="AB789" s="81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  <c r="BS789" s="81"/>
      <c r="BT789" s="81"/>
      <c r="BU789" s="81"/>
      <c r="BV789" s="81"/>
      <c r="BW789" s="81"/>
      <c r="BX789" s="81"/>
      <c r="BY789" s="81"/>
      <c r="BZ789" s="81"/>
      <c r="CA789" s="81"/>
      <c r="CB789" s="81"/>
      <c r="CC789" s="81"/>
      <c r="CD789" s="81"/>
      <c r="CE789" s="81"/>
      <c r="CF789" s="81"/>
      <c r="CG789" s="81"/>
      <c r="CH789" s="81"/>
      <c r="CI789" s="81"/>
      <c r="CJ789" s="81"/>
      <c r="CK789" s="81"/>
      <c r="CL789" s="81"/>
      <c r="CM789" s="81"/>
      <c r="CN789" s="81"/>
      <c r="CO789" s="81"/>
      <c r="CP789" s="81"/>
      <c r="CQ789" s="81"/>
      <c r="CR789" s="81"/>
      <c r="CS789" s="81"/>
      <c r="CT789" s="81"/>
      <c r="CU789" s="81"/>
      <c r="CV789" s="81"/>
      <c r="CW789" s="81"/>
      <c r="CX789" s="81"/>
      <c r="CY789" s="81"/>
      <c r="CZ789" s="81"/>
      <c r="DA789" s="81"/>
      <c r="DB789" s="81"/>
      <c r="DC789" s="81"/>
      <c r="DD789" s="81"/>
      <c r="DE789" s="81"/>
      <c r="DF789" s="81"/>
      <c r="DG789" s="81"/>
      <c r="DH789" s="81"/>
      <c r="DI789" s="81"/>
      <c r="DJ789" s="81"/>
      <c r="DK789" s="81"/>
      <c r="DL789" s="81"/>
      <c r="DM789" s="81"/>
      <c r="DN789" s="81"/>
      <c r="DO789" s="81"/>
      <c r="DP789" s="81"/>
      <c r="DQ789" s="81"/>
      <c r="DR789" s="81"/>
      <c r="DS789" s="81"/>
      <c r="DT789" s="81"/>
      <c r="DU789" s="81"/>
      <c r="DV789" s="81"/>
      <c r="DW789" s="121"/>
    </row>
    <row r="790" spans="1:127" x14ac:dyDescent="0.25">
      <c r="A790" s="2">
        <f>COUNTIF($D$2:D790,'Reporte de Nomina'!$E$2)</f>
        <v>0</v>
      </c>
      <c r="B790" s="125">
        <f>Lista!A789</f>
        <v>0</v>
      </c>
      <c r="C790" s="125">
        <f>Lista!B789</f>
        <v>0</v>
      </c>
      <c r="D790" s="125">
        <f>Lista!C789</f>
        <v>0</v>
      </c>
      <c r="E790" s="125">
        <f>Lista!D789</f>
        <v>0</v>
      </c>
      <c r="F790" s="125">
        <f>Lista!E789</f>
        <v>0</v>
      </c>
      <c r="G790" s="125">
        <f>Lista!F789</f>
        <v>0</v>
      </c>
      <c r="H790" s="125">
        <f>Lista!G789</f>
        <v>0</v>
      </c>
      <c r="I790" s="125">
        <f>Lista!H789</f>
        <v>0</v>
      </c>
      <c r="J790" s="125">
        <f>Lista!I789</f>
        <v>0</v>
      </c>
      <c r="K790" s="125">
        <f>Lista!J789</f>
        <v>0</v>
      </c>
      <c r="L790" s="125">
        <f>Lista!K789</f>
        <v>0</v>
      </c>
      <c r="M790" s="125">
        <f>Lista!L789</f>
        <v>0</v>
      </c>
      <c r="N790" s="125">
        <f>Lista!M789</f>
        <v>0</v>
      </c>
      <c r="O790" s="125">
        <f>Lista!N789</f>
        <v>0</v>
      </c>
      <c r="P790" s="125">
        <f>Lista!O789</f>
        <v>0</v>
      </c>
      <c r="Q790" s="125">
        <f>Lista!P789</f>
        <v>0</v>
      </c>
      <c r="R790" s="125">
        <f>Lista!Q789</f>
        <v>0</v>
      </c>
      <c r="S790" s="125">
        <f>Lista!R789</f>
        <v>0</v>
      </c>
      <c r="T790" s="81"/>
      <c r="U790" s="81"/>
      <c r="V790" s="81"/>
      <c r="W790" s="81"/>
      <c r="X790" s="81"/>
      <c r="Y790" s="81"/>
      <c r="Z790" s="81"/>
      <c r="AA790" s="81"/>
      <c r="AB790" s="81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  <c r="BS790" s="81"/>
      <c r="BT790" s="81"/>
      <c r="BU790" s="81"/>
      <c r="BV790" s="81"/>
      <c r="BW790" s="81"/>
      <c r="BX790" s="81"/>
      <c r="BY790" s="81"/>
      <c r="BZ790" s="81"/>
      <c r="CA790" s="81"/>
      <c r="CB790" s="81"/>
      <c r="CC790" s="81"/>
      <c r="CD790" s="81"/>
      <c r="CE790" s="81"/>
      <c r="CF790" s="81"/>
      <c r="CG790" s="81"/>
      <c r="CH790" s="81"/>
      <c r="CI790" s="81"/>
      <c r="CJ790" s="81"/>
      <c r="CK790" s="81"/>
      <c r="CL790" s="81"/>
      <c r="CM790" s="81"/>
      <c r="CN790" s="81"/>
      <c r="CO790" s="81"/>
      <c r="CP790" s="81"/>
      <c r="CQ790" s="81"/>
      <c r="CR790" s="81"/>
      <c r="CS790" s="81"/>
      <c r="CT790" s="81"/>
      <c r="CU790" s="81"/>
      <c r="CV790" s="81"/>
      <c r="CW790" s="81"/>
      <c r="CX790" s="81"/>
      <c r="CY790" s="81"/>
      <c r="CZ790" s="81"/>
      <c r="DA790" s="81"/>
      <c r="DB790" s="81"/>
      <c r="DC790" s="81"/>
      <c r="DD790" s="81"/>
      <c r="DE790" s="81"/>
      <c r="DF790" s="81"/>
      <c r="DG790" s="81"/>
      <c r="DH790" s="81"/>
      <c r="DI790" s="81"/>
      <c r="DJ790" s="81"/>
      <c r="DK790" s="81"/>
      <c r="DL790" s="81"/>
      <c r="DM790" s="81"/>
      <c r="DN790" s="81"/>
      <c r="DO790" s="81"/>
      <c r="DP790" s="81"/>
      <c r="DQ790" s="81"/>
      <c r="DR790" s="81"/>
      <c r="DS790" s="81"/>
      <c r="DT790" s="81"/>
      <c r="DU790" s="81"/>
      <c r="DV790" s="81"/>
      <c r="DW790" s="121"/>
    </row>
    <row r="791" spans="1:127" x14ac:dyDescent="0.25">
      <c r="A791" s="2">
        <f>COUNTIF($D$2:D791,'Reporte de Nomina'!$E$2)</f>
        <v>0</v>
      </c>
      <c r="B791" s="125">
        <f>Lista!A790</f>
        <v>0</v>
      </c>
      <c r="C791" s="125">
        <f>Lista!B790</f>
        <v>0</v>
      </c>
      <c r="D791" s="125">
        <f>Lista!C790</f>
        <v>0</v>
      </c>
      <c r="E791" s="125">
        <f>Lista!D790</f>
        <v>0</v>
      </c>
      <c r="F791" s="125">
        <f>Lista!E790</f>
        <v>0</v>
      </c>
      <c r="G791" s="125">
        <f>Lista!F790</f>
        <v>0</v>
      </c>
      <c r="H791" s="125">
        <f>Lista!G790</f>
        <v>0</v>
      </c>
      <c r="I791" s="125">
        <f>Lista!H790</f>
        <v>0</v>
      </c>
      <c r="J791" s="125">
        <f>Lista!I790</f>
        <v>0</v>
      </c>
      <c r="K791" s="125">
        <f>Lista!J790</f>
        <v>0</v>
      </c>
      <c r="L791" s="125">
        <f>Lista!K790</f>
        <v>0</v>
      </c>
      <c r="M791" s="125">
        <f>Lista!L790</f>
        <v>0</v>
      </c>
      <c r="N791" s="125">
        <f>Lista!M790</f>
        <v>0</v>
      </c>
      <c r="O791" s="125">
        <f>Lista!N790</f>
        <v>0</v>
      </c>
      <c r="P791" s="125">
        <f>Lista!O790</f>
        <v>0</v>
      </c>
      <c r="Q791" s="125">
        <f>Lista!P790</f>
        <v>0</v>
      </c>
      <c r="R791" s="125">
        <f>Lista!Q790</f>
        <v>0</v>
      </c>
      <c r="S791" s="125">
        <f>Lista!R790</f>
        <v>0</v>
      </c>
      <c r="T791" s="81"/>
      <c r="U791" s="81"/>
      <c r="V791" s="81"/>
      <c r="W791" s="81"/>
      <c r="X791" s="81"/>
      <c r="Y791" s="81"/>
      <c r="Z791" s="81"/>
      <c r="AA791" s="81"/>
      <c r="AB791" s="81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  <c r="BS791" s="81"/>
      <c r="BT791" s="81"/>
      <c r="BU791" s="81"/>
      <c r="BV791" s="81"/>
      <c r="BW791" s="81"/>
      <c r="BX791" s="81"/>
      <c r="BY791" s="81"/>
      <c r="BZ791" s="81"/>
      <c r="CA791" s="81"/>
      <c r="CB791" s="81"/>
      <c r="CC791" s="81"/>
      <c r="CD791" s="81"/>
      <c r="CE791" s="81"/>
      <c r="CF791" s="81"/>
      <c r="CG791" s="81"/>
      <c r="CH791" s="81"/>
      <c r="CI791" s="81"/>
      <c r="CJ791" s="81"/>
      <c r="CK791" s="81"/>
      <c r="CL791" s="81"/>
      <c r="CM791" s="81"/>
      <c r="CN791" s="81"/>
      <c r="CO791" s="81"/>
      <c r="CP791" s="81"/>
      <c r="CQ791" s="81"/>
      <c r="CR791" s="81"/>
      <c r="CS791" s="81"/>
      <c r="CT791" s="81"/>
      <c r="CU791" s="81"/>
      <c r="CV791" s="81"/>
      <c r="CW791" s="81"/>
      <c r="CX791" s="81"/>
      <c r="CY791" s="81"/>
      <c r="CZ791" s="81"/>
      <c r="DA791" s="81"/>
      <c r="DB791" s="81"/>
      <c r="DC791" s="81"/>
      <c r="DD791" s="81"/>
      <c r="DE791" s="81"/>
      <c r="DF791" s="81"/>
      <c r="DG791" s="81"/>
      <c r="DH791" s="81"/>
      <c r="DI791" s="81"/>
      <c r="DJ791" s="81"/>
      <c r="DK791" s="81"/>
      <c r="DL791" s="81"/>
      <c r="DM791" s="81"/>
      <c r="DN791" s="81"/>
      <c r="DO791" s="81"/>
      <c r="DP791" s="81"/>
      <c r="DQ791" s="81"/>
      <c r="DR791" s="81"/>
      <c r="DS791" s="81"/>
      <c r="DT791" s="81"/>
      <c r="DU791" s="81"/>
      <c r="DV791" s="81"/>
      <c r="DW791" s="121"/>
    </row>
    <row r="792" spans="1:127" x14ac:dyDescent="0.25">
      <c r="A792" s="2">
        <f>COUNTIF($D$2:D792,'Reporte de Nomina'!$E$2)</f>
        <v>0</v>
      </c>
      <c r="B792" s="125">
        <f>Lista!A791</f>
        <v>0</v>
      </c>
      <c r="C792" s="125">
        <f>Lista!B791</f>
        <v>0</v>
      </c>
      <c r="D792" s="125">
        <f>Lista!C791</f>
        <v>0</v>
      </c>
      <c r="E792" s="125">
        <f>Lista!D791</f>
        <v>0</v>
      </c>
      <c r="F792" s="125">
        <f>Lista!E791</f>
        <v>0</v>
      </c>
      <c r="G792" s="125">
        <f>Lista!F791</f>
        <v>0</v>
      </c>
      <c r="H792" s="125">
        <f>Lista!G791</f>
        <v>0</v>
      </c>
      <c r="I792" s="125">
        <f>Lista!H791</f>
        <v>0</v>
      </c>
      <c r="J792" s="125">
        <f>Lista!I791</f>
        <v>0</v>
      </c>
      <c r="K792" s="125">
        <f>Lista!J791</f>
        <v>0</v>
      </c>
      <c r="L792" s="125">
        <f>Lista!K791</f>
        <v>0</v>
      </c>
      <c r="M792" s="125">
        <f>Lista!L791</f>
        <v>0</v>
      </c>
      <c r="N792" s="125">
        <f>Lista!M791</f>
        <v>0</v>
      </c>
      <c r="O792" s="125">
        <f>Lista!N791</f>
        <v>0</v>
      </c>
      <c r="P792" s="125">
        <f>Lista!O791</f>
        <v>0</v>
      </c>
      <c r="Q792" s="125">
        <f>Lista!P791</f>
        <v>0</v>
      </c>
      <c r="R792" s="125">
        <f>Lista!Q791</f>
        <v>0</v>
      </c>
      <c r="S792" s="125">
        <f>Lista!R791</f>
        <v>0</v>
      </c>
      <c r="T792" s="81"/>
      <c r="U792" s="81"/>
      <c r="V792" s="81"/>
      <c r="W792" s="81"/>
      <c r="X792" s="81"/>
      <c r="Y792" s="81"/>
      <c r="Z792" s="81"/>
      <c r="AA792" s="81"/>
      <c r="AB792" s="81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  <c r="BS792" s="81"/>
      <c r="BT792" s="81"/>
      <c r="BU792" s="81"/>
      <c r="BV792" s="81"/>
      <c r="BW792" s="81"/>
      <c r="BX792" s="81"/>
      <c r="BY792" s="81"/>
      <c r="BZ792" s="81"/>
      <c r="CA792" s="81"/>
      <c r="CB792" s="81"/>
      <c r="CC792" s="81"/>
      <c r="CD792" s="81"/>
      <c r="CE792" s="81"/>
      <c r="CF792" s="81"/>
      <c r="CG792" s="81"/>
      <c r="CH792" s="81"/>
      <c r="CI792" s="81"/>
      <c r="CJ792" s="81"/>
      <c r="CK792" s="81"/>
      <c r="CL792" s="81"/>
      <c r="CM792" s="81"/>
      <c r="CN792" s="81"/>
      <c r="CO792" s="81"/>
      <c r="CP792" s="81"/>
      <c r="CQ792" s="81"/>
      <c r="CR792" s="81"/>
      <c r="CS792" s="81"/>
      <c r="CT792" s="81"/>
      <c r="CU792" s="81"/>
      <c r="CV792" s="81"/>
      <c r="CW792" s="81"/>
      <c r="CX792" s="81"/>
      <c r="CY792" s="81"/>
      <c r="CZ792" s="81"/>
      <c r="DA792" s="81"/>
      <c r="DB792" s="81"/>
      <c r="DC792" s="81"/>
      <c r="DD792" s="81"/>
      <c r="DE792" s="81"/>
      <c r="DF792" s="81"/>
      <c r="DG792" s="81"/>
      <c r="DH792" s="81"/>
      <c r="DI792" s="81"/>
      <c r="DJ792" s="81"/>
      <c r="DK792" s="81"/>
      <c r="DL792" s="81"/>
      <c r="DM792" s="81"/>
      <c r="DN792" s="81"/>
      <c r="DO792" s="81"/>
      <c r="DP792" s="81"/>
      <c r="DQ792" s="81"/>
      <c r="DR792" s="81"/>
      <c r="DS792" s="81"/>
      <c r="DT792" s="81"/>
      <c r="DU792" s="81"/>
      <c r="DV792" s="81"/>
      <c r="DW792" s="121"/>
    </row>
    <row r="793" spans="1:127" x14ac:dyDescent="0.25">
      <c r="A793" s="2">
        <f>COUNTIF($D$2:D793,'Reporte de Nomina'!$E$2)</f>
        <v>0</v>
      </c>
      <c r="B793" s="125">
        <f>Lista!A792</f>
        <v>0</v>
      </c>
      <c r="C793" s="125">
        <f>Lista!B792</f>
        <v>0</v>
      </c>
      <c r="D793" s="125">
        <f>Lista!C792</f>
        <v>0</v>
      </c>
      <c r="E793" s="125">
        <f>Lista!D792</f>
        <v>0</v>
      </c>
      <c r="F793" s="125">
        <f>Lista!E792</f>
        <v>0</v>
      </c>
      <c r="G793" s="125">
        <f>Lista!F792</f>
        <v>0</v>
      </c>
      <c r="H793" s="125">
        <f>Lista!G792</f>
        <v>0</v>
      </c>
      <c r="I793" s="125">
        <f>Lista!H792</f>
        <v>0</v>
      </c>
      <c r="J793" s="125">
        <f>Lista!I792</f>
        <v>0</v>
      </c>
      <c r="K793" s="125">
        <f>Lista!J792</f>
        <v>0</v>
      </c>
      <c r="L793" s="125">
        <f>Lista!K792</f>
        <v>0</v>
      </c>
      <c r="M793" s="125">
        <f>Lista!L792</f>
        <v>0</v>
      </c>
      <c r="N793" s="125">
        <f>Lista!M792</f>
        <v>0</v>
      </c>
      <c r="O793" s="125">
        <f>Lista!N792</f>
        <v>0</v>
      </c>
      <c r="P793" s="125">
        <f>Lista!O792</f>
        <v>0</v>
      </c>
      <c r="Q793" s="125">
        <f>Lista!P792</f>
        <v>0</v>
      </c>
      <c r="R793" s="125">
        <f>Lista!Q792</f>
        <v>0</v>
      </c>
      <c r="S793" s="125">
        <f>Lista!R792</f>
        <v>0</v>
      </c>
      <c r="T793" s="81"/>
      <c r="U793" s="81"/>
      <c r="V793" s="81"/>
      <c r="W793" s="81"/>
      <c r="X793" s="81"/>
      <c r="Y793" s="81"/>
      <c r="Z793" s="81"/>
      <c r="AA793" s="81"/>
      <c r="AB793" s="81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  <c r="BS793" s="81"/>
      <c r="BT793" s="81"/>
      <c r="BU793" s="81"/>
      <c r="BV793" s="81"/>
      <c r="BW793" s="81"/>
      <c r="BX793" s="81"/>
      <c r="BY793" s="81"/>
      <c r="BZ793" s="81"/>
      <c r="CA793" s="81"/>
      <c r="CB793" s="81"/>
      <c r="CC793" s="81"/>
      <c r="CD793" s="81"/>
      <c r="CE793" s="81"/>
      <c r="CF793" s="81"/>
      <c r="CG793" s="81"/>
      <c r="CH793" s="81"/>
      <c r="CI793" s="81"/>
      <c r="CJ793" s="81"/>
      <c r="CK793" s="81"/>
      <c r="CL793" s="81"/>
      <c r="CM793" s="81"/>
      <c r="CN793" s="81"/>
      <c r="CO793" s="81"/>
      <c r="CP793" s="81"/>
      <c r="CQ793" s="81"/>
      <c r="CR793" s="81"/>
      <c r="CS793" s="81"/>
      <c r="CT793" s="81"/>
      <c r="CU793" s="81"/>
      <c r="CV793" s="81"/>
      <c r="CW793" s="81"/>
      <c r="CX793" s="81"/>
      <c r="CY793" s="81"/>
      <c r="CZ793" s="81"/>
      <c r="DA793" s="81"/>
      <c r="DB793" s="81"/>
      <c r="DC793" s="81"/>
      <c r="DD793" s="81"/>
      <c r="DE793" s="81"/>
      <c r="DF793" s="81"/>
      <c r="DG793" s="81"/>
      <c r="DH793" s="81"/>
      <c r="DI793" s="81"/>
      <c r="DJ793" s="81"/>
      <c r="DK793" s="81"/>
      <c r="DL793" s="81"/>
      <c r="DM793" s="81"/>
      <c r="DN793" s="81"/>
      <c r="DO793" s="81"/>
      <c r="DP793" s="81"/>
      <c r="DQ793" s="81"/>
      <c r="DR793" s="81"/>
      <c r="DS793" s="81"/>
      <c r="DT793" s="81"/>
      <c r="DU793" s="81"/>
      <c r="DV793" s="81"/>
      <c r="DW793" s="121"/>
    </row>
    <row r="794" spans="1:127" x14ac:dyDescent="0.25">
      <c r="A794" s="2">
        <f>COUNTIF($D$2:D794,'Reporte de Nomina'!$E$2)</f>
        <v>0</v>
      </c>
      <c r="B794" s="125">
        <f>Lista!A793</f>
        <v>0</v>
      </c>
      <c r="C794" s="125">
        <f>Lista!B793</f>
        <v>0</v>
      </c>
      <c r="D794" s="125">
        <f>Lista!C793</f>
        <v>0</v>
      </c>
      <c r="E794" s="125">
        <f>Lista!D793</f>
        <v>0</v>
      </c>
      <c r="F794" s="125">
        <f>Lista!E793</f>
        <v>0</v>
      </c>
      <c r="G794" s="125">
        <f>Lista!F793</f>
        <v>0</v>
      </c>
      <c r="H794" s="125">
        <f>Lista!G793</f>
        <v>0</v>
      </c>
      <c r="I794" s="125">
        <f>Lista!H793</f>
        <v>0</v>
      </c>
      <c r="J794" s="125">
        <f>Lista!I793</f>
        <v>0</v>
      </c>
      <c r="K794" s="125">
        <f>Lista!J793</f>
        <v>0</v>
      </c>
      <c r="L794" s="125">
        <f>Lista!K793</f>
        <v>0</v>
      </c>
      <c r="M794" s="125">
        <f>Lista!L793</f>
        <v>0</v>
      </c>
      <c r="N794" s="125">
        <f>Lista!M793</f>
        <v>0</v>
      </c>
      <c r="O794" s="125">
        <f>Lista!N793</f>
        <v>0</v>
      </c>
      <c r="P794" s="125">
        <f>Lista!O793</f>
        <v>0</v>
      </c>
      <c r="Q794" s="125">
        <f>Lista!P793</f>
        <v>0</v>
      </c>
      <c r="R794" s="125">
        <f>Lista!Q793</f>
        <v>0</v>
      </c>
      <c r="S794" s="125">
        <f>Lista!R793</f>
        <v>0</v>
      </c>
      <c r="T794" s="81"/>
      <c r="U794" s="81"/>
      <c r="V794" s="81"/>
      <c r="W794" s="81"/>
      <c r="X794" s="81"/>
      <c r="Y794" s="81"/>
      <c r="Z794" s="81"/>
      <c r="AA794" s="81"/>
      <c r="AB794" s="81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  <c r="BS794" s="81"/>
      <c r="BT794" s="81"/>
      <c r="BU794" s="81"/>
      <c r="BV794" s="81"/>
      <c r="BW794" s="81"/>
      <c r="BX794" s="81"/>
      <c r="BY794" s="81"/>
      <c r="BZ794" s="81"/>
      <c r="CA794" s="81"/>
      <c r="CB794" s="81"/>
      <c r="CC794" s="81"/>
      <c r="CD794" s="81"/>
      <c r="CE794" s="81"/>
      <c r="CF794" s="81"/>
      <c r="CG794" s="81"/>
      <c r="CH794" s="81"/>
      <c r="CI794" s="81"/>
      <c r="CJ794" s="81"/>
      <c r="CK794" s="81"/>
      <c r="CL794" s="81"/>
      <c r="CM794" s="81"/>
      <c r="CN794" s="81"/>
      <c r="CO794" s="81"/>
      <c r="CP794" s="81"/>
      <c r="CQ794" s="81"/>
      <c r="CR794" s="81"/>
      <c r="CS794" s="81"/>
      <c r="CT794" s="81"/>
      <c r="CU794" s="81"/>
      <c r="CV794" s="81"/>
      <c r="CW794" s="81"/>
      <c r="CX794" s="81"/>
      <c r="CY794" s="81"/>
      <c r="CZ794" s="81"/>
      <c r="DA794" s="81"/>
      <c r="DB794" s="81"/>
      <c r="DC794" s="81"/>
      <c r="DD794" s="81"/>
      <c r="DE794" s="81"/>
      <c r="DF794" s="81"/>
      <c r="DG794" s="81"/>
      <c r="DH794" s="81"/>
      <c r="DI794" s="81"/>
      <c r="DJ794" s="81"/>
      <c r="DK794" s="81"/>
      <c r="DL794" s="81"/>
      <c r="DM794" s="81"/>
      <c r="DN794" s="81"/>
      <c r="DO794" s="81"/>
      <c r="DP794" s="81"/>
      <c r="DQ794" s="81"/>
      <c r="DR794" s="81"/>
      <c r="DS794" s="81"/>
      <c r="DT794" s="81"/>
      <c r="DU794" s="81"/>
      <c r="DV794" s="81"/>
      <c r="DW794" s="121"/>
    </row>
    <row r="795" spans="1:127" x14ac:dyDescent="0.25">
      <c r="A795" s="2">
        <f>COUNTIF($D$2:D795,'Reporte de Nomina'!$E$2)</f>
        <v>0</v>
      </c>
      <c r="B795" s="125">
        <f>Lista!A794</f>
        <v>0</v>
      </c>
      <c r="C795" s="125">
        <f>Lista!B794</f>
        <v>0</v>
      </c>
      <c r="D795" s="125">
        <f>Lista!C794</f>
        <v>0</v>
      </c>
      <c r="E795" s="125">
        <f>Lista!D794</f>
        <v>0</v>
      </c>
      <c r="F795" s="125">
        <f>Lista!E794</f>
        <v>0</v>
      </c>
      <c r="G795" s="125">
        <f>Lista!F794</f>
        <v>0</v>
      </c>
      <c r="H795" s="125">
        <f>Lista!G794</f>
        <v>0</v>
      </c>
      <c r="I795" s="125">
        <f>Lista!H794</f>
        <v>0</v>
      </c>
      <c r="J795" s="125">
        <f>Lista!I794</f>
        <v>0</v>
      </c>
      <c r="K795" s="125">
        <f>Lista!J794</f>
        <v>0</v>
      </c>
      <c r="L795" s="125">
        <f>Lista!K794</f>
        <v>0</v>
      </c>
      <c r="M795" s="125">
        <f>Lista!L794</f>
        <v>0</v>
      </c>
      <c r="N795" s="125">
        <f>Lista!M794</f>
        <v>0</v>
      </c>
      <c r="O795" s="125">
        <f>Lista!N794</f>
        <v>0</v>
      </c>
      <c r="P795" s="125">
        <f>Lista!O794</f>
        <v>0</v>
      </c>
      <c r="Q795" s="125">
        <f>Lista!P794</f>
        <v>0</v>
      </c>
      <c r="R795" s="125">
        <f>Lista!Q794</f>
        <v>0</v>
      </c>
      <c r="S795" s="125">
        <f>Lista!R794</f>
        <v>0</v>
      </c>
      <c r="T795" s="81"/>
      <c r="U795" s="81"/>
      <c r="V795" s="81"/>
      <c r="W795" s="81"/>
      <c r="X795" s="81"/>
      <c r="Y795" s="81"/>
      <c r="Z795" s="81"/>
      <c r="AA795" s="81"/>
      <c r="AB795" s="81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  <c r="BS795" s="81"/>
      <c r="BT795" s="81"/>
      <c r="BU795" s="81"/>
      <c r="BV795" s="81"/>
      <c r="BW795" s="81"/>
      <c r="BX795" s="81"/>
      <c r="BY795" s="81"/>
      <c r="BZ795" s="81"/>
      <c r="CA795" s="81"/>
      <c r="CB795" s="81"/>
      <c r="CC795" s="81"/>
      <c r="CD795" s="81"/>
      <c r="CE795" s="81"/>
      <c r="CF795" s="81"/>
      <c r="CG795" s="81"/>
      <c r="CH795" s="81"/>
      <c r="CI795" s="81"/>
      <c r="CJ795" s="81"/>
      <c r="CK795" s="81"/>
      <c r="CL795" s="81"/>
      <c r="CM795" s="81"/>
      <c r="CN795" s="81"/>
      <c r="CO795" s="81"/>
      <c r="CP795" s="81"/>
      <c r="CQ795" s="81"/>
      <c r="CR795" s="81"/>
      <c r="CS795" s="81"/>
      <c r="CT795" s="81"/>
      <c r="CU795" s="81"/>
      <c r="CV795" s="81"/>
      <c r="CW795" s="81"/>
      <c r="CX795" s="81"/>
      <c r="CY795" s="81"/>
      <c r="CZ795" s="81"/>
      <c r="DA795" s="81"/>
      <c r="DB795" s="81"/>
      <c r="DC795" s="81"/>
      <c r="DD795" s="81"/>
      <c r="DE795" s="81"/>
      <c r="DF795" s="81"/>
      <c r="DG795" s="81"/>
      <c r="DH795" s="81"/>
      <c r="DI795" s="81"/>
      <c r="DJ795" s="81"/>
      <c r="DK795" s="81"/>
      <c r="DL795" s="81"/>
      <c r="DM795" s="81"/>
      <c r="DN795" s="81"/>
      <c r="DO795" s="81"/>
      <c r="DP795" s="81"/>
      <c r="DQ795" s="81"/>
      <c r="DR795" s="81"/>
      <c r="DS795" s="81"/>
      <c r="DT795" s="81"/>
      <c r="DU795" s="81"/>
      <c r="DV795" s="81"/>
      <c r="DW795" s="121"/>
    </row>
    <row r="796" spans="1:127" x14ac:dyDescent="0.25">
      <c r="A796" s="2">
        <f>COUNTIF($D$2:D796,'Reporte de Nomina'!$E$2)</f>
        <v>0</v>
      </c>
      <c r="B796" s="125">
        <f>Lista!A795</f>
        <v>0</v>
      </c>
      <c r="C796" s="125">
        <f>Lista!B795</f>
        <v>0</v>
      </c>
      <c r="D796" s="125">
        <f>Lista!C795</f>
        <v>0</v>
      </c>
      <c r="E796" s="125">
        <f>Lista!D795</f>
        <v>0</v>
      </c>
      <c r="F796" s="125">
        <f>Lista!E795</f>
        <v>0</v>
      </c>
      <c r="G796" s="125">
        <f>Lista!F795</f>
        <v>0</v>
      </c>
      <c r="H796" s="125">
        <f>Lista!G795</f>
        <v>0</v>
      </c>
      <c r="I796" s="125">
        <f>Lista!H795</f>
        <v>0</v>
      </c>
      <c r="J796" s="125">
        <f>Lista!I795</f>
        <v>0</v>
      </c>
      <c r="K796" s="125">
        <f>Lista!J795</f>
        <v>0</v>
      </c>
      <c r="L796" s="125">
        <f>Lista!K795</f>
        <v>0</v>
      </c>
      <c r="M796" s="125">
        <f>Lista!L795</f>
        <v>0</v>
      </c>
      <c r="N796" s="125">
        <f>Lista!M795</f>
        <v>0</v>
      </c>
      <c r="O796" s="125">
        <f>Lista!N795</f>
        <v>0</v>
      </c>
      <c r="P796" s="125">
        <f>Lista!O795</f>
        <v>0</v>
      </c>
      <c r="Q796" s="125">
        <f>Lista!P795</f>
        <v>0</v>
      </c>
      <c r="R796" s="125">
        <f>Lista!Q795</f>
        <v>0</v>
      </c>
      <c r="S796" s="125">
        <f>Lista!R795</f>
        <v>0</v>
      </c>
      <c r="T796" s="81"/>
      <c r="U796" s="81"/>
      <c r="V796" s="81"/>
      <c r="W796" s="81"/>
      <c r="X796" s="81"/>
      <c r="Y796" s="81"/>
      <c r="Z796" s="81"/>
      <c r="AA796" s="81"/>
      <c r="AB796" s="81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  <c r="BS796" s="81"/>
      <c r="BT796" s="81"/>
      <c r="BU796" s="81"/>
      <c r="BV796" s="81"/>
      <c r="BW796" s="81"/>
      <c r="BX796" s="81"/>
      <c r="BY796" s="81"/>
      <c r="BZ796" s="81"/>
      <c r="CA796" s="81"/>
      <c r="CB796" s="81"/>
      <c r="CC796" s="81"/>
      <c r="CD796" s="81"/>
      <c r="CE796" s="81"/>
      <c r="CF796" s="81"/>
      <c r="CG796" s="81"/>
      <c r="CH796" s="81"/>
      <c r="CI796" s="81"/>
      <c r="CJ796" s="81"/>
      <c r="CK796" s="81"/>
      <c r="CL796" s="81"/>
      <c r="CM796" s="81"/>
      <c r="CN796" s="81"/>
      <c r="CO796" s="81"/>
      <c r="CP796" s="81"/>
      <c r="CQ796" s="81"/>
      <c r="CR796" s="81"/>
      <c r="CS796" s="81"/>
      <c r="CT796" s="81"/>
      <c r="CU796" s="81"/>
      <c r="CV796" s="81"/>
      <c r="CW796" s="81"/>
      <c r="CX796" s="81"/>
      <c r="CY796" s="81"/>
      <c r="CZ796" s="81"/>
      <c r="DA796" s="81"/>
      <c r="DB796" s="81"/>
      <c r="DC796" s="81"/>
      <c r="DD796" s="81"/>
      <c r="DE796" s="81"/>
      <c r="DF796" s="81"/>
      <c r="DG796" s="81"/>
      <c r="DH796" s="81"/>
      <c r="DI796" s="81"/>
      <c r="DJ796" s="81"/>
      <c r="DK796" s="81"/>
      <c r="DL796" s="81"/>
      <c r="DM796" s="81"/>
      <c r="DN796" s="81"/>
      <c r="DO796" s="81"/>
      <c r="DP796" s="81"/>
      <c r="DQ796" s="81"/>
      <c r="DR796" s="81"/>
      <c r="DS796" s="81"/>
      <c r="DT796" s="81"/>
      <c r="DU796" s="81"/>
      <c r="DV796" s="81"/>
      <c r="DW796" s="121"/>
    </row>
    <row r="797" spans="1:127" x14ac:dyDescent="0.25">
      <c r="A797" s="2">
        <f>COUNTIF($D$2:D797,'Reporte de Nomina'!$E$2)</f>
        <v>0</v>
      </c>
      <c r="B797" s="125">
        <f>Lista!A796</f>
        <v>0</v>
      </c>
      <c r="C797" s="125">
        <f>Lista!B796</f>
        <v>0</v>
      </c>
      <c r="D797" s="125">
        <f>Lista!C796</f>
        <v>0</v>
      </c>
      <c r="E797" s="125">
        <f>Lista!D796</f>
        <v>0</v>
      </c>
      <c r="F797" s="125">
        <f>Lista!E796</f>
        <v>0</v>
      </c>
      <c r="G797" s="125">
        <f>Lista!F796</f>
        <v>0</v>
      </c>
      <c r="H797" s="125">
        <f>Lista!G796</f>
        <v>0</v>
      </c>
      <c r="I797" s="125">
        <f>Lista!H796</f>
        <v>0</v>
      </c>
      <c r="J797" s="125">
        <f>Lista!I796</f>
        <v>0</v>
      </c>
      <c r="K797" s="125">
        <f>Lista!J796</f>
        <v>0</v>
      </c>
      <c r="L797" s="125">
        <f>Lista!K796</f>
        <v>0</v>
      </c>
      <c r="M797" s="125">
        <f>Lista!L796</f>
        <v>0</v>
      </c>
      <c r="N797" s="125">
        <f>Lista!M796</f>
        <v>0</v>
      </c>
      <c r="O797" s="125">
        <f>Lista!N796</f>
        <v>0</v>
      </c>
      <c r="P797" s="125">
        <f>Lista!O796</f>
        <v>0</v>
      </c>
      <c r="Q797" s="125">
        <f>Lista!P796</f>
        <v>0</v>
      </c>
      <c r="R797" s="125">
        <f>Lista!Q796</f>
        <v>0</v>
      </c>
      <c r="S797" s="125">
        <f>Lista!R796</f>
        <v>0</v>
      </c>
      <c r="T797" s="81"/>
      <c r="U797" s="81"/>
      <c r="V797" s="81"/>
      <c r="W797" s="81"/>
      <c r="X797" s="81"/>
      <c r="Y797" s="81"/>
      <c r="Z797" s="81"/>
      <c r="AA797" s="81"/>
      <c r="AB797" s="81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  <c r="BS797" s="81"/>
      <c r="BT797" s="81"/>
      <c r="BU797" s="81"/>
      <c r="BV797" s="81"/>
      <c r="BW797" s="81"/>
      <c r="BX797" s="81"/>
      <c r="BY797" s="81"/>
      <c r="BZ797" s="81"/>
      <c r="CA797" s="81"/>
      <c r="CB797" s="81"/>
      <c r="CC797" s="81"/>
      <c r="CD797" s="81"/>
      <c r="CE797" s="81"/>
      <c r="CF797" s="81"/>
      <c r="CG797" s="81"/>
      <c r="CH797" s="81"/>
      <c r="CI797" s="81"/>
      <c r="CJ797" s="81"/>
      <c r="CK797" s="81"/>
      <c r="CL797" s="81"/>
      <c r="CM797" s="81"/>
      <c r="CN797" s="81"/>
      <c r="CO797" s="81"/>
      <c r="CP797" s="81"/>
      <c r="CQ797" s="81"/>
      <c r="CR797" s="81"/>
      <c r="CS797" s="81"/>
      <c r="CT797" s="81"/>
      <c r="CU797" s="81"/>
      <c r="CV797" s="81"/>
      <c r="CW797" s="81"/>
      <c r="CX797" s="81"/>
      <c r="CY797" s="81"/>
      <c r="CZ797" s="81"/>
      <c r="DA797" s="81"/>
      <c r="DB797" s="81"/>
      <c r="DC797" s="81"/>
      <c r="DD797" s="81"/>
      <c r="DE797" s="81"/>
      <c r="DF797" s="81"/>
      <c r="DG797" s="81"/>
      <c r="DH797" s="81"/>
      <c r="DI797" s="81"/>
      <c r="DJ797" s="81"/>
      <c r="DK797" s="81"/>
      <c r="DL797" s="81"/>
      <c r="DM797" s="81"/>
      <c r="DN797" s="81"/>
      <c r="DO797" s="81"/>
      <c r="DP797" s="81"/>
      <c r="DQ797" s="81"/>
      <c r="DR797" s="81"/>
      <c r="DS797" s="81"/>
      <c r="DT797" s="81"/>
      <c r="DU797" s="81"/>
      <c r="DV797" s="81"/>
      <c r="DW797" s="121"/>
    </row>
    <row r="798" spans="1:127" x14ac:dyDescent="0.25">
      <c r="A798" s="2">
        <f>COUNTIF($D$2:D798,'Reporte de Nomina'!$E$2)</f>
        <v>0</v>
      </c>
      <c r="B798" s="125">
        <f>Lista!A797</f>
        <v>0</v>
      </c>
      <c r="C798" s="125">
        <f>Lista!B797</f>
        <v>0</v>
      </c>
      <c r="D798" s="125">
        <f>Lista!C797</f>
        <v>0</v>
      </c>
      <c r="E798" s="125">
        <f>Lista!D797</f>
        <v>0</v>
      </c>
      <c r="F798" s="125">
        <f>Lista!E797</f>
        <v>0</v>
      </c>
      <c r="G798" s="125">
        <f>Lista!F797</f>
        <v>0</v>
      </c>
      <c r="H798" s="125">
        <f>Lista!G797</f>
        <v>0</v>
      </c>
      <c r="I798" s="125">
        <f>Lista!H797</f>
        <v>0</v>
      </c>
      <c r="J798" s="125">
        <f>Lista!I797</f>
        <v>0</v>
      </c>
      <c r="K798" s="125">
        <f>Lista!J797</f>
        <v>0</v>
      </c>
      <c r="L798" s="125">
        <f>Lista!K797</f>
        <v>0</v>
      </c>
      <c r="M798" s="125">
        <f>Lista!L797</f>
        <v>0</v>
      </c>
      <c r="N798" s="125">
        <f>Lista!M797</f>
        <v>0</v>
      </c>
      <c r="O798" s="125">
        <f>Lista!N797</f>
        <v>0</v>
      </c>
      <c r="P798" s="125">
        <f>Lista!O797</f>
        <v>0</v>
      </c>
      <c r="Q798" s="125">
        <f>Lista!P797</f>
        <v>0</v>
      </c>
      <c r="R798" s="125">
        <f>Lista!Q797</f>
        <v>0</v>
      </c>
      <c r="S798" s="125">
        <f>Lista!R797</f>
        <v>0</v>
      </c>
      <c r="T798" s="81"/>
      <c r="U798" s="81"/>
      <c r="V798" s="81"/>
      <c r="W798" s="81"/>
      <c r="X798" s="81"/>
      <c r="Y798" s="81"/>
      <c r="Z798" s="81"/>
      <c r="AA798" s="81"/>
      <c r="AB798" s="81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  <c r="BS798" s="81"/>
      <c r="BT798" s="81"/>
      <c r="BU798" s="81"/>
      <c r="BV798" s="81"/>
      <c r="BW798" s="81"/>
      <c r="BX798" s="81"/>
      <c r="BY798" s="81"/>
      <c r="BZ798" s="81"/>
      <c r="CA798" s="81"/>
      <c r="CB798" s="81"/>
      <c r="CC798" s="81"/>
      <c r="CD798" s="81"/>
      <c r="CE798" s="81"/>
      <c r="CF798" s="81"/>
      <c r="CG798" s="81"/>
      <c r="CH798" s="81"/>
      <c r="CI798" s="81"/>
      <c r="CJ798" s="81"/>
      <c r="CK798" s="81"/>
      <c r="CL798" s="81"/>
      <c r="CM798" s="81"/>
      <c r="CN798" s="81"/>
      <c r="CO798" s="81"/>
      <c r="CP798" s="81"/>
      <c r="CQ798" s="81"/>
      <c r="CR798" s="81"/>
      <c r="CS798" s="81"/>
      <c r="CT798" s="81"/>
      <c r="CU798" s="81"/>
      <c r="CV798" s="81"/>
      <c r="CW798" s="81"/>
      <c r="CX798" s="81"/>
      <c r="CY798" s="81"/>
      <c r="CZ798" s="81"/>
      <c r="DA798" s="81"/>
      <c r="DB798" s="81"/>
      <c r="DC798" s="81"/>
      <c r="DD798" s="81"/>
      <c r="DE798" s="81"/>
      <c r="DF798" s="81"/>
      <c r="DG798" s="81"/>
      <c r="DH798" s="81"/>
      <c r="DI798" s="81"/>
      <c r="DJ798" s="81"/>
      <c r="DK798" s="81"/>
      <c r="DL798" s="81"/>
      <c r="DM798" s="81"/>
      <c r="DN798" s="81"/>
      <c r="DO798" s="81"/>
      <c r="DP798" s="81"/>
      <c r="DQ798" s="81"/>
      <c r="DR798" s="81"/>
      <c r="DS798" s="81"/>
      <c r="DT798" s="81"/>
      <c r="DU798" s="81"/>
      <c r="DV798" s="81"/>
      <c r="DW798" s="121"/>
    </row>
    <row r="799" spans="1:127" x14ac:dyDescent="0.25">
      <c r="A799" s="2">
        <f>COUNTIF($D$2:D799,'Reporte de Nomina'!$E$2)</f>
        <v>0</v>
      </c>
      <c r="B799" s="125">
        <f>Lista!A798</f>
        <v>0</v>
      </c>
      <c r="C799" s="125">
        <f>Lista!B798</f>
        <v>0</v>
      </c>
      <c r="D799" s="125">
        <f>Lista!C798</f>
        <v>0</v>
      </c>
      <c r="E799" s="125">
        <f>Lista!D798</f>
        <v>0</v>
      </c>
      <c r="F799" s="125">
        <f>Lista!E798</f>
        <v>0</v>
      </c>
      <c r="G799" s="125">
        <f>Lista!F798</f>
        <v>0</v>
      </c>
      <c r="H799" s="125">
        <f>Lista!G798</f>
        <v>0</v>
      </c>
      <c r="I799" s="125">
        <f>Lista!H798</f>
        <v>0</v>
      </c>
      <c r="J799" s="125">
        <f>Lista!I798</f>
        <v>0</v>
      </c>
      <c r="K799" s="125">
        <f>Lista!J798</f>
        <v>0</v>
      </c>
      <c r="L799" s="125">
        <f>Lista!K798</f>
        <v>0</v>
      </c>
      <c r="M799" s="125">
        <f>Lista!L798</f>
        <v>0</v>
      </c>
      <c r="N799" s="125">
        <f>Lista!M798</f>
        <v>0</v>
      </c>
      <c r="O799" s="125">
        <f>Lista!N798</f>
        <v>0</v>
      </c>
      <c r="P799" s="125">
        <f>Lista!O798</f>
        <v>0</v>
      </c>
      <c r="Q799" s="125">
        <f>Lista!P798</f>
        <v>0</v>
      </c>
      <c r="R799" s="125">
        <f>Lista!Q798</f>
        <v>0</v>
      </c>
      <c r="S799" s="125">
        <f>Lista!R798</f>
        <v>0</v>
      </c>
      <c r="T799" s="81"/>
      <c r="U799" s="81"/>
      <c r="V799" s="81"/>
      <c r="W799" s="81"/>
      <c r="X799" s="81"/>
      <c r="Y799" s="81"/>
      <c r="Z799" s="81"/>
      <c r="AA799" s="81"/>
      <c r="AB799" s="81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  <c r="BS799" s="81"/>
      <c r="BT799" s="81"/>
      <c r="BU799" s="81"/>
      <c r="BV799" s="81"/>
      <c r="BW799" s="81"/>
      <c r="BX799" s="81"/>
      <c r="BY799" s="81"/>
      <c r="BZ799" s="81"/>
      <c r="CA799" s="81"/>
      <c r="CB799" s="81"/>
      <c r="CC799" s="81"/>
      <c r="CD799" s="81"/>
      <c r="CE799" s="81"/>
      <c r="CF799" s="81"/>
      <c r="CG799" s="81"/>
      <c r="CH799" s="81"/>
      <c r="CI799" s="81"/>
      <c r="CJ799" s="81"/>
      <c r="CK799" s="81"/>
      <c r="CL799" s="81"/>
      <c r="CM799" s="81"/>
      <c r="CN799" s="81"/>
      <c r="CO799" s="81"/>
      <c r="CP799" s="81"/>
      <c r="CQ799" s="81"/>
      <c r="CR799" s="81"/>
      <c r="CS799" s="81"/>
      <c r="CT799" s="81"/>
      <c r="CU799" s="81"/>
      <c r="CV799" s="81"/>
      <c r="CW799" s="81"/>
      <c r="CX799" s="81"/>
      <c r="CY799" s="81"/>
      <c r="CZ799" s="81"/>
      <c r="DA799" s="81"/>
      <c r="DB799" s="81"/>
      <c r="DC799" s="81"/>
      <c r="DD799" s="81"/>
      <c r="DE799" s="81"/>
      <c r="DF799" s="81"/>
      <c r="DG799" s="81"/>
      <c r="DH799" s="81"/>
      <c r="DI799" s="81"/>
      <c r="DJ799" s="81"/>
      <c r="DK799" s="81"/>
      <c r="DL799" s="81"/>
      <c r="DM799" s="81"/>
      <c r="DN799" s="81"/>
      <c r="DO799" s="81"/>
      <c r="DP799" s="81"/>
      <c r="DQ799" s="81"/>
      <c r="DR799" s="81"/>
      <c r="DS799" s="81"/>
      <c r="DT799" s="81"/>
      <c r="DU799" s="81"/>
      <c r="DV799" s="81"/>
      <c r="DW799" s="121"/>
    </row>
    <row r="800" spans="1:127" x14ac:dyDescent="0.25">
      <c r="A800" s="2">
        <f>COUNTIF($D$2:D800,'Reporte de Nomina'!$E$2)</f>
        <v>0</v>
      </c>
      <c r="B800" s="125">
        <f>Lista!A799</f>
        <v>0</v>
      </c>
      <c r="C800" s="125">
        <f>Lista!B799</f>
        <v>0</v>
      </c>
      <c r="D800" s="125">
        <f>Lista!C799</f>
        <v>0</v>
      </c>
      <c r="E800" s="125">
        <f>Lista!D799</f>
        <v>0</v>
      </c>
      <c r="F800" s="125">
        <f>Lista!E799</f>
        <v>0</v>
      </c>
      <c r="G800" s="125">
        <f>Lista!F799</f>
        <v>0</v>
      </c>
      <c r="H800" s="125">
        <f>Lista!G799</f>
        <v>0</v>
      </c>
      <c r="I800" s="125">
        <f>Lista!H799</f>
        <v>0</v>
      </c>
      <c r="J800" s="125">
        <f>Lista!I799</f>
        <v>0</v>
      </c>
      <c r="K800" s="125">
        <f>Lista!J799</f>
        <v>0</v>
      </c>
      <c r="L800" s="125">
        <f>Lista!K799</f>
        <v>0</v>
      </c>
      <c r="M800" s="125">
        <f>Lista!L799</f>
        <v>0</v>
      </c>
      <c r="N800" s="125">
        <f>Lista!M799</f>
        <v>0</v>
      </c>
      <c r="O800" s="125">
        <f>Lista!N799</f>
        <v>0</v>
      </c>
      <c r="P800" s="125">
        <f>Lista!O799</f>
        <v>0</v>
      </c>
      <c r="Q800" s="125">
        <f>Lista!P799</f>
        <v>0</v>
      </c>
      <c r="R800" s="125">
        <f>Lista!Q799</f>
        <v>0</v>
      </c>
      <c r="S800" s="125">
        <f>Lista!R799</f>
        <v>0</v>
      </c>
      <c r="T800" s="81"/>
      <c r="U800" s="81"/>
      <c r="V800" s="81"/>
      <c r="W800" s="81"/>
      <c r="X800" s="81"/>
      <c r="Y800" s="81"/>
      <c r="Z800" s="81"/>
      <c r="AA800" s="81"/>
      <c r="AB800" s="81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  <c r="BS800" s="81"/>
      <c r="BT800" s="81"/>
      <c r="BU800" s="81"/>
      <c r="BV800" s="81"/>
      <c r="BW800" s="81"/>
      <c r="BX800" s="81"/>
      <c r="BY800" s="81"/>
      <c r="BZ800" s="81"/>
      <c r="CA800" s="81"/>
      <c r="CB800" s="81"/>
      <c r="CC800" s="81"/>
      <c r="CD800" s="81"/>
      <c r="CE800" s="81"/>
      <c r="CF800" s="81"/>
      <c r="CG800" s="81"/>
      <c r="CH800" s="81"/>
      <c r="CI800" s="81"/>
      <c r="CJ800" s="81"/>
      <c r="CK800" s="81"/>
      <c r="CL800" s="81"/>
      <c r="CM800" s="81"/>
      <c r="CN800" s="81"/>
      <c r="CO800" s="81"/>
      <c r="CP800" s="81"/>
      <c r="CQ800" s="81"/>
      <c r="CR800" s="81"/>
      <c r="CS800" s="81"/>
      <c r="CT800" s="81"/>
      <c r="CU800" s="81"/>
      <c r="CV800" s="81"/>
      <c r="CW800" s="81"/>
      <c r="CX800" s="81"/>
      <c r="CY800" s="81"/>
      <c r="CZ800" s="81"/>
      <c r="DA800" s="81"/>
      <c r="DB800" s="81"/>
      <c r="DC800" s="81"/>
      <c r="DD800" s="81"/>
      <c r="DE800" s="81"/>
      <c r="DF800" s="81"/>
      <c r="DG800" s="81"/>
      <c r="DH800" s="81"/>
      <c r="DI800" s="81"/>
      <c r="DJ800" s="81"/>
      <c r="DK800" s="81"/>
      <c r="DL800" s="81"/>
      <c r="DM800" s="81"/>
      <c r="DN800" s="81"/>
      <c r="DO800" s="81"/>
      <c r="DP800" s="81"/>
      <c r="DQ800" s="81"/>
      <c r="DR800" s="81"/>
      <c r="DS800" s="81"/>
      <c r="DT800" s="81"/>
      <c r="DU800" s="81"/>
      <c r="DV800" s="81"/>
      <c r="DW800" s="121"/>
    </row>
    <row r="801" spans="1:127" x14ac:dyDescent="0.25">
      <c r="A801" s="2">
        <f>COUNTIF($D$2:D801,'Reporte de Nomina'!$E$2)</f>
        <v>0</v>
      </c>
      <c r="B801" s="125">
        <f>Lista!A800</f>
        <v>0</v>
      </c>
      <c r="C801" s="125">
        <f>Lista!B800</f>
        <v>0</v>
      </c>
      <c r="D801" s="125">
        <f>Lista!C800</f>
        <v>0</v>
      </c>
      <c r="E801" s="125">
        <f>Lista!D800</f>
        <v>0</v>
      </c>
      <c r="F801" s="125">
        <f>Lista!E800</f>
        <v>0</v>
      </c>
      <c r="G801" s="125">
        <f>Lista!F800</f>
        <v>0</v>
      </c>
      <c r="H801" s="125">
        <f>Lista!G800</f>
        <v>0</v>
      </c>
      <c r="I801" s="125">
        <f>Lista!H800</f>
        <v>0</v>
      </c>
      <c r="J801" s="125">
        <f>Lista!I800</f>
        <v>0</v>
      </c>
      <c r="K801" s="125">
        <f>Lista!J800</f>
        <v>0</v>
      </c>
      <c r="L801" s="125">
        <f>Lista!K800</f>
        <v>0</v>
      </c>
      <c r="M801" s="125">
        <f>Lista!L800</f>
        <v>0</v>
      </c>
      <c r="N801" s="125">
        <f>Lista!M800</f>
        <v>0</v>
      </c>
      <c r="O801" s="125">
        <f>Lista!N800</f>
        <v>0</v>
      </c>
      <c r="P801" s="125">
        <f>Lista!O800</f>
        <v>0</v>
      </c>
      <c r="Q801" s="125">
        <f>Lista!P800</f>
        <v>0</v>
      </c>
      <c r="R801" s="125">
        <f>Lista!Q800</f>
        <v>0</v>
      </c>
      <c r="S801" s="125">
        <f>Lista!R800</f>
        <v>0</v>
      </c>
      <c r="T801" s="81"/>
      <c r="U801" s="81"/>
      <c r="V801" s="81"/>
      <c r="W801" s="81"/>
      <c r="X801" s="81"/>
      <c r="Y801" s="81"/>
      <c r="Z801" s="81"/>
      <c r="AA801" s="81"/>
      <c r="AB801" s="81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  <c r="BS801" s="81"/>
      <c r="BT801" s="81"/>
      <c r="BU801" s="81"/>
      <c r="BV801" s="81"/>
      <c r="BW801" s="81"/>
      <c r="BX801" s="81"/>
      <c r="BY801" s="81"/>
      <c r="BZ801" s="81"/>
      <c r="CA801" s="81"/>
      <c r="CB801" s="81"/>
      <c r="CC801" s="81"/>
      <c r="CD801" s="81"/>
      <c r="CE801" s="81"/>
      <c r="CF801" s="81"/>
      <c r="CG801" s="81"/>
      <c r="CH801" s="81"/>
      <c r="CI801" s="81"/>
      <c r="CJ801" s="81"/>
      <c r="CK801" s="81"/>
      <c r="CL801" s="81"/>
      <c r="CM801" s="81"/>
      <c r="CN801" s="81"/>
      <c r="CO801" s="81"/>
      <c r="CP801" s="81"/>
      <c r="CQ801" s="81"/>
      <c r="CR801" s="81"/>
      <c r="CS801" s="81"/>
      <c r="CT801" s="81"/>
      <c r="CU801" s="81"/>
      <c r="CV801" s="81"/>
      <c r="CW801" s="81"/>
      <c r="CX801" s="81"/>
      <c r="CY801" s="81"/>
      <c r="CZ801" s="81"/>
      <c r="DA801" s="81"/>
      <c r="DB801" s="81"/>
      <c r="DC801" s="81"/>
      <c r="DD801" s="81"/>
      <c r="DE801" s="81"/>
      <c r="DF801" s="81"/>
      <c r="DG801" s="81"/>
      <c r="DH801" s="81"/>
      <c r="DI801" s="81"/>
      <c r="DJ801" s="81"/>
      <c r="DK801" s="81"/>
      <c r="DL801" s="81"/>
      <c r="DM801" s="81"/>
      <c r="DN801" s="81"/>
      <c r="DO801" s="81"/>
      <c r="DP801" s="81"/>
      <c r="DQ801" s="81"/>
      <c r="DR801" s="81"/>
      <c r="DS801" s="81"/>
      <c r="DT801" s="81"/>
      <c r="DU801" s="81"/>
      <c r="DV801" s="81"/>
      <c r="DW801" s="121"/>
    </row>
    <row r="802" spans="1:127" x14ac:dyDescent="0.25">
      <c r="A802" s="2">
        <f>COUNTIF($D$2:D802,'Reporte de Nomina'!$E$2)</f>
        <v>0</v>
      </c>
      <c r="B802" s="125">
        <f>Lista!A801</f>
        <v>0</v>
      </c>
      <c r="C802" s="125">
        <f>Lista!B801</f>
        <v>0</v>
      </c>
      <c r="D802" s="125">
        <f>Lista!C801</f>
        <v>0</v>
      </c>
      <c r="E802" s="125">
        <f>Lista!D801</f>
        <v>0</v>
      </c>
      <c r="F802" s="125">
        <f>Lista!E801</f>
        <v>0</v>
      </c>
      <c r="G802" s="125">
        <f>Lista!F801</f>
        <v>0</v>
      </c>
      <c r="H802" s="125">
        <f>Lista!G801</f>
        <v>0</v>
      </c>
      <c r="I802" s="125">
        <f>Lista!H801</f>
        <v>0</v>
      </c>
      <c r="J802" s="125">
        <f>Lista!I801</f>
        <v>0</v>
      </c>
      <c r="K802" s="125">
        <f>Lista!J801</f>
        <v>0</v>
      </c>
      <c r="L802" s="125">
        <f>Lista!K801</f>
        <v>0</v>
      </c>
      <c r="M802" s="125">
        <f>Lista!L801</f>
        <v>0</v>
      </c>
      <c r="N802" s="125">
        <f>Lista!M801</f>
        <v>0</v>
      </c>
      <c r="O802" s="125">
        <f>Lista!N801</f>
        <v>0</v>
      </c>
      <c r="P802" s="125">
        <f>Lista!O801</f>
        <v>0</v>
      </c>
      <c r="Q802" s="125">
        <f>Lista!P801</f>
        <v>0</v>
      </c>
      <c r="R802" s="125">
        <f>Lista!Q801</f>
        <v>0</v>
      </c>
      <c r="S802" s="125">
        <f>Lista!R801</f>
        <v>0</v>
      </c>
      <c r="T802" s="81"/>
      <c r="U802" s="81"/>
      <c r="V802" s="81"/>
      <c r="W802" s="81"/>
      <c r="X802" s="81"/>
      <c r="Y802" s="81"/>
      <c r="Z802" s="81"/>
      <c r="AA802" s="81"/>
      <c r="AB802" s="81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  <c r="BS802" s="81"/>
      <c r="BT802" s="81"/>
      <c r="BU802" s="81"/>
      <c r="BV802" s="81"/>
      <c r="BW802" s="81"/>
      <c r="BX802" s="81"/>
      <c r="BY802" s="81"/>
      <c r="BZ802" s="81"/>
      <c r="CA802" s="81"/>
      <c r="CB802" s="81"/>
      <c r="CC802" s="81"/>
      <c r="CD802" s="81"/>
      <c r="CE802" s="81"/>
      <c r="CF802" s="81"/>
      <c r="CG802" s="81"/>
      <c r="CH802" s="81"/>
      <c r="CI802" s="81"/>
      <c r="CJ802" s="81"/>
      <c r="CK802" s="81"/>
      <c r="CL802" s="81"/>
      <c r="CM802" s="81"/>
      <c r="CN802" s="81"/>
      <c r="CO802" s="81"/>
      <c r="CP802" s="81"/>
      <c r="CQ802" s="81"/>
      <c r="CR802" s="81"/>
      <c r="CS802" s="81"/>
      <c r="CT802" s="81"/>
      <c r="CU802" s="81"/>
      <c r="CV802" s="81"/>
      <c r="CW802" s="81"/>
      <c r="CX802" s="81"/>
      <c r="CY802" s="81"/>
      <c r="CZ802" s="81"/>
      <c r="DA802" s="81"/>
      <c r="DB802" s="81"/>
      <c r="DC802" s="81"/>
      <c r="DD802" s="81"/>
      <c r="DE802" s="81"/>
      <c r="DF802" s="81"/>
      <c r="DG802" s="81"/>
      <c r="DH802" s="81"/>
      <c r="DI802" s="81"/>
      <c r="DJ802" s="81"/>
      <c r="DK802" s="81"/>
      <c r="DL802" s="81"/>
      <c r="DM802" s="81"/>
      <c r="DN802" s="81"/>
      <c r="DO802" s="81"/>
      <c r="DP802" s="81"/>
      <c r="DQ802" s="81"/>
      <c r="DR802" s="81"/>
      <c r="DS802" s="81"/>
      <c r="DT802" s="81"/>
      <c r="DU802" s="81"/>
      <c r="DV802" s="81"/>
      <c r="DW802" s="121"/>
    </row>
    <row r="803" spans="1:127" x14ac:dyDescent="0.25">
      <c r="A803" s="2">
        <f>COUNTIF($D$2:D803,'Reporte de Nomina'!$E$2)</f>
        <v>0</v>
      </c>
      <c r="B803" s="125">
        <f>Lista!A802</f>
        <v>0</v>
      </c>
      <c r="C803" s="125">
        <f>Lista!B802</f>
        <v>0</v>
      </c>
      <c r="D803" s="125">
        <f>Lista!C802</f>
        <v>0</v>
      </c>
      <c r="E803" s="125">
        <f>Lista!D802</f>
        <v>0</v>
      </c>
      <c r="F803" s="125">
        <f>Lista!E802</f>
        <v>0</v>
      </c>
      <c r="G803" s="125">
        <f>Lista!F802</f>
        <v>0</v>
      </c>
      <c r="H803" s="125">
        <f>Lista!G802</f>
        <v>0</v>
      </c>
      <c r="I803" s="125">
        <f>Lista!H802</f>
        <v>0</v>
      </c>
      <c r="J803" s="125">
        <f>Lista!I802</f>
        <v>0</v>
      </c>
      <c r="K803" s="125">
        <f>Lista!J802</f>
        <v>0</v>
      </c>
      <c r="L803" s="125">
        <f>Lista!K802</f>
        <v>0</v>
      </c>
      <c r="M803" s="125">
        <f>Lista!L802</f>
        <v>0</v>
      </c>
      <c r="N803" s="125">
        <f>Lista!M802</f>
        <v>0</v>
      </c>
      <c r="O803" s="125">
        <f>Lista!N802</f>
        <v>0</v>
      </c>
      <c r="P803" s="125">
        <f>Lista!O802</f>
        <v>0</v>
      </c>
      <c r="Q803" s="125">
        <f>Lista!P802</f>
        <v>0</v>
      </c>
      <c r="R803" s="125">
        <f>Lista!Q802</f>
        <v>0</v>
      </c>
      <c r="S803" s="125">
        <f>Lista!R802</f>
        <v>0</v>
      </c>
      <c r="T803" s="81"/>
      <c r="U803" s="81"/>
      <c r="V803" s="81"/>
      <c r="W803" s="81"/>
      <c r="X803" s="81"/>
      <c r="Y803" s="81"/>
      <c r="Z803" s="81"/>
      <c r="AA803" s="81"/>
      <c r="AB803" s="81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  <c r="BS803" s="81"/>
      <c r="BT803" s="81"/>
      <c r="BU803" s="81"/>
      <c r="BV803" s="81"/>
      <c r="BW803" s="81"/>
      <c r="BX803" s="81"/>
      <c r="BY803" s="81"/>
      <c r="BZ803" s="81"/>
      <c r="CA803" s="81"/>
      <c r="CB803" s="81"/>
      <c r="CC803" s="81"/>
      <c r="CD803" s="81"/>
      <c r="CE803" s="81"/>
      <c r="CF803" s="81"/>
      <c r="CG803" s="81"/>
      <c r="CH803" s="81"/>
      <c r="CI803" s="81"/>
      <c r="CJ803" s="81"/>
      <c r="CK803" s="81"/>
      <c r="CL803" s="81"/>
      <c r="CM803" s="81"/>
      <c r="CN803" s="81"/>
      <c r="CO803" s="81"/>
      <c r="CP803" s="81"/>
      <c r="CQ803" s="81"/>
      <c r="CR803" s="81"/>
      <c r="CS803" s="81"/>
      <c r="CT803" s="81"/>
      <c r="CU803" s="81"/>
      <c r="CV803" s="81"/>
      <c r="CW803" s="81"/>
      <c r="CX803" s="81"/>
      <c r="CY803" s="81"/>
      <c r="CZ803" s="81"/>
      <c r="DA803" s="81"/>
      <c r="DB803" s="81"/>
      <c r="DC803" s="81"/>
      <c r="DD803" s="81"/>
      <c r="DE803" s="81"/>
      <c r="DF803" s="81"/>
      <c r="DG803" s="81"/>
      <c r="DH803" s="81"/>
      <c r="DI803" s="81"/>
      <c r="DJ803" s="81"/>
      <c r="DK803" s="81"/>
      <c r="DL803" s="81"/>
      <c r="DM803" s="81"/>
      <c r="DN803" s="81"/>
      <c r="DO803" s="81"/>
      <c r="DP803" s="81"/>
      <c r="DQ803" s="81"/>
      <c r="DR803" s="81"/>
      <c r="DS803" s="81"/>
      <c r="DT803" s="81"/>
      <c r="DU803" s="81"/>
      <c r="DV803" s="81"/>
      <c r="DW803" s="121"/>
    </row>
    <row r="804" spans="1:127" x14ac:dyDescent="0.25">
      <c r="A804" s="2">
        <f>COUNTIF($D$2:D804,'Reporte de Nomina'!$E$2)</f>
        <v>0</v>
      </c>
      <c r="B804" s="125">
        <f>Lista!A803</f>
        <v>0</v>
      </c>
      <c r="C804" s="125">
        <f>Lista!B803</f>
        <v>0</v>
      </c>
      <c r="D804" s="125">
        <f>Lista!C803</f>
        <v>0</v>
      </c>
      <c r="E804" s="125">
        <f>Lista!D803</f>
        <v>0</v>
      </c>
      <c r="F804" s="125">
        <f>Lista!E803</f>
        <v>0</v>
      </c>
      <c r="G804" s="125">
        <f>Lista!F803</f>
        <v>0</v>
      </c>
      <c r="H804" s="125">
        <f>Lista!G803</f>
        <v>0</v>
      </c>
      <c r="I804" s="125">
        <f>Lista!H803</f>
        <v>0</v>
      </c>
      <c r="J804" s="125">
        <f>Lista!I803</f>
        <v>0</v>
      </c>
      <c r="K804" s="125">
        <f>Lista!J803</f>
        <v>0</v>
      </c>
      <c r="L804" s="125">
        <f>Lista!K803</f>
        <v>0</v>
      </c>
      <c r="M804" s="125">
        <f>Lista!L803</f>
        <v>0</v>
      </c>
      <c r="N804" s="125">
        <f>Lista!M803</f>
        <v>0</v>
      </c>
      <c r="O804" s="125">
        <f>Lista!N803</f>
        <v>0</v>
      </c>
      <c r="P804" s="125">
        <f>Lista!O803</f>
        <v>0</v>
      </c>
      <c r="Q804" s="125">
        <f>Lista!P803</f>
        <v>0</v>
      </c>
      <c r="R804" s="125">
        <f>Lista!Q803</f>
        <v>0</v>
      </c>
      <c r="S804" s="125">
        <f>Lista!R803</f>
        <v>0</v>
      </c>
      <c r="T804" s="81"/>
      <c r="U804" s="81"/>
      <c r="V804" s="81"/>
      <c r="W804" s="81"/>
      <c r="X804" s="81"/>
      <c r="Y804" s="81"/>
      <c r="Z804" s="81"/>
      <c r="AA804" s="81"/>
      <c r="AB804" s="81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  <c r="BS804" s="81"/>
      <c r="BT804" s="81"/>
      <c r="BU804" s="81"/>
      <c r="BV804" s="81"/>
      <c r="BW804" s="81"/>
      <c r="BX804" s="81"/>
      <c r="BY804" s="81"/>
      <c r="BZ804" s="81"/>
      <c r="CA804" s="81"/>
      <c r="CB804" s="81"/>
      <c r="CC804" s="81"/>
      <c r="CD804" s="81"/>
      <c r="CE804" s="81"/>
      <c r="CF804" s="81"/>
      <c r="CG804" s="81"/>
      <c r="CH804" s="81"/>
      <c r="CI804" s="81"/>
      <c r="CJ804" s="81"/>
      <c r="CK804" s="81"/>
      <c r="CL804" s="81"/>
      <c r="CM804" s="81"/>
      <c r="CN804" s="81"/>
      <c r="CO804" s="81"/>
      <c r="CP804" s="81"/>
      <c r="CQ804" s="81"/>
      <c r="CR804" s="81"/>
      <c r="CS804" s="81"/>
      <c r="CT804" s="81"/>
      <c r="CU804" s="81"/>
      <c r="CV804" s="81"/>
      <c r="CW804" s="81"/>
      <c r="CX804" s="81"/>
      <c r="CY804" s="81"/>
      <c r="CZ804" s="81"/>
      <c r="DA804" s="81"/>
      <c r="DB804" s="81"/>
      <c r="DC804" s="81"/>
      <c r="DD804" s="81"/>
      <c r="DE804" s="81"/>
      <c r="DF804" s="81"/>
      <c r="DG804" s="81"/>
      <c r="DH804" s="81"/>
      <c r="DI804" s="81"/>
      <c r="DJ804" s="81"/>
      <c r="DK804" s="81"/>
      <c r="DL804" s="81"/>
      <c r="DM804" s="81"/>
      <c r="DN804" s="81"/>
      <c r="DO804" s="81"/>
      <c r="DP804" s="81"/>
      <c r="DQ804" s="81"/>
      <c r="DR804" s="81"/>
      <c r="DS804" s="81"/>
      <c r="DT804" s="81"/>
      <c r="DU804" s="81"/>
      <c r="DV804" s="81"/>
      <c r="DW804" s="121"/>
    </row>
    <row r="805" spans="1:127" x14ac:dyDescent="0.25">
      <c r="A805" s="2">
        <f>COUNTIF($D$2:D805,'Reporte de Nomina'!$E$2)</f>
        <v>0</v>
      </c>
      <c r="B805" s="125">
        <f>Lista!A804</f>
        <v>0</v>
      </c>
      <c r="C805" s="125">
        <f>Lista!B804</f>
        <v>0</v>
      </c>
      <c r="D805" s="125">
        <f>Lista!C804</f>
        <v>0</v>
      </c>
      <c r="E805" s="125">
        <f>Lista!D804</f>
        <v>0</v>
      </c>
      <c r="F805" s="125">
        <f>Lista!E804</f>
        <v>0</v>
      </c>
      <c r="G805" s="125">
        <f>Lista!F804</f>
        <v>0</v>
      </c>
      <c r="H805" s="125">
        <f>Lista!G804</f>
        <v>0</v>
      </c>
      <c r="I805" s="125">
        <f>Lista!H804</f>
        <v>0</v>
      </c>
      <c r="J805" s="125">
        <f>Lista!I804</f>
        <v>0</v>
      </c>
      <c r="K805" s="125">
        <f>Lista!J804</f>
        <v>0</v>
      </c>
      <c r="L805" s="125">
        <f>Lista!K804</f>
        <v>0</v>
      </c>
      <c r="M805" s="125">
        <f>Lista!L804</f>
        <v>0</v>
      </c>
      <c r="N805" s="125">
        <f>Lista!M804</f>
        <v>0</v>
      </c>
      <c r="O805" s="125">
        <f>Lista!N804</f>
        <v>0</v>
      </c>
      <c r="P805" s="125">
        <f>Lista!O804</f>
        <v>0</v>
      </c>
      <c r="Q805" s="125">
        <f>Lista!P804</f>
        <v>0</v>
      </c>
      <c r="R805" s="125">
        <f>Lista!Q804</f>
        <v>0</v>
      </c>
      <c r="S805" s="125">
        <f>Lista!R804</f>
        <v>0</v>
      </c>
      <c r="T805" s="81"/>
      <c r="U805" s="81"/>
      <c r="V805" s="81"/>
      <c r="W805" s="81"/>
      <c r="X805" s="81"/>
      <c r="Y805" s="81"/>
      <c r="Z805" s="81"/>
      <c r="AA805" s="81"/>
      <c r="AB805" s="81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  <c r="BS805" s="81"/>
      <c r="BT805" s="81"/>
      <c r="BU805" s="81"/>
      <c r="BV805" s="81"/>
      <c r="BW805" s="81"/>
      <c r="BX805" s="81"/>
      <c r="BY805" s="81"/>
      <c r="BZ805" s="81"/>
      <c r="CA805" s="81"/>
      <c r="CB805" s="81"/>
      <c r="CC805" s="81"/>
      <c r="CD805" s="81"/>
      <c r="CE805" s="81"/>
      <c r="CF805" s="81"/>
      <c r="CG805" s="81"/>
      <c r="CH805" s="81"/>
      <c r="CI805" s="81"/>
      <c r="CJ805" s="81"/>
      <c r="CK805" s="81"/>
      <c r="CL805" s="81"/>
      <c r="CM805" s="81"/>
      <c r="CN805" s="81"/>
      <c r="CO805" s="81"/>
      <c r="CP805" s="81"/>
      <c r="CQ805" s="81"/>
      <c r="CR805" s="81"/>
      <c r="CS805" s="81"/>
      <c r="CT805" s="81"/>
      <c r="CU805" s="81"/>
      <c r="CV805" s="81"/>
      <c r="CW805" s="81"/>
      <c r="CX805" s="81"/>
      <c r="CY805" s="81"/>
      <c r="CZ805" s="81"/>
      <c r="DA805" s="81"/>
      <c r="DB805" s="81"/>
      <c r="DC805" s="81"/>
      <c r="DD805" s="81"/>
      <c r="DE805" s="81"/>
      <c r="DF805" s="81"/>
      <c r="DG805" s="81"/>
      <c r="DH805" s="81"/>
      <c r="DI805" s="81"/>
      <c r="DJ805" s="81"/>
      <c r="DK805" s="81"/>
      <c r="DL805" s="81"/>
      <c r="DM805" s="81"/>
      <c r="DN805" s="81"/>
      <c r="DO805" s="81"/>
      <c r="DP805" s="81"/>
      <c r="DQ805" s="81"/>
      <c r="DR805" s="81"/>
      <c r="DS805" s="81"/>
      <c r="DT805" s="81"/>
      <c r="DU805" s="81"/>
      <c r="DV805" s="81"/>
      <c r="DW805" s="121"/>
    </row>
    <row r="806" spans="1:127" x14ac:dyDescent="0.25">
      <c r="A806" s="2">
        <f>COUNTIF($D$2:D806,'Reporte de Nomina'!$E$2)</f>
        <v>0</v>
      </c>
      <c r="B806" s="125">
        <f>Lista!A805</f>
        <v>0</v>
      </c>
      <c r="C806" s="125">
        <f>Lista!B805</f>
        <v>0</v>
      </c>
      <c r="D806" s="125">
        <f>Lista!C805</f>
        <v>0</v>
      </c>
      <c r="E806" s="125">
        <f>Lista!D805</f>
        <v>0</v>
      </c>
      <c r="F806" s="125">
        <f>Lista!E805</f>
        <v>0</v>
      </c>
      <c r="G806" s="125">
        <f>Lista!F805</f>
        <v>0</v>
      </c>
      <c r="H806" s="125">
        <f>Lista!G805</f>
        <v>0</v>
      </c>
      <c r="I806" s="125">
        <f>Lista!H805</f>
        <v>0</v>
      </c>
      <c r="J806" s="125">
        <f>Lista!I805</f>
        <v>0</v>
      </c>
      <c r="K806" s="125">
        <f>Lista!J805</f>
        <v>0</v>
      </c>
      <c r="L806" s="125">
        <f>Lista!K805</f>
        <v>0</v>
      </c>
      <c r="M806" s="125">
        <f>Lista!L805</f>
        <v>0</v>
      </c>
      <c r="N806" s="125">
        <f>Lista!M805</f>
        <v>0</v>
      </c>
      <c r="O806" s="125">
        <f>Lista!N805</f>
        <v>0</v>
      </c>
      <c r="P806" s="125">
        <f>Lista!O805</f>
        <v>0</v>
      </c>
      <c r="Q806" s="125">
        <f>Lista!P805</f>
        <v>0</v>
      </c>
      <c r="R806" s="125">
        <f>Lista!Q805</f>
        <v>0</v>
      </c>
      <c r="S806" s="125">
        <f>Lista!R805</f>
        <v>0</v>
      </c>
      <c r="T806" s="81"/>
      <c r="U806" s="81"/>
      <c r="V806" s="81"/>
      <c r="W806" s="81"/>
      <c r="X806" s="81"/>
      <c r="Y806" s="81"/>
      <c r="Z806" s="81"/>
      <c r="AA806" s="81"/>
      <c r="AB806" s="81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  <c r="BS806" s="81"/>
      <c r="BT806" s="81"/>
      <c r="BU806" s="81"/>
      <c r="BV806" s="81"/>
      <c r="BW806" s="81"/>
      <c r="BX806" s="81"/>
      <c r="BY806" s="81"/>
      <c r="BZ806" s="81"/>
      <c r="CA806" s="81"/>
      <c r="CB806" s="81"/>
      <c r="CC806" s="81"/>
      <c r="CD806" s="81"/>
      <c r="CE806" s="81"/>
      <c r="CF806" s="81"/>
      <c r="CG806" s="81"/>
      <c r="CH806" s="81"/>
      <c r="CI806" s="81"/>
      <c r="CJ806" s="81"/>
      <c r="CK806" s="81"/>
      <c r="CL806" s="81"/>
      <c r="CM806" s="81"/>
      <c r="CN806" s="81"/>
      <c r="CO806" s="81"/>
      <c r="CP806" s="81"/>
      <c r="CQ806" s="81"/>
      <c r="CR806" s="81"/>
      <c r="CS806" s="81"/>
      <c r="CT806" s="81"/>
      <c r="CU806" s="81"/>
      <c r="CV806" s="81"/>
      <c r="CW806" s="81"/>
      <c r="CX806" s="81"/>
      <c r="CY806" s="81"/>
      <c r="CZ806" s="81"/>
      <c r="DA806" s="81"/>
      <c r="DB806" s="81"/>
      <c r="DC806" s="81"/>
      <c r="DD806" s="81"/>
      <c r="DE806" s="81"/>
      <c r="DF806" s="81"/>
      <c r="DG806" s="81"/>
      <c r="DH806" s="81"/>
      <c r="DI806" s="81"/>
      <c r="DJ806" s="81"/>
      <c r="DK806" s="81"/>
      <c r="DL806" s="81"/>
      <c r="DM806" s="81"/>
      <c r="DN806" s="81"/>
      <c r="DO806" s="81"/>
      <c r="DP806" s="81"/>
      <c r="DQ806" s="81"/>
      <c r="DR806" s="81"/>
      <c r="DS806" s="81"/>
      <c r="DT806" s="81"/>
      <c r="DU806" s="81"/>
      <c r="DV806" s="81"/>
      <c r="DW806" s="121"/>
    </row>
    <row r="807" spans="1:127" x14ac:dyDescent="0.25">
      <c r="A807" s="2">
        <f>COUNTIF($D$2:D807,'Reporte de Nomina'!$E$2)</f>
        <v>0</v>
      </c>
      <c r="B807" s="125">
        <f>Lista!A806</f>
        <v>0</v>
      </c>
      <c r="C807" s="125">
        <f>Lista!B806</f>
        <v>0</v>
      </c>
      <c r="D807" s="125">
        <f>Lista!C806</f>
        <v>0</v>
      </c>
      <c r="E807" s="125">
        <f>Lista!D806</f>
        <v>0</v>
      </c>
      <c r="F807" s="125">
        <f>Lista!E806</f>
        <v>0</v>
      </c>
      <c r="G807" s="125">
        <f>Lista!F806</f>
        <v>0</v>
      </c>
      <c r="H807" s="125">
        <f>Lista!G806</f>
        <v>0</v>
      </c>
      <c r="I807" s="125">
        <f>Lista!H806</f>
        <v>0</v>
      </c>
      <c r="J807" s="125">
        <f>Lista!I806</f>
        <v>0</v>
      </c>
      <c r="K807" s="125">
        <f>Lista!J806</f>
        <v>0</v>
      </c>
      <c r="L807" s="125">
        <f>Lista!K806</f>
        <v>0</v>
      </c>
      <c r="M807" s="125">
        <f>Lista!L806</f>
        <v>0</v>
      </c>
      <c r="N807" s="125">
        <f>Lista!M806</f>
        <v>0</v>
      </c>
      <c r="O807" s="125">
        <f>Lista!N806</f>
        <v>0</v>
      </c>
      <c r="P807" s="125">
        <f>Lista!O806</f>
        <v>0</v>
      </c>
      <c r="Q807" s="125">
        <f>Lista!P806</f>
        <v>0</v>
      </c>
      <c r="R807" s="125">
        <f>Lista!Q806</f>
        <v>0</v>
      </c>
      <c r="S807" s="125">
        <f>Lista!R806</f>
        <v>0</v>
      </c>
      <c r="T807" s="81"/>
      <c r="U807" s="81"/>
      <c r="V807" s="81"/>
      <c r="W807" s="81"/>
      <c r="X807" s="81"/>
      <c r="Y807" s="81"/>
      <c r="Z807" s="81"/>
      <c r="AA807" s="81"/>
      <c r="AB807" s="81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  <c r="BS807" s="81"/>
      <c r="BT807" s="81"/>
      <c r="BU807" s="81"/>
      <c r="BV807" s="81"/>
      <c r="BW807" s="81"/>
      <c r="BX807" s="81"/>
      <c r="BY807" s="81"/>
      <c r="BZ807" s="81"/>
      <c r="CA807" s="81"/>
      <c r="CB807" s="81"/>
      <c r="CC807" s="81"/>
      <c r="CD807" s="81"/>
      <c r="CE807" s="81"/>
      <c r="CF807" s="81"/>
      <c r="CG807" s="81"/>
      <c r="CH807" s="81"/>
      <c r="CI807" s="81"/>
      <c r="CJ807" s="81"/>
      <c r="CK807" s="81"/>
      <c r="CL807" s="81"/>
      <c r="CM807" s="81"/>
      <c r="CN807" s="81"/>
      <c r="CO807" s="81"/>
      <c r="CP807" s="81"/>
      <c r="CQ807" s="81"/>
      <c r="CR807" s="81"/>
      <c r="CS807" s="81"/>
      <c r="CT807" s="81"/>
      <c r="CU807" s="81"/>
      <c r="CV807" s="81"/>
      <c r="CW807" s="81"/>
      <c r="CX807" s="81"/>
      <c r="CY807" s="81"/>
      <c r="CZ807" s="81"/>
      <c r="DA807" s="81"/>
      <c r="DB807" s="81"/>
      <c r="DC807" s="81"/>
      <c r="DD807" s="81"/>
      <c r="DE807" s="81"/>
      <c r="DF807" s="81"/>
      <c r="DG807" s="81"/>
      <c r="DH807" s="81"/>
      <c r="DI807" s="81"/>
      <c r="DJ807" s="81"/>
      <c r="DK807" s="81"/>
      <c r="DL807" s="81"/>
      <c r="DM807" s="81"/>
      <c r="DN807" s="81"/>
      <c r="DO807" s="81"/>
      <c r="DP807" s="81"/>
      <c r="DQ807" s="81"/>
      <c r="DR807" s="81"/>
      <c r="DS807" s="81"/>
      <c r="DT807" s="81"/>
      <c r="DU807" s="81"/>
      <c r="DV807" s="81"/>
      <c r="DW807" s="121"/>
    </row>
    <row r="808" spans="1:127" x14ac:dyDescent="0.25">
      <c r="A808" s="2">
        <f>COUNTIF($D$2:D808,'Reporte de Nomina'!$E$2)</f>
        <v>0</v>
      </c>
      <c r="B808" s="125">
        <f>Lista!A807</f>
        <v>0</v>
      </c>
      <c r="C808" s="125">
        <f>Lista!B807</f>
        <v>0</v>
      </c>
      <c r="D808" s="125">
        <f>Lista!C807</f>
        <v>0</v>
      </c>
      <c r="E808" s="125">
        <f>Lista!D807</f>
        <v>0</v>
      </c>
      <c r="F808" s="125">
        <f>Lista!E807</f>
        <v>0</v>
      </c>
      <c r="G808" s="125">
        <f>Lista!F807</f>
        <v>0</v>
      </c>
      <c r="H808" s="125">
        <f>Lista!G807</f>
        <v>0</v>
      </c>
      <c r="I808" s="125">
        <f>Lista!H807</f>
        <v>0</v>
      </c>
      <c r="J808" s="125">
        <f>Lista!I807</f>
        <v>0</v>
      </c>
      <c r="K808" s="125">
        <f>Lista!J807</f>
        <v>0</v>
      </c>
      <c r="L808" s="125">
        <f>Lista!K807</f>
        <v>0</v>
      </c>
      <c r="M808" s="125">
        <f>Lista!L807</f>
        <v>0</v>
      </c>
      <c r="N808" s="125">
        <f>Lista!M807</f>
        <v>0</v>
      </c>
      <c r="O808" s="125">
        <f>Lista!N807</f>
        <v>0</v>
      </c>
      <c r="P808" s="125">
        <f>Lista!O807</f>
        <v>0</v>
      </c>
      <c r="Q808" s="125">
        <f>Lista!P807</f>
        <v>0</v>
      </c>
      <c r="R808" s="125">
        <f>Lista!Q807</f>
        <v>0</v>
      </c>
      <c r="S808" s="125">
        <f>Lista!R807</f>
        <v>0</v>
      </c>
      <c r="T808" s="81"/>
      <c r="U808" s="81"/>
      <c r="V808" s="81"/>
      <c r="W808" s="81"/>
      <c r="X808" s="81"/>
      <c r="Y808" s="81"/>
      <c r="Z808" s="81"/>
      <c r="AA808" s="81"/>
      <c r="AB808" s="81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  <c r="BS808" s="81"/>
      <c r="BT808" s="81"/>
      <c r="BU808" s="81"/>
      <c r="BV808" s="81"/>
      <c r="BW808" s="81"/>
      <c r="BX808" s="81"/>
      <c r="BY808" s="81"/>
      <c r="BZ808" s="81"/>
      <c r="CA808" s="81"/>
      <c r="CB808" s="81"/>
      <c r="CC808" s="81"/>
      <c r="CD808" s="81"/>
      <c r="CE808" s="81"/>
      <c r="CF808" s="81"/>
      <c r="CG808" s="81"/>
      <c r="CH808" s="81"/>
      <c r="CI808" s="81"/>
      <c r="CJ808" s="81"/>
      <c r="CK808" s="81"/>
      <c r="CL808" s="81"/>
      <c r="CM808" s="81"/>
      <c r="CN808" s="81"/>
      <c r="CO808" s="81"/>
      <c r="CP808" s="81"/>
      <c r="CQ808" s="81"/>
      <c r="CR808" s="81"/>
      <c r="CS808" s="81"/>
      <c r="CT808" s="81"/>
      <c r="CU808" s="81"/>
      <c r="CV808" s="81"/>
      <c r="CW808" s="81"/>
      <c r="CX808" s="81"/>
      <c r="CY808" s="81"/>
      <c r="CZ808" s="81"/>
      <c r="DA808" s="81"/>
      <c r="DB808" s="81"/>
      <c r="DC808" s="81"/>
      <c r="DD808" s="81"/>
      <c r="DE808" s="81"/>
      <c r="DF808" s="81"/>
      <c r="DG808" s="81"/>
      <c r="DH808" s="81"/>
      <c r="DI808" s="81"/>
      <c r="DJ808" s="81"/>
      <c r="DK808" s="81"/>
      <c r="DL808" s="81"/>
      <c r="DM808" s="81"/>
      <c r="DN808" s="81"/>
      <c r="DO808" s="81"/>
      <c r="DP808" s="81"/>
      <c r="DQ808" s="81"/>
      <c r="DR808" s="81"/>
      <c r="DS808" s="81"/>
      <c r="DT808" s="81"/>
      <c r="DU808" s="81"/>
      <c r="DV808" s="81"/>
      <c r="DW808" s="121"/>
    </row>
    <row r="809" spans="1:127" x14ac:dyDescent="0.25">
      <c r="A809" s="2">
        <f>COUNTIF($D$2:D809,'Reporte de Nomina'!$E$2)</f>
        <v>0</v>
      </c>
      <c r="B809" s="125">
        <f>Lista!A808</f>
        <v>0</v>
      </c>
      <c r="C809" s="125">
        <f>Lista!B808</f>
        <v>0</v>
      </c>
      <c r="D809" s="125">
        <f>Lista!C808</f>
        <v>0</v>
      </c>
      <c r="E809" s="125">
        <f>Lista!D808</f>
        <v>0</v>
      </c>
      <c r="F809" s="125">
        <f>Lista!E808</f>
        <v>0</v>
      </c>
      <c r="G809" s="125">
        <f>Lista!F808</f>
        <v>0</v>
      </c>
      <c r="H809" s="125">
        <f>Lista!G808</f>
        <v>0</v>
      </c>
      <c r="I809" s="125">
        <f>Lista!H808</f>
        <v>0</v>
      </c>
      <c r="J809" s="125">
        <f>Lista!I808</f>
        <v>0</v>
      </c>
      <c r="K809" s="125">
        <f>Lista!J808</f>
        <v>0</v>
      </c>
      <c r="L809" s="125">
        <f>Lista!K808</f>
        <v>0</v>
      </c>
      <c r="M809" s="125">
        <f>Lista!L808</f>
        <v>0</v>
      </c>
      <c r="N809" s="125">
        <f>Lista!M808</f>
        <v>0</v>
      </c>
      <c r="O809" s="125">
        <f>Lista!N808</f>
        <v>0</v>
      </c>
      <c r="P809" s="125">
        <f>Lista!O808</f>
        <v>0</v>
      </c>
      <c r="Q809" s="125">
        <f>Lista!P808</f>
        <v>0</v>
      </c>
      <c r="R809" s="125">
        <f>Lista!Q808</f>
        <v>0</v>
      </c>
      <c r="S809" s="125">
        <f>Lista!R808</f>
        <v>0</v>
      </c>
      <c r="T809" s="81"/>
      <c r="U809" s="81"/>
      <c r="V809" s="81"/>
      <c r="W809" s="81"/>
      <c r="X809" s="81"/>
      <c r="Y809" s="81"/>
      <c r="Z809" s="81"/>
      <c r="AA809" s="81"/>
      <c r="AB809" s="81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  <c r="BS809" s="81"/>
      <c r="BT809" s="81"/>
      <c r="BU809" s="81"/>
      <c r="BV809" s="81"/>
      <c r="BW809" s="81"/>
      <c r="BX809" s="81"/>
      <c r="BY809" s="81"/>
      <c r="BZ809" s="81"/>
      <c r="CA809" s="81"/>
      <c r="CB809" s="81"/>
      <c r="CC809" s="81"/>
      <c r="CD809" s="81"/>
      <c r="CE809" s="81"/>
      <c r="CF809" s="81"/>
      <c r="CG809" s="81"/>
      <c r="CH809" s="81"/>
      <c r="CI809" s="81"/>
      <c r="CJ809" s="81"/>
      <c r="CK809" s="81"/>
      <c r="CL809" s="81"/>
      <c r="CM809" s="81"/>
      <c r="CN809" s="81"/>
      <c r="CO809" s="81"/>
      <c r="CP809" s="81"/>
      <c r="CQ809" s="81"/>
      <c r="CR809" s="81"/>
      <c r="CS809" s="81"/>
      <c r="CT809" s="81"/>
      <c r="CU809" s="81"/>
      <c r="CV809" s="81"/>
      <c r="CW809" s="81"/>
      <c r="CX809" s="81"/>
      <c r="CY809" s="81"/>
      <c r="CZ809" s="81"/>
      <c r="DA809" s="81"/>
      <c r="DB809" s="81"/>
      <c r="DC809" s="81"/>
      <c r="DD809" s="81"/>
      <c r="DE809" s="81"/>
      <c r="DF809" s="81"/>
      <c r="DG809" s="81"/>
      <c r="DH809" s="81"/>
      <c r="DI809" s="81"/>
      <c r="DJ809" s="81"/>
      <c r="DK809" s="81"/>
      <c r="DL809" s="81"/>
      <c r="DM809" s="81"/>
      <c r="DN809" s="81"/>
      <c r="DO809" s="81"/>
      <c r="DP809" s="81"/>
      <c r="DQ809" s="81"/>
      <c r="DR809" s="81"/>
      <c r="DS809" s="81"/>
      <c r="DT809" s="81"/>
      <c r="DU809" s="81"/>
      <c r="DV809" s="81"/>
      <c r="DW809" s="121"/>
    </row>
    <row r="810" spans="1:127" x14ac:dyDescent="0.25">
      <c r="A810" s="2">
        <f>COUNTIF($D$2:D810,'Reporte de Nomina'!$E$2)</f>
        <v>0</v>
      </c>
      <c r="B810" s="125">
        <f>Lista!A809</f>
        <v>0</v>
      </c>
      <c r="C810" s="125">
        <f>Lista!B809</f>
        <v>0</v>
      </c>
      <c r="D810" s="125">
        <f>Lista!C809</f>
        <v>0</v>
      </c>
      <c r="E810" s="125">
        <f>Lista!D809</f>
        <v>0</v>
      </c>
      <c r="F810" s="125">
        <f>Lista!E809</f>
        <v>0</v>
      </c>
      <c r="G810" s="125">
        <f>Lista!F809</f>
        <v>0</v>
      </c>
      <c r="H810" s="125">
        <f>Lista!G809</f>
        <v>0</v>
      </c>
      <c r="I810" s="125">
        <f>Lista!H809</f>
        <v>0</v>
      </c>
      <c r="J810" s="125">
        <f>Lista!I809</f>
        <v>0</v>
      </c>
      <c r="K810" s="125">
        <f>Lista!J809</f>
        <v>0</v>
      </c>
      <c r="L810" s="125">
        <f>Lista!K809</f>
        <v>0</v>
      </c>
      <c r="M810" s="125">
        <f>Lista!L809</f>
        <v>0</v>
      </c>
      <c r="N810" s="125">
        <f>Lista!M809</f>
        <v>0</v>
      </c>
      <c r="O810" s="125">
        <f>Lista!N809</f>
        <v>0</v>
      </c>
      <c r="P810" s="125">
        <f>Lista!O809</f>
        <v>0</v>
      </c>
      <c r="Q810" s="125">
        <f>Lista!P809</f>
        <v>0</v>
      </c>
      <c r="R810" s="125">
        <f>Lista!Q809</f>
        <v>0</v>
      </c>
      <c r="S810" s="125">
        <f>Lista!R809</f>
        <v>0</v>
      </c>
      <c r="T810" s="81"/>
      <c r="U810" s="81"/>
      <c r="V810" s="81"/>
      <c r="W810" s="81"/>
      <c r="X810" s="81"/>
      <c r="Y810" s="81"/>
      <c r="Z810" s="81"/>
      <c r="AA810" s="81"/>
      <c r="AB810" s="81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  <c r="BS810" s="81"/>
      <c r="BT810" s="81"/>
      <c r="BU810" s="81"/>
      <c r="BV810" s="81"/>
      <c r="BW810" s="81"/>
      <c r="BX810" s="81"/>
      <c r="BY810" s="81"/>
      <c r="BZ810" s="81"/>
      <c r="CA810" s="81"/>
      <c r="CB810" s="81"/>
      <c r="CC810" s="81"/>
      <c r="CD810" s="81"/>
      <c r="CE810" s="81"/>
      <c r="CF810" s="81"/>
      <c r="CG810" s="81"/>
      <c r="CH810" s="81"/>
      <c r="CI810" s="81"/>
      <c r="CJ810" s="81"/>
      <c r="CK810" s="81"/>
      <c r="CL810" s="81"/>
      <c r="CM810" s="81"/>
      <c r="CN810" s="81"/>
      <c r="CO810" s="81"/>
      <c r="CP810" s="81"/>
      <c r="CQ810" s="81"/>
      <c r="CR810" s="81"/>
      <c r="CS810" s="81"/>
      <c r="CT810" s="81"/>
      <c r="CU810" s="81"/>
      <c r="CV810" s="81"/>
      <c r="CW810" s="81"/>
      <c r="CX810" s="81"/>
      <c r="CY810" s="81"/>
      <c r="CZ810" s="81"/>
      <c r="DA810" s="81"/>
      <c r="DB810" s="81"/>
      <c r="DC810" s="81"/>
      <c r="DD810" s="81"/>
      <c r="DE810" s="81"/>
      <c r="DF810" s="81"/>
      <c r="DG810" s="81"/>
      <c r="DH810" s="81"/>
      <c r="DI810" s="81"/>
      <c r="DJ810" s="81"/>
      <c r="DK810" s="81"/>
      <c r="DL810" s="81"/>
      <c r="DM810" s="81"/>
      <c r="DN810" s="81"/>
      <c r="DO810" s="81"/>
      <c r="DP810" s="81"/>
      <c r="DQ810" s="81"/>
      <c r="DR810" s="81"/>
      <c r="DS810" s="81"/>
      <c r="DT810" s="81"/>
      <c r="DU810" s="81"/>
      <c r="DV810" s="81"/>
      <c r="DW810" s="121"/>
    </row>
    <row r="811" spans="1:127" x14ac:dyDescent="0.25">
      <c r="A811" s="2">
        <f>COUNTIF($D$2:D811,'Reporte de Nomina'!$E$2)</f>
        <v>0</v>
      </c>
      <c r="B811" s="125">
        <f>Lista!A810</f>
        <v>0</v>
      </c>
      <c r="C811" s="125">
        <f>Lista!B810</f>
        <v>0</v>
      </c>
      <c r="D811" s="125">
        <f>Lista!C810</f>
        <v>0</v>
      </c>
      <c r="E811" s="125">
        <f>Lista!D810</f>
        <v>0</v>
      </c>
      <c r="F811" s="125">
        <f>Lista!E810</f>
        <v>0</v>
      </c>
      <c r="G811" s="125">
        <f>Lista!F810</f>
        <v>0</v>
      </c>
      <c r="H811" s="125">
        <f>Lista!G810</f>
        <v>0</v>
      </c>
      <c r="I811" s="125">
        <f>Lista!H810</f>
        <v>0</v>
      </c>
      <c r="J811" s="125">
        <f>Lista!I810</f>
        <v>0</v>
      </c>
      <c r="K811" s="125">
        <f>Lista!J810</f>
        <v>0</v>
      </c>
      <c r="L811" s="125">
        <f>Lista!K810</f>
        <v>0</v>
      </c>
      <c r="M811" s="125">
        <f>Lista!L810</f>
        <v>0</v>
      </c>
      <c r="N811" s="125">
        <f>Lista!M810</f>
        <v>0</v>
      </c>
      <c r="O811" s="125">
        <f>Lista!N810</f>
        <v>0</v>
      </c>
      <c r="P811" s="125">
        <f>Lista!O810</f>
        <v>0</v>
      </c>
      <c r="Q811" s="125">
        <f>Lista!P810</f>
        <v>0</v>
      </c>
      <c r="R811" s="125">
        <f>Lista!Q810</f>
        <v>0</v>
      </c>
      <c r="S811" s="125">
        <f>Lista!R810</f>
        <v>0</v>
      </c>
      <c r="T811" s="81"/>
      <c r="U811" s="81"/>
      <c r="V811" s="81"/>
      <c r="W811" s="81"/>
      <c r="X811" s="81"/>
      <c r="Y811" s="81"/>
      <c r="Z811" s="81"/>
      <c r="AA811" s="81"/>
      <c r="AB811" s="81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  <c r="BS811" s="81"/>
      <c r="BT811" s="81"/>
      <c r="BU811" s="81"/>
      <c r="BV811" s="81"/>
      <c r="BW811" s="81"/>
      <c r="BX811" s="81"/>
      <c r="BY811" s="81"/>
      <c r="BZ811" s="81"/>
      <c r="CA811" s="81"/>
      <c r="CB811" s="81"/>
      <c r="CC811" s="81"/>
      <c r="CD811" s="81"/>
      <c r="CE811" s="81"/>
      <c r="CF811" s="81"/>
      <c r="CG811" s="81"/>
      <c r="CH811" s="81"/>
      <c r="CI811" s="81"/>
      <c r="CJ811" s="81"/>
      <c r="CK811" s="81"/>
      <c r="CL811" s="81"/>
      <c r="CM811" s="81"/>
      <c r="CN811" s="81"/>
      <c r="CO811" s="81"/>
      <c r="CP811" s="81"/>
      <c r="CQ811" s="81"/>
      <c r="CR811" s="81"/>
      <c r="CS811" s="81"/>
      <c r="CT811" s="81"/>
      <c r="CU811" s="81"/>
      <c r="CV811" s="81"/>
      <c r="CW811" s="81"/>
      <c r="CX811" s="81"/>
      <c r="CY811" s="81"/>
      <c r="CZ811" s="81"/>
      <c r="DA811" s="81"/>
      <c r="DB811" s="81"/>
      <c r="DC811" s="81"/>
      <c r="DD811" s="81"/>
      <c r="DE811" s="81"/>
      <c r="DF811" s="81"/>
      <c r="DG811" s="81"/>
      <c r="DH811" s="81"/>
      <c r="DI811" s="81"/>
      <c r="DJ811" s="81"/>
      <c r="DK811" s="81"/>
      <c r="DL811" s="81"/>
      <c r="DM811" s="81"/>
      <c r="DN811" s="81"/>
      <c r="DO811" s="81"/>
      <c r="DP811" s="81"/>
      <c r="DQ811" s="81"/>
      <c r="DR811" s="81"/>
      <c r="DS811" s="81"/>
      <c r="DT811" s="81"/>
      <c r="DU811" s="81"/>
      <c r="DV811" s="81"/>
      <c r="DW811" s="121"/>
    </row>
    <row r="812" spans="1:127" x14ac:dyDescent="0.25">
      <c r="A812" s="2">
        <f>COUNTIF($D$2:D812,'Reporte de Nomina'!$E$2)</f>
        <v>0</v>
      </c>
      <c r="B812" s="125">
        <f>Lista!A811</f>
        <v>0</v>
      </c>
      <c r="C812" s="125">
        <f>Lista!B811</f>
        <v>0</v>
      </c>
      <c r="D812" s="125">
        <f>Lista!C811</f>
        <v>0</v>
      </c>
      <c r="E812" s="125">
        <f>Lista!D811</f>
        <v>0</v>
      </c>
      <c r="F812" s="125">
        <f>Lista!E811</f>
        <v>0</v>
      </c>
      <c r="G812" s="125">
        <f>Lista!F811</f>
        <v>0</v>
      </c>
      <c r="H812" s="125">
        <f>Lista!G811</f>
        <v>0</v>
      </c>
      <c r="I812" s="125">
        <f>Lista!H811</f>
        <v>0</v>
      </c>
      <c r="J812" s="125">
        <f>Lista!I811</f>
        <v>0</v>
      </c>
      <c r="K812" s="125">
        <f>Lista!J811</f>
        <v>0</v>
      </c>
      <c r="L812" s="125">
        <f>Lista!K811</f>
        <v>0</v>
      </c>
      <c r="M812" s="125">
        <f>Lista!L811</f>
        <v>0</v>
      </c>
      <c r="N812" s="125">
        <f>Lista!M811</f>
        <v>0</v>
      </c>
      <c r="O812" s="125">
        <f>Lista!N811</f>
        <v>0</v>
      </c>
      <c r="P812" s="125">
        <f>Lista!O811</f>
        <v>0</v>
      </c>
      <c r="Q812" s="125">
        <f>Lista!P811</f>
        <v>0</v>
      </c>
      <c r="R812" s="125">
        <f>Lista!Q811</f>
        <v>0</v>
      </c>
      <c r="S812" s="125">
        <f>Lista!R811</f>
        <v>0</v>
      </c>
      <c r="T812" s="81"/>
      <c r="U812" s="81"/>
      <c r="V812" s="81"/>
      <c r="W812" s="81"/>
      <c r="X812" s="81"/>
      <c r="Y812" s="81"/>
      <c r="Z812" s="81"/>
      <c r="AA812" s="81"/>
      <c r="AB812" s="81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  <c r="BS812" s="81"/>
      <c r="BT812" s="81"/>
      <c r="BU812" s="81"/>
      <c r="BV812" s="81"/>
      <c r="BW812" s="81"/>
      <c r="BX812" s="81"/>
      <c r="BY812" s="81"/>
      <c r="BZ812" s="81"/>
      <c r="CA812" s="81"/>
      <c r="CB812" s="81"/>
      <c r="CC812" s="81"/>
      <c r="CD812" s="81"/>
      <c r="CE812" s="81"/>
      <c r="CF812" s="81"/>
      <c r="CG812" s="81"/>
      <c r="CH812" s="81"/>
      <c r="CI812" s="81"/>
      <c r="CJ812" s="81"/>
      <c r="CK812" s="81"/>
      <c r="CL812" s="81"/>
      <c r="CM812" s="81"/>
      <c r="CN812" s="81"/>
      <c r="CO812" s="81"/>
      <c r="CP812" s="81"/>
      <c r="CQ812" s="81"/>
      <c r="CR812" s="81"/>
      <c r="CS812" s="81"/>
      <c r="CT812" s="81"/>
      <c r="CU812" s="81"/>
      <c r="CV812" s="81"/>
      <c r="CW812" s="81"/>
      <c r="CX812" s="81"/>
      <c r="CY812" s="81"/>
      <c r="CZ812" s="81"/>
      <c r="DA812" s="81"/>
      <c r="DB812" s="81"/>
      <c r="DC812" s="81"/>
      <c r="DD812" s="81"/>
      <c r="DE812" s="81"/>
      <c r="DF812" s="81"/>
      <c r="DG812" s="81"/>
      <c r="DH812" s="81"/>
      <c r="DI812" s="81"/>
      <c r="DJ812" s="81"/>
      <c r="DK812" s="81"/>
      <c r="DL812" s="81"/>
      <c r="DM812" s="81"/>
      <c r="DN812" s="81"/>
      <c r="DO812" s="81"/>
      <c r="DP812" s="81"/>
      <c r="DQ812" s="81"/>
      <c r="DR812" s="81"/>
      <c r="DS812" s="81"/>
      <c r="DT812" s="81"/>
      <c r="DU812" s="81"/>
      <c r="DV812" s="81"/>
      <c r="DW812" s="121"/>
    </row>
    <row r="813" spans="1:127" x14ac:dyDescent="0.25">
      <c r="A813" s="2">
        <f>COUNTIF($D$2:D813,'Reporte de Nomina'!$E$2)</f>
        <v>0</v>
      </c>
      <c r="B813" s="125">
        <f>Lista!A812</f>
        <v>0</v>
      </c>
      <c r="C813" s="125">
        <f>Lista!B812</f>
        <v>0</v>
      </c>
      <c r="D813" s="125">
        <f>Lista!C812</f>
        <v>0</v>
      </c>
      <c r="E813" s="125">
        <f>Lista!D812</f>
        <v>0</v>
      </c>
      <c r="F813" s="125">
        <f>Lista!E812</f>
        <v>0</v>
      </c>
      <c r="G813" s="125">
        <f>Lista!F812</f>
        <v>0</v>
      </c>
      <c r="H813" s="125">
        <f>Lista!G812</f>
        <v>0</v>
      </c>
      <c r="I813" s="125">
        <f>Lista!H812</f>
        <v>0</v>
      </c>
      <c r="J813" s="125">
        <f>Lista!I812</f>
        <v>0</v>
      </c>
      <c r="K813" s="125">
        <f>Lista!J812</f>
        <v>0</v>
      </c>
      <c r="L813" s="125">
        <f>Lista!K812</f>
        <v>0</v>
      </c>
      <c r="M813" s="125">
        <f>Lista!L812</f>
        <v>0</v>
      </c>
      <c r="N813" s="125">
        <f>Lista!M812</f>
        <v>0</v>
      </c>
      <c r="O813" s="125">
        <f>Lista!N812</f>
        <v>0</v>
      </c>
      <c r="P813" s="125">
        <f>Lista!O812</f>
        <v>0</v>
      </c>
      <c r="Q813" s="125">
        <f>Lista!P812</f>
        <v>0</v>
      </c>
      <c r="R813" s="125">
        <f>Lista!Q812</f>
        <v>0</v>
      </c>
      <c r="S813" s="125">
        <f>Lista!R812</f>
        <v>0</v>
      </c>
      <c r="T813" s="81"/>
      <c r="U813" s="81"/>
      <c r="V813" s="81"/>
      <c r="W813" s="81"/>
      <c r="X813" s="81"/>
      <c r="Y813" s="81"/>
      <c r="Z813" s="81"/>
      <c r="AA813" s="81"/>
      <c r="AB813" s="81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  <c r="BS813" s="81"/>
      <c r="BT813" s="81"/>
      <c r="BU813" s="81"/>
      <c r="BV813" s="81"/>
      <c r="BW813" s="81"/>
      <c r="BX813" s="81"/>
      <c r="BY813" s="81"/>
      <c r="BZ813" s="81"/>
      <c r="CA813" s="81"/>
      <c r="CB813" s="81"/>
      <c r="CC813" s="81"/>
      <c r="CD813" s="81"/>
      <c r="CE813" s="81"/>
      <c r="CF813" s="81"/>
      <c r="CG813" s="81"/>
      <c r="CH813" s="81"/>
      <c r="CI813" s="81"/>
      <c r="CJ813" s="81"/>
      <c r="CK813" s="81"/>
      <c r="CL813" s="81"/>
      <c r="CM813" s="81"/>
      <c r="CN813" s="81"/>
      <c r="CO813" s="81"/>
      <c r="CP813" s="81"/>
      <c r="CQ813" s="81"/>
      <c r="CR813" s="81"/>
      <c r="CS813" s="81"/>
      <c r="CT813" s="81"/>
      <c r="CU813" s="81"/>
      <c r="CV813" s="81"/>
      <c r="CW813" s="81"/>
      <c r="CX813" s="81"/>
      <c r="CY813" s="81"/>
      <c r="CZ813" s="81"/>
      <c r="DA813" s="81"/>
      <c r="DB813" s="81"/>
      <c r="DC813" s="81"/>
      <c r="DD813" s="81"/>
      <c r="DE813" s="81"/>
      <c r="DF813" s="81"/>
      <c r="DG813" s="81"/>
      <c r="DH813" s="81"/>
      <c r="DI813" s="81"/>
      <c r="DJ813" s="81"/>
      <c r="DK813" s="81"/>
      <c r="DL813" s="81"/>
      <c r="DM813" s="81"/>
      <c r="DN813" s="81"/>
      <c r="DO813" s="81"/>
      <c r="DP813" s="81"/>
      <c r="DQ813" s="81"/>
      <c r="DR813" s="81"/>
      <c r="DS813" s="81"/>
      <c r="DT813" s="81"/>
      <c r="DU813" s="81"/>
      <c r="DV813" s="81"/>
      <c r="DW813" s="121"/>
    </row>
    <row r="814" spans="1:127" x14ac:dyDescent="0.25">
      <c r="A814" s="2">
        <f>COUNTIF($D$2:D814,'Reporte de Nomina'!$E$2)</f>
        <v>0</v>
      </c>
      <c r="B814" s="125">
        <f>Lista!A813</f>
        <v>0</v>
      </c>
      <c r="C814" s="125">
        <f>Lista!B813</f>
        <v>0</v>
      </c>
      <c r="D814" s="125">
        <f>Lista!C813</f>
        <v>0</v>
      </c>
      <c r="E814" s="125">
        <f>Lista!D813</f>
        <v>0</v>
      </c>
      <c r="F814" s="125">
        <f>Lista!E813</f>
        <v>0</v>
      </c>
      <c r="G814" s="125">
        <f>Lista!F813</f>
        <v>0</v>
      </c>
      <c r="H814" s="125">
        <f>Lista!G813</f>
        <v>0</v>
      </c>
      <c r="I814" s="125">
        <f>Lista!H813</f>
        <v>0</v>
      </c>
      <c r="J814" s="125">
        <f>Lista!I813</f>
        <v>0</v>
      </c>
      <c r="K814" s="125">
        <f>Lista!J813</f>
        <v>0</v>
      </c>
      <c r="L814" s="125">
        <f>Lista!K813</f>
        <v>0</v>
      </c>
      <c r="M814" s="125">
        <f>Lista!L813</f>
        <v>0</v>
      </c>
      <c r="N814" s="125">
        <f>Lista!M813</f>
        <v>0</v>
      </c>
      <c r="O814" s="125">
        <f>Lista!N813</f>
        <v>0</v>
      </c>
      <c r="P814" s="125">
        <f>Lista!O813</f>
        <v>0</v>
      </c>
      <c r="Q814" s="125">
        <f>Lista!P813</f>
        <v>0</v>
      </c>
      <c r="R814" s="125">
        <f>Lista!Q813</f>
        <v>0</v>
      </c>
      <c r="S814" s="125">
        <f>Lista!R813</f>
        <v>0</v>
      </c>
      <c r="T814" s="81"/>
      <c r="U814" s="81"/>
      <c r="V814" s="81"/>
      <c r="W814" s="81"/>
      <c r="X814" s="81"/>
      <c r="Y814" s="81"/>
      <c r="Z814" s="81"/>
      <c r="AA814" s="81"/>
      <c r="AB814" s="81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  <c r="BS814" s="81"/>
      <c r="BT814" s="81"/>
      <c r="BU814" s="81"/>
      <c r="BV814" s="81"/>
      <c r="BW814" s="81"/>
      <c r="BX814" s="81"/>
      <c r="BY814" s="81"/>
      <c r="BZ814" s="81"/>
      <c r="CA814" s="81"/>
      <c r="CB814" s="81"/>
      <c r="CC814" s="81"/>
      <c r="CD814" s="81"/>
      <c r="CE814" s="81"/>
      <c r="CF814" s="81"/>
      <c r="CG814" s="81"/>
      <c r="CH814" s="81"/>
      <c r="CI814" s="81"/>
      <c r="CJ814" s="81"/>
      <c r="CK814" s="81"/>
      <c r="CL814" s="81"/>
      <c r="CM814" s="81"/>
      <c r="CN814" s="81"/>
      <c r="CO814" s="81"/>
      <c r="CP814" s="81"/>
      <c r="CQ814" s="81"/>
      <c r="CR814" s="81"/>
      <c r="CS814" s="81"/>
      <c r="CT814" s="81"/>
      <c r="CU814" s="81"/>
      <c r="CV814" s="81"/>
      <c r="CW814" s="81"/>
      <c r="CX814" s="81"/>
      <c r="CY814" s="81"/>
      <c r="CZ814" s="81"/>
      <c r="DA814" s="81"/>
      <c r="DB814" s="81"/>
      <c r="DC814" s="81"/>
      <c r="DD814" s="81"/>
      <c r="DE814" s="81"/>
      <c r="DF814" s="81"/>
      <c r="DG814" s="81"/>
      <c r="DH814" s="81"/>
      <c r="DI814" s="81"/>
      <c r="DJ814" s="81"/>
      <c r="DK814" s="81"/>
      <c r="DL814" s="81"/>
      <c r="DM814" s="81"/>
      <c r="DN814" s="81"/>
      <c r="DO814" s="81"/>
      <c r="DP814" s="81"/>
      <c r="DQ814" s="81"/>
      <c r="DR814" s="81"/>
      <c r="DS814" s="81"/>
      <c r="DT814" s="81"/>
      <c r="DU814" s="81"/>
      <c r="DV814" s="81"/>
      <c r="DW814" s="121"/>
    </row>
    <row r="815" spans="1:127" x14ac:dyDescent="0.25">
      <c r="A815" s="2">
        <f>COUNTIF($D$2:D815,'Reporte de Nomina'!$E$2)</f>
        <v>0</v>
      </c>
      <c r="B815" s="125">
        <f>Lista!A814</f>
        <v>0</v>
      </c>
      <c r="C815" s="125">
        <f>Lista!B814</f>
        <v>0</v>
      </c>
      <c r="D815" s="125">
        <f>Lista!C814</f>
        <v>0</v>
      </c>
      <c r="E815" s="125">
        <f>Lista!D814</f>
        <v>0</v>
      </c>
      <c r="F815" s="125">
        <f>Lista!E814</f>
        <v>0</v>
      </c>
      <c r="G815" s="125">
        <f>Lista!F814</f>
        <v>0</v>
      </c>
      <c r="H815" s="125">
        <f>Lista!G814</f>
        <v>0</v>
      </c>
      <c r="I815" s="125">
        <f>Lista!H814</f>
        <v>0</v>
      </c>
      <c r="J815" s="125">
        <f>Lista!I814</f>
        <v>0</v>
      </c>
      <c r="K815" s="125">
        <f>Lista!J814</f>
        <v>0</v>
      </c>
      <c r="L815" s="125">
        <f>Lista!K814</f>
        <v>0</v>
      </c>
      <c r="M815" s="125">
        <f>Lista!L814</f>
        <v>0</v>
      </c>
      <c r="N815" s="125">
        <f>Lista!M814</f>
        <v>0</v>
      </c>
      <c r="O815" s="125">
        <f>Lista!N814</f>
        <v>0</v>
      </c>
      <c r="P815" s="125">
        <f>Lista!O814</f>
        <v>0</v>
      </c>
      <c r="Q815" s="125">
        <f>Lista!P814</f>
        <v>0</v>
      </c>
      <c r="R815" s="125">
        <f>Lista!Q814</f>
        <v>0</v>
      </c>
      <c r="S815" s="125">
        <f>Lista!R814</f>
        <v>0</v>
      </c>
      <c r="T815" s="81"/>
      <c r="U815" s="81"/>
      <c r="V815" s="81"/>
      <c r="W815" s="81"/>
      <c r="X815" s="81"/>
      <c r="Y815" s="81"/>
      <c r="Z815" s="81"/>
      <c r="AA815" s="81"/>
      <c r="AB815" s="81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  <c r="BS815" s="81"/>
      <c r="BT815" s="81"/>
      <c r="BU815" s="81"/>
      <c r="BV815" s="81"/>
      <c r="BW815" s="81"/>
      <c r="BX815" s="81"/>
      <c r="BY815" s="81"/>
      <c r="BZ815" s="81"/>
      <c r="CA815" s="81"/>
      <c r="CB815" s="81"/>
      <c r="CC815" s="81"/>
      <c r="CD815" s="81"/>
      <c r="CE815" s="81"/>
      <c r="CF815" s="81"/>
      <c r="CG815" s="81"/>
      <c r="CH815" s="81"/>
      <c r="CI815" s="81"/>
      <c r="CJ815" s="81"/>
      <c r="CK815" s="81"/>
      <c r="CL815" s="81"/>
      <c r="CM815" s="81"/>
      <c r="CN815" s="81"/>
      <c r="CO815" s="81"/>
      <c r="CP815" s="81"/>
      <c r="CQ815" s="81"/>
      <c r="CR815" s="81"/>
      <c r="CS815" s="81"/>
      <c r="CT815" s="81"/>
      <c r="CU815" s="81"/>
      <c r="CV815" s="81"/>
      <c r="CW815" s="81"/>
      <c r="CX815" s="81"/>
      <c r="CY815" s="81"/>
      <c r="CZ815" s="81"/>
      <c r="DA815" s="81"/>
      <c r="DB815" s="81"/>
      <c r="DC815" s="81"/>
      <c r="DD815" s="81"/>
      <c r="DE815" s="81"/>
      <c r="DF815" s="81"/>
      <c r="DG815" s="81"/>
      <c r="DH815" s="81"/>
      <c r="DI815" s="81"/>
      <c r="DJ815" s="81"/>
      <c r="DK815" s="81"/>
      <c r="DL815" s="81"/>
      <c r="DM815" s="81"/>
      <c r="DN815" s="81"/>
      <c r="DO815" s="81"/>
      <c r="DP815" s="81"/>
      <c r="DQ815" s="81"/>
      <c r="DR815" s="81"/>
      <c r="DS815" s="81"/>
      <c r="DT815" s="81"/>
      <c r="DU815" s="81"/>
      <c r="DV815" s="81"/>
      <c r="DW815" s="121"/>
    </row>
    <row r="816" spans="1:127" x14ac:dyDescent="0.25">
      <c r="A816" s="2">
        <f>COUNTIF($D$2:D816,'Reporte de Nomina'!$E$2)</f>
        <v>0</v>
      </c>
      <c r="B816" s="125">
        <f>Lista!A815</f>
        <v>0</v>
      </c>
      <c r="C816" s="125">
        <f>Lista!B815</f>
        <v>0</v>
      </c>
      <c r="D816" s="125">
        <f>Lista!C815</f>
        <v>0</v>
      </c>
      <c r="E816" s="125">
        <f>Lista!D815</f>
        <v>0</v>
      </c>
      <c r="F816" s="125">
        <f>Lista!E815</f>
        <v>0</v>
      </c>
      <c r="G816" s="125">
        <f>Lista!F815</f>
        <v>0</v>
      </c>
      <c r="H816" s="125">
        <f>Lista!G815</f>
        <v>0</v>
      </c>
      <c r="I816" s="125">
        <f>Lista!H815</f>
        <v>0</v>
      </c>
      <c r="J816" s="125">
        <f>Lista!I815</f>
        <v>0</v>
      </c>
      <c r="K816" s="125">
        <f>Lista!J815</f>
        <v>0</v>
      </c>
      <c r="L816" s="125">
        <f>Lista!K815</f>
        <v>0</v>
      </c>
      <c r="M816" s="125">
        <f>Lista!L815</f>
        <v>0</v>
      </c>
      <c r="N816" s="125">
        <f>Lista!M815</f>
        <v>0</v>
      </c>
      <c r="O816" s="125">
        <f>Lista!N815</f>
        <v>0</v>
      </c>
      <c r="P816" s="125">
        <f>Lista!O815</f>
        <v>0</v>
      </c>
      <c r="Q816" s="125">
        <f>Lista!P815</f>
        <v>0</v>
      </c>
      <c r="R816" s="125">
        <f>Lista!Q815</f>
        <v>0</v>
      </c>
      <c r="S816" s="125">
        <f>Lista!R815</f>
        <v>0</v>
      </c>
      <c r="T816" s="81"/>
      <c r="U816" s="81"/>
      <c r="V816" s="81"/>
      <c r="W816" s="81"/>
      <c r="X816" s="81"/>
      <c r="Y816" s="81"/>
      <c r="Z816" s="81"/>
      <c r="AA816" s="81"/>
      <c r="AB816" s="81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  <c r="BS816" s="81"/>
      <c r="BT816" s="81"/>
      <c r="BU816" s="81"/>
      <c r="BV816" s="81"/>
      <c r="BW816" s="81"/>
      <c r="BX816" s="81"/>
      <c r="BY816" s="81"/>
      <c r="BZ816" s="81"/>
      <c r="CA816" s="81"/>
      <c r="CB816" s="81"/>
      <c r="CC816" s="81"/>
      <c r="CD816" s="81"/>
      <c r="CE816" s="81"/>
      <c r="CF816" s="81"/>
      <c r="CG816" s="81"/>
      <c r="CH816" s="81"/>
      <c r="CI816" s="81"/>
      <c r="CJ816" s="81"/>
      <c r="CK816" s="81"/>
      <c r="CL816" s="81"/>
      <c r="CM816" s="81"/>
      <c r="CN816" s="81"/>
      <c r="CO816" s="81"/>
      <c r="CP816" s="81"/>
      <c r="CQ816" s="81"/>
      <c r="CR816" s="81"/>
      <c r="CS816" s="81"/>
      <c r="CT816" s="81"/>
      <c r="CU816" s="81"/>
      <c r="CV816" s="81"/>
      <c r="CW816" s="81"/>
      <c r="CX816" s="81"/>
      <c r="CY816" s="81"/>
      <c r="CZ816" s="81"/>
      <c r="DA816" s="81"/>
      <c r="DB816" s="81"/>
      <c r="DC816" s="81"/>
      <c r="DD816" s="81"/>
      <c r="DE816" s="81"/>
      <c r="DF816" s="81"/>
      <c r="DG816" s="81"/>
      <c r="DH816" s="81"/>
      <c r="DI816" s="81"/>
      <c r="DJ816" s="81"/>
      <c r="DK816" s="81"/>
      <c r="DL816" s="81"/>
      <c r="DM816" s="81"/>
      <c r="DN816" s="81"/>
      <c r="DO816" s="81"/>
      <c r="DP816" s="81"/>
      <c r="DQ816" s="81"/>
      <c r="DR816" s="81"/>
      <c r="DS816" s="81"/>
      <c r="DT816" s="81"/>
      <c r="DU816" s="81"/>
      <c r="DV816" s="81"/>
      <c r="DW816" s="121"/>
    </row>
    <row r="817" spans="1:127" x14ac:dyDescent="0.25">
      <c r="A817" s="2">
        <f>COUNTIF($D$2:D817,'Reporte de Nomina'!$E$2)</f>
        <v>0</v>
      </c>
      <c r="B817" s="125">
        <f>Lista!A816</f>
        <v>0</v>
      </c>
      <c r="C817" s="125">
        <f>Lista!B816</f>
        <v>0</v>
      </c>
      <c r="D817" s="125">
        <f>Lista!C816</f>
        <v>0</v>
      </c>
      <c r="E817" s="125">
        <f>Lista!D816</f>
        <v>0</v>
      </c>
      <c r="F817" s="125">
        <f>Lista!E816</f>
        <v>0</v>
      </c>
      <c r="G817" s="125">
        <f>Lista!F816</f>
        <v>0</v>
      </c>
      <c r="H817" s="125">
        <f>Lista!G816</f>
        <v>0</v>
      </c>
      <c r="I817" s="125">
        <f>Lista!H816</f>
        <v>0</v>
      </c>
      <c r="J817" s="125">
        <f>Lista!I816</f>
        <v>0</v>
      </c>
      <c r="K817" s="125">
        <f>Lista!J816</f>
        <v>0</v>
      </c>
      <c r="L817" s="125">
        <f>Lista!K816</f>
        <v>0</v>
      </c>
      <c r="M817" s="125">
        <f>Lista!L816</f>
        <v>0</v>
      </c>
      <c r="N817" s="125">
        <f>Lista!M816</f>
        <v>0</v>
      </c>
      <c r="O817" s="125">
        <f>Lista!N816</f>
        <v>0</v>
      </c>
      <c r="P817" s="125">
        <f>Lista!O816</f>
        <v>0</v>
      </c>
      <c r="Q817" s="125">
        <f>Lista!P816</f>
        <v>0</v>
      </c>
      <c r="R817" s="125">
        <f>Lista!Q816</f>
        <v>0</v>
      </c>
      <c r="S817" s="125">
        <f>Lista!R816</f>
        <v>0</v>
      </c>
      <c r="T817" s="81"/>
      <c r="U817" s="81"/>
      <c r="V817" s="81"/>
      <c r="W817" s="81"/>
      <c r="X817" s="81"/>
      <c r="Y817" s="81"/>
      <c r="Z817" s="81"/>
      <c r="AA817" s="81"/>
      <c r="AB817" s="81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  <c r="BS817" s="81"/>
      <c r="BT817" s="81"/>
      <c r="BU817" s="81"/>
      <c r="BV817" s="81"/>
      <c r="BW817" s="81"/>
      <c r="BX817" s="81"/>
      <c r="BY817" s="81"/>
      <c r="BZ817" s="81"/>
      <c r="CA817" s="81"/>
      <c r="CB817" s="81"/>
      <c r="CC817" s="81"/>
      <c r="CD817" s="81"/>
      <c r="CE817" s="81"/>
      <c r="CF817" s="81"/>
      <c r="CG817" s="81"/>
      <c r="CH817" s="81"/>
      <c r="CI817" s="81"/>
      <c r="CJ817" s="81"/>
      <c r="CK817" s="81"/>
      <c r="CL817" s="81"/>
      <c r="CM817" s="81"/>
      <c r="CN817" s="81"/>
      <c r="CO817" s="81"/>
      <c r="CP817" s="81"/>
      <c r="CQ817" s="81"/>
      <c r="CR817" s="81"/>
      <c r="CS817" s="81"/>
      <c r="CT817" s="81"/>
      <c r="CU817" s="81"/>
      <c r="CV817" s="81"/>
      <c r="CW817" s="81"/>
      <c r="CX817" s="81"/>
      <c r="CY817" s="81"/>
      <c r="CZ817" s="81"/>
      <c r="DA817" s="81"/>
      <c r="DB817" s="81"/>
      <c r="DC817" s="81"/>
      <c r="DD817" s="81"/>
      <c r="DE817" s="81"/>
      <c r="DF817" s="81"/>
      <c r="DG817" s="81"/>
      <c r="DH817" s="81"/>
      <c r="DI817" s="81"/>
      <c r="DJ817" s="81"/>
      <c r="DK817" s="81"/>
      <c r="DL817" s="81"/>
      <c r="DM817" s="81"/>
      <c r="DN817" s="81"/>
      <c r="DO817" s="81"/>
      <c r="DP817" s="81"/>
      <c r="DQ817" s="81"/>
      <c r="DR817" s="81"/>
      <c r="DS817" s="81"/>
      <c r="DT817" s="81"/>
      <c r="DU817" s="81"/>
      <c r="DV817" s="81"/>
      <c r="DW817" s="121"/>
    </row>
    <row r="818" spans="1:127" x14ac:dyDescent="0.25">
      <c r="A818" s="2">
        <f>COUNTIF($D$2:D818,'Reporte de Nomina'!$E$2)</f>
        <v>0</v>
      </c>
      <c r="B818" s="125">
        <f>Lista!A817</f>
        <v>0</v>
      </c>
      <c r="C818" s="125">
        <f>Lista!B817</f>
        <v>0</v>
      </c>
      <c r="D818" s="125">
        <f>Lista!C817</f>
        <v>0</v>
      </c>
      <c r="E818" s="125">
        <f>Lista!D817</f>
        <v>0</v>
      </c>
      <c r="F818" s="125">
        <f>Lista!E817</f>
        <v>0</v>
      </c>
      <c r="G818" s="125">
        <f>Lista!F817</f>
        <v>0</v>
      </c>
      <c r="H818" s="125">
        <f>Lista!G817</f>
        <v>0</v>
      </c>
      <c r="I818" s="125">
        <f>Lista!H817</f>
        <v>0</v>
      </c>
      <c r="J818" s="125">
        <f>Lista!I817</f>
        <v>0</v>
      </c>
      <c r="K818" s="125">
        <f>Lista!J817</f>
        <v>0</v>
      </c>
      <c r="L818" s="125">
        <f>Lista!K817</f>
        <v>0</v>
      </c>
      <c r="M818" s="125">
        <f>Lista!L817</f>
        <v>0</v>
      </c>
      <c r="N818" s="125">
        <f>Lista!M817</f>
        <v>0</v>
      </c>
      <c r="O818" s="125">
        <f>Lista!N817</f>
        <v>0</v>
      </c>
      <c r="P818" s="125">
        <f>Lista!O817</f>
        <v>0</v>
      </c>
      <c r="Q818" s="125">
        <f>Lista!P817</f>
        <v>0</v>
      </c>
      <c r="R818" s="125">
        <f>Lista!Q817</f>
        <v>0</v>
      </c>
      <c r="S818" s="125">
        <f>Lista!R817</f>
        <v>0</v>
      </c>
      <c r="T818" s="81"/>
      <c r="U818" s="81"/>
      <c r="V818" s="81"/>
      <c r="W818" s="81"/>
      <c r="X818" s="81"/>
      <c r="Y818" s="81"/>
      <c r="Z818" s="81"/>
      <c r="AA818" s="81"/>
      <c r="AB818" s="81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  <c r="BS818" s="81"/>
      <c r="BT818" s="81"/>
      <c r="BU818" s="81"/>
      <c r="BV818" s="81"/>
      <c r="BW818" s="81"/>
      <c r="BX818" s="81"/>
      <c r="BY818" s="81"/>
      <c r="BZ818" s="81"/>
      <c r="CA818" s="81"/>
      <c r="CB818" s="81"/>
      <c r="CC818" s="81"/>
      <c r="CD818" s="81"/>
      <c r="CE818" s="81"/>
      <c r="CF818" s="81"/>
      <c r="CG818" s="81"/>
      <c r="CH818" s="81"/>
      <c r="CI818" s="81"/>
      <c r="CJ818" s="81"/>
      <c r="CK818" s="81"/>
      <c r="CL818" s="81"/>
      <c r="CM818" s="81"/>
      <c r="CN818" s="81"/>
      <c r="CO818" s="81"/>
      <c r="CP818" s="81"/>
      <c r="CQ818" s="81"/>
      <c r="CR818" s="81"/>
      <c r="CS818" s="81"/>
      <c r="CT818" s="81"/>
      <c r="CU818" s="81"/>
      <c r="CV818" s="81"/>
      <c r="CW818" s="81"/>
      <c r="CX818" s="81"/>
      <c r="CY818" s="81"/>
      <c r="CZ818" s="81"/>
      <c r="DA818" s="81"/>
      <c r="DB818" s="81"/>
      <c r="DC818" s="81"/>
      <c r="DD818" s="81"/>
      <c r="DE818" s="81"/>
      <c r="DF818" s="81"/>
      <c r="DG818" s="81"/>
      <c r="DH818" s="81"/>
      <c r="DI818" s="81"/>
      <c r="DJ818" s="81"/>
      <c r="DK818" s="81"/>
      <c r="DL818" s="81"/>
      <c r="DM818" s="81"/>
      <c r="DN818" s="81"/>
      <c r="DO818" s="81"/>
      <c r="DP818" s="81"/>
      <c r="DQ818" s="81"/>
      <c r="DR818" s="81"/>
      <c r="DS818" s="81"/>
      <c r="DT818" s="81"/>
      <c r="DU818" s="81"/>
      <c r="DV818" s="81"/>
      <c r="DW818" s="121"/>
    </row>
    <row r="819" spans="1:127" x14ac:dyDescent="0.25">
      <c r="A819" s="2">
        <f>COUNTIF($D$2:D819,'Reporte de Nomina'!$E$2)</f>
        <v>0</v>
      </c>
      <c r="B819" s="125">
        <f>Lista!A818</f>
        <v>0</v>
      </c>
      <c r="C819" s="125">
        <f>Lista!B818</f>
        <v>0</v>
      </c>
      <c r="D819" s="125">
        <f>Lista!C818</f>
        <v>0</v>
      </c>
      <c r="E819" s="125">
        <f>Lista!D818</f>
        <v>0</v>
      </c>
      <c r="F819" s="125">
        <f>Lista!E818</f>
        <v>0</v>
      </c>
      <c r="G819" s="125">
        <f>Lista!F818</f>
        <v>0</v>
      </c>
      <c r="H819" s="125">
        <f>Lista!G818</f>
        <v>0</v>
      </c>
      <c r="I819" s="125">
        <f>Lista!H818</f>
        <v>0</v>
      </c>
      <c r="J819" s="125">
        <f>Lista!I818</f>
        <v>0</v>
      </c>
      <c r="K819" s="125">
        <f>Lista!J818</f>
        <v>0</v>
      </c>
      <c r="L819" s="125">
        <f>Lista!K818</f>
        <v>0</v>
      </c>
      <c r="M819" s="125">
        <f>Lista!L818</f>
        <v>0</v>
      </c>
      <c r="N819" s="125">
        <f>Lista!M818</f>
        <v>0</v>
      </c>
      <c r="O819" s="125">
        <f>Lista!N818</f>
        <v>0</v>
      </c>
      <c r="P819" s="125">
        <f>Lista!O818</f>
        <v>0</v>
      </c>
      <c r="Q819" s="125">
        <f>Lista!P818</f>
        <v>0</v>
      </c>
      <c r="R819" s="125">
        <f>Lista!Q818</f>
        <v>0</v>
      </c>
      <c r="S819" s="125">
        <f>Lista!R818</f>
        <v>0</v>
      </c>
      <c r="T819" s="81"/>
      <c r="U819" s="81"/>
      <c r="V819" s="81"/>
      <c r="W819" s="81"/>
      <c r="X819" s="81"/>
      <c r="Y819" s="81"/>
      <c r="Z819" s="81"/>
      <c r="AA819" s="81"/>
      <c r="AB819" s="81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  <c r="BS819" s="81"/>
      <c r="BT819" s="81"/>
      <c r="BU819" s="81"/>
      <c r="BV819" s="81"/>
      <c r="BW819" s="81"/>
      <c r="BX819" s="81"/>
      <c r="BY819" s="81"/>
      <c r="BZ819" s="81"/>
      <c r="CA819" s="81"/>
      <c r="CB819" s="81"/>
      <c r="CC819" s="81"/>
      <c r="CD819" s="81"/>
      <c r="CE819" s="81"/>
      <c r="CF819" s="81"/>
      <c r="CG819" s="81"/>
      <c r="CH819" s="81"/>
      <c r="CI819" s="81"/>
      <c r="CJ819" s="81"/>
      <c r="CK819" s="81"/>
      <c r="CL819" s="81"/>
      <c r="CM819" s="81"/>
      <c r="CN819" s="81"/>
      <c r="CO819" s="81"/>
      <c r="CP819" s="81"/>
      <c r="CQ819" s="81"/>
      <c r="CR819" s="81"/>
      <c r="CS819" s="81"/>
      <c r="CT819" s="81"/>
      <c r="CU819" s="81"/>
      <c r="CV819" s="81"/>
      <c r="CW819" s="81"/>
      <c r="CX819" s="81"/>
      <c r="CY819" s="81"/>
      <c r="CZ819" s="81"/>
      <c r="DA819" s="81"/>
      <c r="DB819" s="81"/>
      <c r="DC819" s="81"/>
      <c r="DD819" s="81"/>
      <c r="DE819" s="81"/>
      <c r="DF819" s="81"/>
      <c r="DG819" s="81"/>
      <c r="DH819" s="81"/>
      <c r="DI819" s="81"/>
      <c r="DJ819" s="81"/>
      <c r="DK819" s="81"/>
      <c r="DL819" s="81"/>
      <c r="DM819" s="81"/>
      <c r="DN819" s="81"/>
      <c r="DO819" s="81"/>
      <c r="DP819" s="81"/>
      <c r="DQ819" s="81"/>
      <c r="DR819" s="81"/>
      <c r="DS819" s="81"/>
      <c r="DT819" s="81"/>
      <c r="DU819" s="81"/>
      <c r="DV819" s="81"/>
      <c r="DW819" s="121"/>
    </row>
    <row r="820" spans="1:127" x14ac:dyDescent="0.25">
      <c r="A820" s="2">
        <f>COUNTIF($D$2:D820,'Reporte de Nomina'!$E$2)</f>
        <v>0</v>
      </c>
      <c r="B820" s="125">
        <f>Lista!A819</f>
        <v>0</v>
      </c>
      <c r="C820" s="125">
        <f>Lista!B819</f>
        <v>0</v>
      </c>
      <c r="D820" s="125">
        <f>Lista!C819</f>
        <v>0</v>
      </c>
      <c r="E820" s="125">
        <f>Lista!D819</f>
        <v>0</v>
      </c>
      <c r="F820" s="125">
        <f>Lista!E819</f>
        <v>0</v>
      </c>
      <c r="G820" s="125">
        <f>Lista!F819</f>
        <v>0</v>
      </c>
      <c r="H820" s="125">
        <f>Lista!G819</f>
        <v>0</v>
      </c>
      <c r="I820" s="125">
        <f>Lista!H819</f>
        <v>0</v>
      </c>
      <c r="J820" s="125">
        <f>Lista!I819</f>
        <v>0</v>
      </c>
      <c r="K820" s="125">
        <f>Lista!J819</f>
        <v>0</v>
      </c>
      <c r="L820" s="125">
        <f>Lista!K819</f>
        <v>0</v>
      </c>
      <c r="M820" s="125">
        <f>Lista!L819</f>
        <v>0</v>
      </c>
      <c r="N820" s="125">
        <f>Lista!M819</f>
        <v>0</v>
      </c>
      <c r="O820" s="125">
        <f>Lista!N819</f>
        <v>0</v>
      </c>
      <c r="P820" s="125">
        <f>Lista!O819</f>
        <v>0</v>
      </c>
      <c r="Q820" s="125">
        <f>Lista!P819</f>
        <v>0</v>
      </c>
      <c r="R820" s="125">
        <f>Lista!Q819</f>
        <v>0</v>
      </c>
      <c r="S820" s="125">
        <f>Lista!R819</f>
        <v>0</v>
      </c>
      <c r="T820" s="81"/>
      <c r="U820" s="81"/>
      <c r="V820" s="81"/>
      <c r="W820" s="81"/>
      <c r="X820" s="81"/>
      <c r="Y820" s="81"/>
      <c r="Z820" s="81"/>
      <c r="AA820" s="81"/>
      <c r="AB820" s="81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  <c r="BS820" s="81"/>
      <c r="BT820" s="81"/>
      <c r="BU820" s="81"/>
      <c r="BV820" s="81"/>
      <c r="BW820" s="81"/>
      <c r="BX820" s="81"/>
      <c r="BY820" s="81"/>
      <c r="BZ820" s="81"/>
      <c r="CA820" s="81"/>
      <c r="CB820" s="81"/>
      <c r="CC820" s="81"/>
      <c r="CD820" s="81"/>
      <c r="CE820" s="81"/>
      <c r="CF820" s="81"/>
      <c r="CG820" s="81"/>
      <c r="CH820" s="81"/>
      <c r="CI820" s="81"/>
      <c r="CJ820" s="81"/>
      <c r="CK820" s="81"/>
      <c r="CL820" s="81"/>
      <c r="CM820" s="81"/>
      <c r="CN820" s="81"/>
      <c r="CO820" s="81"/>
      <c r="CP820" s="81"/>
      <c r="CQ820" s="81"/>
      <c r="CR820" s="81"/>
      <c r="CS820" s="81"/>
      <c r="CT820" s="81"/>
      <c r="CU820" s="81"/>
      <c r="CV820" s="81"/>
      <c r="CW820" s="81"/>
      <c r="CX820" s="81"/>
      <c r="CY820" s="81"/>
      <c r="CZ820" s="81"/>
      <c r="DA820" s="81"/>
      <c r="DB820" s="81"/>
      <c r="DC820" s="81"/>
      <c r="DD820" s="81"/>
      <c r="DE820" s="81"/>
      <c r="DF820" s="81"/>
      <c r="DG820" s="81"/>
      <c r="DH820" s="81"/>
      <c r="DI820" s="81"/>
      <c r="DJ820" s="81"/>
      <c r="DK820" s="81"/>
      <c r="DL820" s="81"/>
      <c r="DM820" s="81"/>
      <c r="DN820" s="81"/>
      <c r="DO820" s="81"/>
      <c r="DP820" s="81"/>
      <c r="DQ820" s="81"/>
      <c r="DR820" s="81"/>
      <c r="DS820" s="81"/>
      <c r="DT820" s="81"/>
      <c r="DU820" s="81"/>
      <c r="DV820" s="81"/>
      <c r="DW820" s="121"/>
    </row>
    <row r="821" spans="1:127" x14ac:dyDescent="0.25">
      <c r="A821" s="2">
        <f>COUNTIF($D$2:D821,'Reporte de Nomina'!$E$2)</f>
        <v>0</v>
      </c>
      <c r="B821" s="125">
        <f>Lista!A820</f>
        <v>0</v>
      </c>
      <c r="C821" s="125">
        <f>Lista!B820</f>
        <v>0</v>
      </c>
      <c r="D821" s="125">
        <f>Lista!C820</f>
        <v>0</v>
      </c>
      <c r="E821" s="125">
        <f>Lista!D820</f>
        <v>0</v>
      </c>
      <c r="F821" s="125">
        <f>Lista!E820</f>
        <v>0</v>
      </c>
      <c r="G821" s="125">
        <f>Lista!F820</f>
        <v>0</v>
      </c>
      <c r="H821" s="125">
        <f>Lista!G820</f>
        <v>0</v>
      </c>
      <c r="I821" s="125">
        <f>Lista!H820</f>
        <v>0</v>
      </c>
      <c r="J821" s="125">
        <f>Lista!I820</f>
        <v>0</v>
      </c>
      <c r="K821" s="125">
        <f>Lista!J820</f>
        <v>0</v>
      </c>
      <c r="L821" s="125">
        <f>Lista!K820</f>
        <v>0</v>
      </c>
      <c r="M821" s="125">
        <f>Lista!L820</f>
        <v>0</v>
      </c>
      <c r="N821" s="125">
        <f>Lista!M820</f>
        <v>0</v>
      </c>
      <c r="O821" s="125">
        <f>Lista!N820</f>
        <v>0</v>
      </c>
      <c r="P821" s="125">
        <f>Lista!O820</f>
        <v>0</v>
      </c>
      <c r="Q821" s="125">
        <f>Lista!P820</f>
        <v>0</v>
      </c>
      <c r="R821" s="125">
        <f>Lista!Q820</f>
        <v>0</v>
      </c>
      <c r="S821" s="125">
        <f>Lista!R820</f>
        <v>0</v>
      </c>
      <c r="T821" s="81"/>
      <c r="U821" s="81"/>
      <c r="V821" s="81"/>
      <c r="W821" s="81"/>
      <c r="X821" s="81"/>
      <c r="Y821" s="81"/>
      <c r="Z821" s="81"/>
      <c r="AA821" s="81"/>
      <c r="AB821" s="81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  <c r="BS821" s="81"/>
      <c r="BT821" s="81"/>
      <c r="BU821" s="81"/>
      <c r="BV821" s="81"/>
      <c r="BW821" s="81"/>
      <c r="BX821" s="81"/>
      <c r="BY821" s="81"/>
      <c r="BZ821" s="81"/>
      <c r="CA821" s="81"/>
      <c r="CB821" s="81"/>
      <c r="CC821" s="81"/>
      <c r="CD821" s="81"/>
      <c r="CE821" s="81"/>
      <c r="CF821" s="81"/>
      <c r="CG821" s="81"/>
      <c r="CH821" s="81"/>
      <c r="CI821" s="81"/>
      <c r="CJ821" s="81"/>
      <c r="CK821" s="81"/>
      <c r="CL821" s="81"/>
      <c r="CM821" s="81"/>
      <c r="CN821" s="81"/>
      <c r="CO821" s="81"/>
      <c r="CP821" s="81"/>
      <c r="CQ821" s="81"/>
      <c r="CR821" s="81"/>
      <c r="CS821" s="81"/>
      <c r="CT821" s="81"/>
      <c r="CU821" s="81"/>
      <c r="CV821" s="81"/>
      <c r="CW821" s="81"/>
      <c r="CX821" s="81"/>
      <c r="CY821" s="81"/>
      <c r="CZ821" s="81"/>
      <c r="DA821" s="81"/>
      <c r="DB821" s="81"/>
      <c r="DC821" s="81"/>
      <c r="DD821" s="81"/>
      <c r="DE821" s="81"/>
      <c r="DF821" s="81"/>
      <c r="DG821" s="81"/>
      <c r="DH821" s="81"/>
      <c r="DI821" s="81"/>
      <c r="DJ821" s="81"/>
      <c r="DK821" s="81"/>
      <c r="DL821" s="81"/>
      <c r="DM821" s="81"/>
      <c r="DN821" s="81"/>
      <c r="DO821" s="81"/>
      <c r="DP821" s="81"/>
      <c r="DQ821" s="81"/>
      <c r="DR821" s="81"/>
      <c r="DS821" s="81"/>
      <c r="DT821" s="81"/>
      <c r="DU821" s="81"/>
      <c r="DV821" s="81"/>
      <c r="DW821" s="121"/>
    </row>
    <row r="822" spans="1:127" x14ac:dyDescent="0.25">
      <c r="A822" s="2">
        <f>COUNTIF($D$2:D822,'Reporte de Nomina'!$E$2)</f>
        <v>0</v>
      </c>
      <c r="B822" s="125">
        <f>Lista!A821</f>
        <v>0</v>
      </c>
      <c r="C822" s="125">
        <f>Lista!B821</f>
        <v>0</v>
      </c>
      <c r="D822" s="125">
        <f>Lista!C821</f>
        <v>0</v>
      </c>
      <c r="E822" s="125">
        <f>Lista!D821</f>
        <v>0</v>
      </c>
      <c r="F822" s="125">
        <f>Lista!E821</f>
        <v>0</v>
      </c>
      <c r="G822" s="125">
        <f>Lista!F821</f>
        <v>0</v>
      </c>
      <c r="H822" s="125">
        <f>Lista!G821</f>
        <v>0</v>
      </c>
      <c r="I822" s="125">
        <f>Lista!H821</f>
        <v>0</v>
      </c>
      <c r="J822" s="125">
        <f>Lista!I821</f>
        <v>0</v>
      </c>
      <c r="K822" s="125">
        <f>Lista!J821</f>
        <v>0</v>
      </c>
      <c r="L822" s="125">
        <f>Lista!K821</f>
        <v>0</v>
      </c>
      <c r="M822" s="125">
        <f>Lista!L821</f>
        <v>0</v>
      </c>
      <c r="N822" s="125">
        <f>Lista!M821</f>
        <v>0</v>
      </c>
      <c r="O822" s="125">
        <f>Lista!N821</f>
        <v>0</v>
      </c>
      <c r="P822" s="125">
        <f>Lista!O821</f>
        <v>0</v>
      </c>
      <c r="Q822" s="125">
        <f>Lista!P821</f>
        <v>0</v>
      </c>
      <c r="R822" s="125">
        <f>Lista!Q821</f>
        <v>0</v>
      </c>
      <c r="S822" s="125">
        <f>Lista!R821</f>
        <v>0</v>
      </c>
      <c r="T822" s="81"/>
      <c r="U822" s="81"/>
      <c r="V822" s="81"/>
      <c r="W822" s="81"/>
      <c r="X822" s="81"/>
      <c r="Y822" s="81"/>
      <c r="Z822" s="81"/>
      <c r="AA822" s="81"/>
      <c r="AB822" s="81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  <c r="BS822" s="81"/>
      <c r="BT822" s="81"/>
      <c r="BU822" s="81"/>
      <c r="BV822" s="81"/>
      <c r="BW822" s="81"/>
      <c r="BX822" s="81"/>
      <c r="BY822" s="81"/>
      <c r="BZ822" s="81"/>
      <c r="CA822" s="81"/>
      <c r="CB822" s="81"/>
      <c r="CC822" s="81"/>
      <c r="CD822" s="81"/>
      <c r="CE822" s="81"/>
      <c r="CF822" s="81"/>
      <c r="CG822" s="81"/>
      <c r="CH822" s="81"/>
      <c r="CI822" s="81"/>
      <c r="CJ822" s="81"/>
      <c r="CK822" s="81"/>
      <c r="CL822" s="81"/>
      <c r="CM822" s="81"/>
      <c r="CN822" s="81"/>
      <c r="CO822" s="81"/>
      <c r="CP822" s="81"/>
      <c r="CQ822" s="81"/>
      <c r="CR822" s="81"/>
      <c r="CS822" s="81"/>
      <c r="CT822" s="81"/>
      <c r="CU822" s="81"/>
      <c r="CV822" s="81"/>
      <c r="CW822" s="81"/>
      <c r="CX822" s="81"/>
      <c r="CY822" s="81"/>
      <c r="CZ822" s="81"/>
      <c r="DA822" s="81"/>
      <c r="DB822" s="81"/>
      <c r="DC822" s="81"/>
      <c r="DD822" s="81"/>
      <c r="DE822" s="81"/>
      <c r="DF822" s="81"/>
      <c r="DG822" s="81"/>
      <c r="DH822" s="81"/>
      <c r="DI822" s="81"/>
      <c r="DJ822" s="81"/>
      <c r="DK822" s="81"/>
      <c r="DL822" s="81"/>
      <c r="DM822" s="81"/>
      <c r="DN822" s="81"/>
      <c r="DO822" s="81"/>
      <c r="DP822" s="81"/>
      <c r="DQ822" s="81"/>
      <c r="DR822" s="81"/>
      <c r="DS822" s="81"/>
      <c r="DT822" s="81"/>
      <c r="DU822" s="81"/>
      <c r="DV822" s="81"/>
      <c r="DW822" s="121"/>
    </row>
    <row r="823" spans="1:127" x14ac:dyDescent="0.25">
      <c r="A823" s="2">
        <f>COUNTIF($D$2:D823,'Reporte de Nomina'!$E$2)</f>
        <v>0</v>
      </c>
      <c r="B823" s="125">
        <f>Lista!A822</f>
        <v>0</v>
      </c>
      <c r="C823" s="125">
        <f>Lista!B822</f>
        <v>0</v>
      </c>
      <c r="D823" s="125">
        <f>Lista!C822</f>
        <v>0</v>
      </c>
      <c r="E823" s="125">
        <f>Lista!D822</f>
        <v>0</v>
      </c>
      <c r="F823" s="125">
        <f>Lista!E822</f>
        <v>0</v>
      </c>
      <c r="G823" s="125">
        <f>Lista!F822</f>
        <v>0</v>
      </c>
      <c r="H823" s="125">
        <f>Lista!G822</f>
        <v>0</v>
      </c>
      <c r="I823" s="125">
        <f>Lista!H822</f>
        <v>0</v>
      </c>
      <c r="J823" s="125">
        <f>Lista!I822</f>
        <v>0</v>
      </c>
      <c r="K823" s="125">
        <f>Lista!J822</f>
        <v>0</v>
      </c>
      <c r="L823" s="125">
        <f>Lista!K822</f>
        <v>0</v>
      </c>
      <c r="M823" s="125">
        <f>Lista!L822</f>
        <v>0</v>
      </c>
      <c r="N823" s="125">
        <f>Lista!M822</f>
        <v>0</v>
      </c>
      <c r="O823" s="125">
        <f>Lista!N822</f>
        <v>0</v>
      </c>
      <c r="P823" s="125">
        <f>Lista!O822</f>
        <v>0</v>
      </c>
      <c r="Q823" s="125">
        <f>Lista!P822</f>
        <v>0</v>
      </c>
      <c r="R823" s="125">
        <f>Lista!Q822</f>
        <v>0</v>
      </c>
      <c r="S823" s="125">
        <f>Lista!R822</f>
        <v>0</v>
      </c>
      <c r="T823" s="81"/>
      <c r="U823" s="81"/>
      <c r="V823" s="81"/>
      <c r="W823" s="81"/>
      <c r="X823" s="81"/>
      <c r="Y823" s="81"/>
      <c r="Z823" s="81"/>
      <c r="AA823" s="81"/>
      <c r="AB823" s="81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  <c r="BS823" s="81"/>
      <c r="BT823" s="81"/>
      <c r="BU823" s="81"/>
      <c r="BV823" s="81"/>
      <c r="BW823" s="81"/>
      <c r="BX823" s="81"/>
      <c r="BY823" s="81"/>
      <c r="BZ823" s="81"/>
      <c r="CA823" s="81"/>
      <c r="CB823" s="81"/>
      <c r="CC823" s="81"/>
      <c r="CD823" s="81"/>
      <c r="CE823" s="81"/>
      <c r="CF823" s="81"/>
      <c r="CG823" s="81"/>
      <c r="CH823" s="81"/>
      <c r="CI823" s="81"/>
      <c r="CJ823" s="81"/>
      <c r="CK823" s="81"/>
      <c r="CL823" s="81"/>
      <c r="CM823" s="81"/>
      <c r="CN823" s="81"/>
      <c r="CO823" s="81"/>
      <c r="CP823" s="81"/>
      <c r="CQ823" s="81"/>
      <c r="CR823" s="81"/>
      <c r="CS823" s="81"/>
      <c r="CT823" s="81"/>
      <c r="CU823" s="81"/>
      <c r="CV823" s="81"/>
      <c r="CW823" s="81"/>
      <c r="CX823" s="81"/>
      <c r="CY823" s="81"/>
      <c r="CZ823" s="81"/>
      <c r="DA823" s="81"/>
      <c r="DB823" s="81"/>
      <c r="DC823" s="81"/>
      <c r="DD823" s="81"/>
      <c r="DE823" s="81"/>
      <c r="DF823" s="81"/>
      <c r="DG823" s="81"/>
      <c r="DH823" s="81"/>
      <c r="DI823" s="81"/>
      <c r="DJ823" s="81"/>
      <c r="DK823" s="81"/>
      <c r="DL823" s="81"/>
      <c r="DM823" s="81"/>
      <c r="DN823" s="81"/>
      <c r="DO823" s="81"/>
      <c r="DP823" s="81"/>
      <c r="DQ823" s="81"/>
      <c r="DR823" s="81"/>
      <c r="DS823" s="81"/>
      <c r="DT823" s="81"/>
      <c r="DU823" s="81"/>
      <c r="DV823" s="81"/>
      <c r="DW823" s="121"/>
    </row>
    <row r="824" spans="1:127" x14ac:dyDescent="0.25">
      <c r="A824" s="2">
        <f>COUNTIF($D$2:D824,'Reporte de Nomina'!$E$2)</f>
        <v>0</v>
      </c>
      <c r="B824" s="125">
        <f>Lista!A823</f>
        <v>0</v>
      </c>
      <c r="C824" s="125">
        <f>Lista!B823</f>
        <v>0</v>
      </c>
      <c r="D824" s="125">
        <f>Lista!C823</f>
        <v>0</v>
      </c>
      <c r="E824" s="125">
        <f>Lista!D823</f>
        <v>0</v>
      </c>
      <c r="F824" s="125">
        <f>Lista!E823</f>
        <v>0</v>
      </c>
      <c r="G824" s="125">
        <f>Lista!F823</f>
        <v>0</v>
      </c>
      <c r="H824" s="125">
        <f>Lista!G823</f>
        <v>0</v>
      </c>
      <c r="I824" s="125">
        <f>Lista!H823</f>
        <v>0</v>
      </c>
      <c r="J824" s="125">
        <f>Lista!I823</f>
        <v>0</v>
      </c>
      <c r="K824" s="125">
        <f>Lista!J823</f>
        <v>0</v>
      </c>
      <c r="L824" s="125">
        <f>Lista!K823</f>
        <v>0</v>
      </c>
      <c r="M824" s="125">
        <f>Lista!L823</f>
        <v>0</v>
      </c>
      <c r="N824" s="125">
        <f>Lista!M823</f>
        <v>0</v>
      </c>
      <c r="O824" s="125">
        <f>Lista!N823</f>
        <v>0</v>
      </c>
      <c r="P824" s="125">
        <f>Lista!O823</f>
        <v>0</v>
      </c>
      <c r="Q824" s="125">
        <f>Lista!P823</f>
        <v>0</v>
      </c>
      <c r="R824" s="125">
        <f>Lista!Q823</f>
        <v>0</v>
      </c>
      <c r="S824" s="125">
        <f>Lista!R823</f>
        <v>0</v>
      </c>
      <c r="T824" s="81"/>
      <c r="U824" s="81"/>
      <c r="V824" s="81"/>
      <c r="W824" s="81"/>
      <c r="X824" s="81"/>
      <c r="Y824" s="81"/>
      <c r="Z824" s="81"/>
      <c r="AA824" s="81"/>
      <c r="AB824" s="81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  <c r="BS824" s="81"/>
      <c r="BT824" s="81"/>
      <c r="BU824" s="81"/>
      <c r="BV824" s="81"/>
      <c r="BW824" s="81"/>
      <c r="BX824" s="81"/>
      <c r="BY824" s="81"/>
      <c r="BZ824" s="81"/>
      <c r="CA824" s="81"/>
      <c r="CB824" s="81"/>
      <c r="CC824" s="81"/>
      <c r="CD824" s="81"/>
      <c r="CE824" s="81"/>
      <c r="CF824" s="81"/>
      <c r="CG824" s="81"/>
      <c r="CH824" s="81"/>
      <c r="CI824" s="81"/>
      <c r="CJ824" s="81"/>
      <c r="CK824" s="81"/>
      <c r="CL824" s="81"/>
      <c r="CM824" s="81"/>
      <c r="CN824" s="81"/>
      <c r="CO824" s="81"/>
      <c r="CP824" s="81"/>
      <c r="CQ824" s="81"/>
      <c r="CR824" s="81"/>
      <c r="CS824" s="81"/>
      <c r="CT824" s="81"/>
      <c r="CU824" s="81"/>
      <c r="CV824" s="81"/>
      <c r="CW824" s="81"/>
      <c r="CX824" s="81"/>
      <c r="CY824" s="81"/>
      <c r="CZ824" s="81"/>
      <c r="DA824" s="81"/>
      <c r="DB824" s="81"/>
      <c r="DC824" s="81"/>
      <c r="DD824" s="81"/>
      <c r="DE824" s="81"/>
      <c r="DF824" s="81"/>
      <c r="DG824" s="81"/>
      <c r="DH824" s="81"/>
      <c r="DI824" s="81"/>
      <c r="DJ824" s="81"/>
      <c r="DK824" s="81"/>
      <c r="DL824" s="81"/>
      <c r="DM824" s="81"/>
      <c r="DN824" s="81"/>
      <c r="DO824" s="81"/>
      <c r="DP824" s="81"/>
      <c r="DQ824" s="81"/>
      <c r="DR824" s="81"/>
      <c r="DS824" s="81"/>
      <c r="DT824" s="81"/>
      <c r="DU824" s="81"/>
      <c r="DV824" s="81"/>
      <c r="DW824" s="121"/>
    </row>
    <row r="825" spans="1:127" x14ac:dyDescent="0.25">
      <c r="A825" s="2">
        <f>COUNTIF($D$2:D825,'Reporte de Nomina'!$E$2)</f>
        <v>0</v>
      </c>
      <c r="B825" s="125">
        <f>Lista!A824</f>
        <v>0</v>
      </c>
      <c r="C825" s="125">
        <f>Lista!B824</f>
        <v>0</v>
      </c>
      <c r="D825" s="125">
        <f>Lista!C824</f>
        <v>0</v>
      </c>
      <c r="E825" s="125">
        <f>Lista!D824</f>
        <v>0</v>
      </c>
      <c r="F825" s="125">
        <f>Lista!E824</f>
        <v>0</v>
      </c>
      <c r="G825" s="125">
        <f>Lista!F824</f>
        <v>0</v>
      </c>
      <c r="H825" s="125">
        <f>Lista!G824</f>
        <v>0</v>
      </c>
      <c r="I825" s="125">
        <f>Lista!H824</f>
        <v>0</v>
      </c>
      <c r="J825" s="125">
        <f>Lista!I824</f>
        <v>0</v>
      </c>
      <c r="K825" s="125">
        <f>Lista!J824</f>
        <v>0</v>
      </c>
      <c r="L825" s="125">
        <f>Lista!K824</f>
        <v>0</v>
      </c>
      <c r="M825" s="125">
        <f>Lista!L824</f>
        <v>0</v>
      </c>
      <c r="N825" s="125">
        <f>Lista!M824</f>
        <v>0</v>
      </c>
      <c r="O825" s="125">
        <f>Lista!N824</f>
        <v>0</v>
      </c>
      <c r="P825" s="125">
        <f>Lista!O824</f>
        <v>0</v>
      </c>
      <c r="Q825" s="125">
        <f>Lista!P824</f>
        <v>0</v>
      </c>
      <c r="R825" s="125">
        <f>Lista!Q824</f>
        <v>0</v>
      </c>
      <c r="S825" s="125">
        <f>Lista!R824</f>
        <v>0</v>
      </c>
      <c r="T825" s="81"/>
      <c r="U825" s="81"/>
      <c r="V825" s="81"/>
      <c r="W825" s="81"/>
      <c r="X825" s="81"/>
      <c r="Y825" s="81"/>
      <c r="Z825" s="81"/>
      <c r="AA825" s="81"/>
      <c r="AB825" s="81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  <c r="BS825" s="81"/>
      <c r="BT825" s="81"/>
      <c r="BU825" s="81"/>
      <c r="BV825" s="81"/>
      <c r="BW825" s="81"/>
      <c r="BX825" s="81"/>
      <c r="BY825" s="81"/>
      <c r="BZ825" s="81"/>
      <c r="CA825" s="81"/>
      <c r="CB825" s="81"/>
      <c r="CC825" s="81"/>
      <c r="CD825" s="81"/>
      <c r="CE825" s="81"/>
      <c r="CF825" s="81"/>
      <c r="CG825" s="81"/>
      <c r="CH825" s="81"/>
      <c r="CI825" s="81"/>
      <c r="CJ825" s="81"/>
      <c r="CK825" s="81"/>
      <c r="CL825" s="81"/>
      <c r="CM825" s="81"/>
      <c r="CN825" s="81"/>
      <c r="CO825" s="81"/>
      <c r="CP825" s="81"/>
      <c r="CQ825" s="81"/>
      <c r="CR825" s="81"/>
      <c r="CS825" s="81"/>
      <c r="CT825" s="81"/>
      <c r="CU825" s="81"/>
      <c r="CV825" s="81"/>
      <c r="CW825" s="81"/>
      <c r="CX825" s="81"/>
      <c r="CY825" s="81"/>
      <c r="CZ825" s="81"/>
      <c r="DA825" s="81"/>
      <c r="DB825" s="81"/>
      <c r="DC825" s="81"/>
      <c r="DD825" s="81"/>
      <c r="DE825" s="81"/>
      <c r="DF825" s="81"/>
      <c r="DG825" s="81"/>
      <c r="DH825" s="81"/>
      <c r="DI825" s="81"/>
      <c r="DJ825" s="81"/>
      <c r="DK825" s="81"/>
      <c r="DL825" s="81"/>
      <c r="DM825" s="81"/>
      <c r="DN825" s="81"/>
      <c r="DO825" s="81"/>
      <c r="DP825" s="81"/>
      <c r="DQ825" s="81"/>
      <c r="DR825" s="81"/>
      <c r="DS825" s="81"/>
      <c r="DT825" s="81"/>
      <c r="DU825" s="81"/>
      <c r="DV825" s="81"/>
      <c r="DW825" s="121"/>
    </row>
    <row r="826" spans="1:127" x14ac:dyDescent="0.25">
      <c r="A826" s="2">
        <f>COUNTIF($D$2:D826,'Reporte de Nomina'!$E$2)</f>
        <v>0</v>
      </c>
      <c r="B826" s="125">
        <f>Lista!A825</f>
        <v>0</v>
      </c>
      <c r="C826" s="125">
        <f>Lista!B825</f>
        <v>0</v>
      </c>
      <c r="D826" s="125">
        <f>Lista!C825</f>
        <v>0</v>
      </c>
      <c r="E826" s="125">
        <f>Lista!D825</f>
        <v>0</v>
      </c>
      <c r="F826" s="125">
        <f>Lista!E825</f>
        <v>0</v>
      </c>
      <c r="G826" s="125">
        <f>Lista!F825</f>
        <v>0</v>
      </c>
      <c r="H826" s="125">
        <f>Lista!G825</f>
        <v>0</v>
      </c>
      <c r="I826" s="125">
        <f>Lista!H825</f>
        <v>0</v>
      </c>
      <c r="J826" s="125">
        <f>Lista!I825</f>
        <v>0</v>
      </c>
      <c r="K826" s="125">
        <f>Lista!J825</f>
        <v>0</v>
      </c>
      <c r="L826" s="125">
        <f>Lista!K825</f>
        <v>0</v>
      </c>
      <c r="M826" s="125">
        <f>Lista!L825</f>
        <v>0</v>
      </c>
      <c r="N826" s="125">
        <f>Lista!M825</f>
        <v>0</v>
      </c>
      <c r="O826" s="125">
        <f>Lista!N825</f>
        <v>0</v>
      </c>
      <c r="P826" s="125">
        <f>Lista!O825</f>
        <v>0</v>
      </c>
      <c r="Q826" s="125">
        <f>Lista!P825</f>
        <v>0</v>
      </c>
      <c r="R826" s="125">
        <f>Lista!Q825</f>
        <v>0</v>
      </c>
      <c r="S826" s="125">
        <f>Lista!R825</f>
        <v>0</v>
      </c>
      <c r="T826" s="81"/>
      <c r="U826" s="81"/>
      <c r="V826" s="81"/>
      <c r="W826" s="81"/>
      <c r="X826" s="81"/>
      <c r="Y826" s="81"/>
      <c r="Z826" s="81"/>
      <c r="AA826" s="81"/>
      <c r="AB826" s="81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  <c r="BS826" s="81"/>
      <c r="BT826" s="81"/>
      <c r="BU826" s="81"/>
      <c r="BV826" s="81"/>
      <c r="BW826" s="81"/>
      <c r="BX826" s="81"/>
      <c r="BY826" s="81"/>
      <c r="BZ826" s="81"/>
      <c r="CA826" s="81"/>
      <c r="CB826" s="81"/>
      <c r="CC826" s="81"/>
      <c r="CD826" s="81"/>
      <c r="CE826" s="81"/>
      <c r="CF826" s="81"/>
      <c r="CG826" s="81"/>
      <c r="CH826" s="81"/>
      <c r="CI826" s="81"/>
      <c r="CJ826" s="81"/>
      <c r="CK826" s="81"/>
      <c r="CL826" s="81"/>
      <c r="CM826" s="81"/>
      <c r="CN826" s="81"/>
      <c r="CO826" s="81"/>
      <c r="CP826" s="81"/>
      <c r="CQ826" s="81"/>
      <c r="CR826" s="81"/>
      <c r="CS826" s="81"/>
      <c r="CT826" s="81"/>
      <c r="CU826" s="81"/>
      <c r="CV826" s="81"/>
      <c r="CW826" s="81"/>
      <c r="CX826" s="81"/>
      <c r="CY826" s="81"/>
      <c r="CZ826" s="81"/>
      <c r="DA826" s="81"/>
      <c r="DB826" s="81"/>
      <c r="DC826" s="81"/>
      <c r="DD826" s="81"/>
      <c r="DE826" s="81"/>
      <c r="DF826" s="81"/>
      <c r="DG826" s="81"/>
      <c r="DH826" s="81"/>
      <c r="DI826" s="81"/>
      <c r="DJ826" s="81"/>
      <c r="DK826" s="81"/>
      <c r="DL826" s="81"/>
      <c r="DM826" s="81"/>
      <c r="DN826" s="81"/>
      <c r="DO826" s="81"/>
      <c r="DP826" s="81"/>
      <c r="DQ826" s="81"/>
      <c r="DR826" s="81"/>
      <c r="DS826" s="81"/>
      <c r="DT826" s="81"/>
      <c r="DU826" s="81"/>
      <c r="DV826" s="81"/>
      <c r="DW826" s="121"/>
    </row>
    <row r="827" spans="1:127" x14ac:dyDescent="0.25">
      <c r="A827" s="2">
        <f>COUNTIF($D$2:D827,'Reporte de Nomina'!$E$2)</f>
        <v>0</v>
      </c>
      <c r="B827" s="125">
        <f>Lista!A826</f>
        <v>0</v>
      </c>
      <c r="C827" s="125">
        <f>Lista!B826</f>
        <v>0</v>
      </c>
      <c r="D827" s="125">
        <f>Lista!C826</f>
        <v>0</v>
      </c>
      <c r="E827" s="125">
        <f>Lista!D826</f>
        <v>0</v>
      </c>
      <c r="F827" s="125">
        <f>Lista!E826</f>
        <v>0</v>
      </c>
      <c r="G827" s="125">
        <f>Lista!F826</f>
        <v>0</v>
      </c>
      <c r="H827" s="125">
        <f>Lista!G826</f>
        <v>0</v>
      </c>
      <c r="I827" s="125">
        <f>Lista!H826</f>
        <v>0</v>
      </c>
      <c r="J827" s="125">
        <f>Lista!I826</f>
        <v>0</v>
      </c>
      <c r="K827" s="125">
        <f>Lista!J826</f>
        <v>0</v>
      </c>
      <c r="L827" s="125">
        <f>Lista!K826</f>
        <v>0</v>
      </c>
      <c r="M827" s="125">
        <f>Lista!L826</f>
        <v>0</v>
      </c>
      <c r="N827" s="125">
        <f>Lista!M826</f>
        <v>0</v>
      </c>
      <c r="O827" s="125">
        <f>Lista!N826</f>
        <v>0</v>
      </c>
      <c r="P827" s="125">
        <f>Lista!O826</f>
        <v>0</v>
      </c>
      <c r="Q827" s="125">
        <f>Lista!P826</f>
        <v>0</v>
      </c>
      <c r="R827" s="125">
        <f>Lista!Q826</f>
        <v>0</v>
      </c>
      <c r="S827" s="125">
        <f>Lista!R826</f>
        <v>0</v>
      </c>
      <c r="T827" s="81"/>
      <c r="U827" s="81"/>
      <c r="V827" s="81"/>
      <c r="W827" s="81"/>
      <c r="X827" s="81"/>
      <c r="Y827" s="81"/>
      <c r="Z827" s="81"/>
      <c r="AA827" s="81"/>
      <c r="AB827" s="81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  <c r="BS827" s="81"/>
      <c r="BT827" s="81"/>
      <c r="BU827" s="81"/>
      <c r="BV827" s="81"/>
      <c r="BW827" s="81"/>
      <c r="BX827" s="81"/>
      <c r="BY827" s="81"/>
      <c r="BZ827" s="81"/>
      <c r="CA827" s="81"/>
      <c r="CB827" s="81"/>
      <c r="CC827" s="81"/>
      <c r="CD827" s="81"/>
      <c r="CE827" s="81"/>
      <c r="CF827" s="81"/>
      <c r="CG827" s="81"/>
      <c r="CH827" s="81"/>
      <c r="CI827" s="81"/>
      <c r="CJ827" s="81"/>
      <c r="CK827" s="81"/>
      <c r="CL827" s="81"/>
      <c r="CM827" s="81"/>
      <c r="CN827" s="81"/>
      <c r="CO827" s="81"/>
      <c r="CP827" s="81"/>
      <c r="CQ827" s="81"/>
      <c r="CR827" s="81"/>
      <c r="CS827" s="81"/>
      <c r="CT827" s="81"/>
      <c r="CU827" s="81"/>
      <c r="CV827" s="81"/>
      <c r="CW827" s="81"/>
      <c r="CX827" s="81"/>
      <c r="CY827" s="81"/>
      <c r="CZ827" s="81"/>
      <c r="DA827" s="81"/>
      <c r="DB827" s="81"/>
      <c r="DC827" s="81"/>
      <c r="DD827" s="81"/>
      <c r="DE827" s="81"/>
      <c r="DF827" s="81"/>
      <c r="DG827" s="81"/>
      <c r="DH827" s="81"/>
      <c r="DI827" s="81"/>
      <c r="DJ827" s="81"/>
      <c r="DK827" s="81"/>
      <c r="DL827" s="81"/>
      <c r="DM827" s="81"/>
      <c r="DN827" s="81"/>
      <c r="DO827" s="81"/>
      <c r="DP827" s="81"/>
      <c r="DQ827" s="81"/>
      <c r="DR827" s="81"/>
      <c r="DS827" s="81"/>
      <c r="DT827" s="81"/>
      <c r="DU827" s="81"/>
      <c r="DV827" s="81"/>
      <c r="DW827" s="121"/>
    </row>
    <row r="828" spans="1:127" x14ac:dyDescent="0.25">
      <c r="A828" s="2">
        <f>COUNTIF($D$2:D828,'Reporte de Nomina'!$E$2)</f>
        <v>0</v>
      </c>
      <c r="B828" s="125">
        <f>Lista!A827</f>
        <v>0</v>
      </c>
      <c r="C828" s="125">
        <f>Lista!B827</f>
        <v>0</v>
      </c>
      <c r="D828" s="125">
        <f>Lista!C827</f>
        <v>0</v>
      </c>
      <c r="E828" s="125">
        <f>Lista!D827</f>
        <v>0</v>
      </c>
      <c r="F828" s="125">
        <f>Lista!E827</f>
        <v>0</v>
      </c>
      <c r="G828" s="125">
        <f>Lista!F827</f>
        <v>0</v>
      </c>
      <c r="H828" s="125">
        <f>Lista!G827</f>
        <v>0</v>
      </c>
      <c r="I828" s="125">
        <f>Lista!H827</f>
        <v>0</v>
      </c>
      <c r="J828" s="125">
        <f>Lista!I827</f>
        <v>0</v>
      </c>
      <c r="K828" s="125">
        <f>Lista!J827</f>
        <v>0</v>
      </c>
      <c r="L828" s="125">
        <f>Lista!K827</f>
        <v>0</v>
      </c>
      <c r="M828" s="125">
        <f>Lista!L827</f>
        <v>0</v>
      </c>
      <c r="N828" s="125">
        <f>Lista!M827</f>
        <v>0</v>
      </c>
      <c r="O828" s="125">
        <f>Lista!N827</f>
        <v>0</v>
      </c>
      <c r="P828" s="125">
        <f>Lista!O827</f>
        <v>0</v>
      </c>
      <c r="Q828" s="125">
        <f>Lista!P827</f>
        <v>0</v>
      </c>
      <c r="R828" s="125">
        <f>Lista!Q827</f>
        <v>0</v>
      </c>
      <c r="S828" s="125">
        <f>Lista!R827</f>
        <v>0</v>
      </c>
      <c r="T828" s="81"/>
      <c r="U828" s="81"/>
      <c r="V828" s="81"/>
      <c r="W828" s="81"/>
      <c r="X828" s="81"/>
      <c r="Y828" s="81"/>
      <c r="Z828" s="81"/>
      <c r="AA828" s="81"/>
      <c r="AB828" s="81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  <c r="BS828" s="81"/>
      <c r="BT828" s="81"/>
      <c r="BU828" s="81"/>
      <c r="BV828" s="81"/>
      <c r="BW828" s="81"/>
      <c r="BX828" s="81"/>
      <c r="BY828" s="81"/>
      <c r="BZ828" s="81"/>
      <c r="CA828" s="81"/>
      <c r="CB828" s="81"/>
      <c r="CC828" s="81"/>
      <c r="CD828" s="81"/>
      <c r="CE828" s="81"/>
      <c r="CF828" s="81"/>
      <c r="CG828" s="81"/>
      <c r="CH828" s="81"/>
      <c r="CI828" s="81"/>
      <c r="CJ828" s="81"/>
      <c r="CK828" s="81"/>
      <c r="CL828" s="81"/>
      <c r="CM828" s="81"/>
      <c r="CN828" s="81"/>
      <c r="CO828" s="81"/>
      <c r="CP828" s="81"/>
      <c r="CQ828" s="81"/>
      <c r="CR828" s="81"/>
      <c r="CS828" s="81"/>
      <c r="CT828" s="81"/>
      <c r="CU828" s="81"/>
      <c r="CV828" s="81"/>
      <c r="CW828" s="81"/>
      <c r="CX828" s="81"/>
      <c r="CY828" s="81"/>
      <c r="CZ828" s="81"/>
      <c r="DA828" s="81"/>
      <c r="DB828" s="81"/>
      <c r="DC828" s="81"/>
      <c r="DD828" s="81"/>
      <c r="DE828" s="81"/>
      <c r="DF828" s="81"/>
      <c r="DG828" s="81"/>
      <c r="DH828" s="81"/>
      <c r="DI828" s="81"/>
      <c r="DJ828" s="81"/>
      <c r="DK828" s="81"/>
      <c r="DL828" s="81"/>
      <c r="DM828" s="81"/>
      <c r="DN828" s="81"/>
      <c r="DO828" s="81"/>
      <c r="DP828" s="81"/>
      <c r="DQ828" s="81"/>
      <c r="DR828" s="81"/>
      <c r="DS828" s="81"/>
      <c r="DT828" s="81"/>
      <c r="DU828" s="81"/>
      <c r="DV828" s="81"/>
      <c r="DW828" s="121"/>
    </row>
    <row r="829" spans="1:127" x14ac:dyDescent="0.25">
      <c r="A829" s="2">
        <f>COUNTIF($D$2:D829,'Reporte de Nomina'!$E$2)</f>
        <v>0</v>
      </c>
      <c r="B829" s="125">
        <f>Lista!A828</f>
        <v>0</v>
      </c>
      <c r="C829" s="125">
        <f>Lista!B828</f>
        <v>0</v>
      </c>
      <c r="D829" s="125">
        <f>Lista!C828</f>
        <v>0</v>
      </c>
      <c r="E829" s="125">
        <f>Lista!D828</f>
        <v>0</v>
      </c>
      <c r="F829" s="125">
        <f>Lista!E828</f>
        <v>0</v>
      </c>
      <c r="G829" s="125">
        <f>Lista!F828</f>
        <v>0</v>
      </c>
      <c r="H829" s="125">
        <f>Lista!G828</f>
        <v>0</v>
      </c>
      <c r="I829" s="125">
        <f>Lista!H828</f>
        <v>0</v>
      </c>
      <c r="J829" s="125">
        <f>Lista!I828</f>
        <v>0</v>
      </c>
      <c r="K829" s="125">
        <f>Lista!J828</f>
        <v>0</v>
      </c>
      <c r="L829" s="125">
        <f>Lista!K828</f>
        <v>0</v>
      </c>
      <c r="M829" s="125">
        <f>Lista!L828</f>
        <v>0</v>
      </c>
      <c r="N829" s="125">
        <f>Lista!M828</f>
        <v>0</v>
      </c>
      <c r="O829" s="125">
        <f>Lista!N828</f>
        <v>0</v>
      </c>
      <c r="P829" s="125">
        <f>Lista!O828</f>
        <v>0</v>
      </c>
      <c r="Q829" s="125">
        <f>Lista!P828</f>
        <v>0</v>
      </c>
      <c r="R829" s="125">
        <f>Lista!Q828</f>
        <v>0</v>
      </c>
      <c r="S829" s="125">
        <f>Lista!R828</f>
        <v>0</v>
      </c>
      <c r="T829" s="81"/>
      <c r="U829" s="81"/>
      <c r="V829" s="81"/>
      <c r="W829" s="81"/>
      <c r="X829" s="81"/>
      <c r="Y829" s="81"/>
      <c r="Z829" s="81"/>
      <c r="AA829" s="81"/>
      <c r="AB829" s="81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  <c r="BS829" s="81"/>
      <c r="BT829" s="81"/>
      <c r="BU829" s="81"/>
      <c r="BV829" s="81"/>
      <c r="BW829" s="81"/>
      <c r="BX829" s="81"/>
      <c r="BY829" s="81"/>
      <c r="BZ829" s="81"/>
      <c r="CA829" s="81"/>
      <c r="CB829" s="81"/>
      <c r="CC829" s="81"/>
      <c r="CD829" s="81"/>
      <c r="CE829" s="81"/>
      <c r="CF829" s="81"/>
      <c r="CG829" s="81"/>
      <c r="CH829" s="81"/>
      <c r="CI829" s="81"/>
      <c r="CJ829" s="81"/>
      <c r="CK829" s="81"/>
      <c r="CL829" s="81"/>
      <c r="CM829" s="81"/>
      <c r="CN829" s="81"/>
      <c r="CO829" s="81"/>
      <c r="CP829" s="81"/>
      <c r="CQ829" s="81"/>
      <c r="CR829" s="81"/>
      <c r="CS829" s="81"/>
      <c r="CT829" s="81"/>
      <c r="CU829" s="81"/>
      <c r="CV829" s="81"/>
      <c r="CW829" s="81"/>
      <c r="CX829" s="81"/>
      <c r="CY829" s="81"/>
      <c r="CZ829" s="81"/>
      <c r="DA829" s="81"/>
      <c r="DB829" s="81"/>
      <c r="DC829" s="81"/>
      <c r="DD829" s="81"/>
      <c r="DE829" s="81"/>
      <c r="DF829" s="81"/>
      <c r="DG829" s="81"/>
      <c r="DH829" s="81"/>
      <c r="DI829" s="81"/>
      <c r="DJ829" s="81"/>
      <c r="DK829" s="81"/>
      <c r="DL829" s="81"/>
      <c r="DM829" s="81"/>
      <c r="DN829" s="81"/>
      <c r="DO829" s="81"/>
      <c r="DP829" s="81"/>
      <c r="DQ829" s="81"/>
      <c r="DR829" s="81"/>
      <c r="DS829" s="81"/>
      <c r="DT829" s="81"/>
      <c r="DU829" s="81"/>
      <c r="DV829" s="81"/>
      <c r="DW829" s="121"/>
    </row>
    <row r="830" spans="1:127" x14ac:dyDescent="0.25">
      <c r="A830" s="2">
        <f>COUNTIF($D$2:D830,'Reporte de Nomina'!$E$2)</f>
        <v>0</v>
      </c>
      <c r="B830" s="125">
        <f>Lista!A829</f>
        <v>0</v>
      </c>
      <c r="C830" s="125">
        <f>Lista!B829</f>
        <v>0</v>
      </c>
      <c r="D830" s="125">
        <f>Lista!C829</f>
        <v>0</v>
      </c>
      <c r="E830" s="125">
        <f>Lista!D829</f>
        <v>0</v>
      </c>
      <c r="F830" s="125">
        <f>Lista!E829</f>
        <v>0</v>
      </c>
      <c r="G830" s="125">
        <f>Lista!F829</f>
        <v>0</v>
      </c>
      <c r="H830" s="125">
        <f>Lista!G829</f>
        <v>0</v>
      </c>
      <c r="I830" s="125">
        <f>Lista!H829</f>
        <v>0</v>
      </c>
      <c r="J830" s="125">
        <f>Lista!I829</f>
        <v>0</v>
      </c>
      <c r="K830" s="125">
        <f>Lista!J829</f>
        <v>0</v>
      </c>
      <c r="L830" s="125">
        <f>Lista!K829</f>
        <v>0</v>
      </c>
      <c r="M830" s="125">
        <f>Lista!L829</f>
        <v>0</v>
      </c>
      <c r="N830" s="125">
        <f>Lista!M829</f>
        <v>0</v>
      </c>
      <c r="O830" s="125">
        <f>Lista!N829</f>
        <v>0</v>
      </c>
      <c r="P830" s="125">
        <f>Lista!O829</f>
        <v>0</v>
      </c>
      <c r="Q830" s="125">
        <f>Lista!P829</f>
        <v>0</v>
      </c>
      <c r="R830" s="125">
        <f>Lista!Q829</f>
        <v>0</v>
      </c>
      <c r="S830" s="125">
        <f>Lista!R829</f>
        <v>0</v>
      </c>
      <c r="T830" s="81"/>
      <c r="U830" s="81"/>
      <c r="V830" s="81"/>
      <c r="W830" s="81"/>
      <c r="X830" s="81"/>
      <c r="Y830" s="81"/>
      <c r="Z830" s="81"/>
      <c r="AA830" s="81"/>
      <c r="AB830" s="81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  <c r="BS830" s="81"/>
      <c r="BT830" s="81"/>
      <c r="BU830" s="81"/>
      <c r="BV830" s="81"/>
      <c r="BW830" s="81"/>
      <c r="BX830" s="81"/>
      <c r="BY830" s="81"/>
      <c r="BZ830" s="81"/>
      <c r="CA830" s="81"/>
      <c r="CB830" s="81"/>
      <c r="CC830" s="81"/>
      <c r="CD830" s="81"/>
      <c r="CE830" s="81"/>
      <c r="CF830" s="81"/>
      <c r="CG830" s="81"/>
      <c r="CH830" s="81"/>
      <c r="CI830" s="81"/>
      <c r="CJ830" s="81"/>
      <c r="CK830" s="81"/>
      <c r="CL830" s="81"/>
      <c r="CM830" s="81"/>
      <c r="CN830" s="81"/>
      <c r="CO830" s="81"/>
      <c r="CP830" s="81"/>
      <c r="CQ830" s="81"/>
      <c r="CR830" s="81"/>
      <c r="CS830" s="81"/>
      <c r="CT830" s="81"/>
      <c r="CU830" s="81"/>
      <c r="CV830" s="81"/>
      <c r="CW830" s="81"/>
      <c r="CX830" s="81"/>
      <c r="CY830" s="81"/>
      <c r="CZ830" s="81"/>
      <c r="DA830" s="81"/>
      <c r="DB830" s="81"/>
      <c r="DC830" s="81"/>
      <c r="DD830" s="81"/>
      <c r="DE830" s="81"/>
      <c r="DF830" s="81"/>
      <c r="DG830" s="81"/>
      <c r="DH830" s="81"/>
      <c r="DI830" s="81"/>
      <c r="DJ830" s="81"/>
      <c r="DK830" s="81"/>
      <c r="DL830" s="81"/>
      <c r="DM830" s="81"/>
      <c r="DN830" s="81"/>
      <c r="DO830" s="81"/>
      <c r="DP830" s="81"/>
      <c r="DQ830" s="81"/>
      <c r="DR830" s="81"/>
      <c r="DS830" s="81"/>
      <c r="DT830" s="81"/>
      <c r="DU830" s="81"/>
      <c r="DV830" s="81"/>
      <c r="DW830" s="121"/>
    </row>
    <row r="831" spans="1:127" x14ac:dyDescent="0.25">
      <c r="A831" s="2">
        <f>COUNTIF($D$2:D831,'Reporte de Nomina'!$E$2)</f>
        <v>0</v>
      </c>
      <c r="B831" s="125">
        <f>Lista!A830</f>
        <v>0</v>
      </c>
      <c r="C831" s="125">
        <f>Lista!B830</f>
        <v>0</v>
      </c>
      <c r="D831" s="125">
        <f>Lista!C830</f>
        <v>0</v>
      </c>
      <c r="E831" s="125">
        <f>Lista!D830</f>
        <v>0</v>
      </c>
      <c r="F831" s="125">
        <f>Lista!E830</f>
        <v>0</v>
      </c>
      <c r="G831" s="125">
        <f>Lista!F830</f>
        <v>0</v>
      </c>
      <c r="H831" s="125">
        <f>Lista!G830</f>
        <v>0</v>
      </c>
      <c r="I831" s="125">
        <f>Lista!H830</f>
        <v>0</v>
      </c>
      <c r="J831" s="125">
        <f>Lista!I830</f>
        <v>0</v>
      </c>
      <c r="K831" s="125">
        <f>Lista!J830</f>
        <v>0</v>
      </c>
      <c r="L831" s="125">
        <f>Lista!K830</f>
        <v>0</v>
      </c>
      <c r="M831" s="125">
        <f>Lista!L830</f>
        <v>0</v>
      </c>
      <c r="N831" s="125">
        <f>Lista!M830</f>
        <v>0</v>
      </c>
      <c r="O831" s="125">
        <f>Lista!N830</f>
        <v>0</v>
      </c>
      <c r="P831" s="125">
        <f>Lista!O830</f>
        <v>0</v>
      </c>
      <c r="Q831" s="125">
        <f>Lista!P830</f>
        <v>0</v>
      </c>
      <c r="R831" s="125">
        <f>Lista!Q830</f>
        <v>0</v>
      </c>
      <c r="S831" s="125">
        <f>Lista!R830</f>
        <v>0</v>
      </c>
      <c r="T831" s="81"/>
      <c r="U831" s="81"/>
      <c r="V831" s="81"/>
      <c r="W831" s="81"/>
      <c r="X831" s="81"/>
      <c r="Y831" s="81"/>
      <c r="Z831" s="81"/>
      <c r="AA831" s="81"/>
      <c r="AB831" s="81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  <c r="BS831" s="81"/>
      <c r="BT831" s="81"/>
      <c r="BU831" s="81"/>
      <c r="BV831" s="81"/>
      <c r="BW831" s="81"/>
      <c r="BX831" s="81"/>
      <c r="BY831" s="81"/>
      <c r="BZ831" s="81"/>
      <c r="CA831" s="81"/>
      <c r="CB831" s="81"/>
      <c r="CC831" s="81"/>
      <c r="CD831" s="81"/>
      <c r="CE831" s="81"/>
      <c r="CF831" s="81"/>
      <c r="CG831" s="81"/>
      <c r="CH831" s="81"/>
      <c r="CI831" s="81"/>
      <c r="CJ831" s="81"/>
      <c r="CK831" s="81"/>
      <c r="CL831" s="81"/>
      <c r="CM831" s="81"/>
      <c r="CN831" s="81"/>
      <c r="CO831" s="81"/>
      <c r="CP831" s="81"/>
      <c r="CQ831" s="81"/>
      <c r="CR831" s="81"/>
      <c r="CS831" s="81"/>
      <c r="CT831" s="81"/>
      <c r="CU831" s="81"/>
      <c r="CV831" s="81"/>
      <c r="CW831" s="81"/>
      <c r="CX831" s="81"/>
      <c r="CY831" s="81"/>
      <c r="CZ831" s="81"/>
      <c r="DA831" s="81"/>
      <c r="DB831" s="81"/>
      <c r="DC831" s="81"/>
      <c r="DD831" s="81"/>
      <c r="DE831" s="81"/>
      <c r="DF831" s="81"/>
      <c r="DG831" s="81"/>
      <c r="DH831" s="81"/>
      <c r="DI831" s="81"/>
      <c r="DJ831" s="81"/>
      <c r="DK831" s="81"/>
      <c r="DL831" s="81"/>
      <c r="DM831" s="81"/>
      <c r="DN831" s="81"/>
      <c r="DO831" s="81"/>
      <c r="DP831" s="81"/>
      <c r="DQ831" s="81"/>
      <c r="DR831" s="81"/>
      <c r="DS831" s="81"/>
      <c r="DT831" s="81"/>
      <c r="DU831" s="81"/>
      <c r="DV831" s="81"/>
      <c r="DW831" s="121"/>
    </row>
    <row r="832" spans="1:127" x14ac:dyDescent="0.25">
      <c r="A832" s="2">
        <f>COUNTIF($D$2:D832,'Reporte de Nomina'!$E$2)</f>
        <v>0</v>
      </c>
      <c r="B832" s="125">
        <f>Lista!A831</f>
        <v>0</v>
      </c>
      <c r="C832" s="125">
        <f>Lista!B831</f>
        <v>0</v>
      </c>
      <c r="D832" s="125">
        <f>Lista!C831</f>
        <v>0</v>
      </c>
      <c r="E832" s="125">
        <f>Lista!D831</f>
        <v>0</v>
      </c>
      <c r="F832" s="125">
        <f>Lista!E831</f>
        <v>0</v>
      </c>
      <c r="G832" s="125">
        <f>Lista!F831</f>
        <v>0</v>
      </c>
      <c r="H832" s="125">
        <f>Lista!G831</f>
        <v>0</v>
      </c>
      <c r="I832" s="125">
        <f>Lista!H831</f>
        <v>0</v>
      </c>
      <c r="J832" s="125">
        <f>Lista!I831</f>
        <v>0</v>
      </c>
      <c r="K832" s="125">
        <f>Lista!J831</f>
        <v>0</v>
      </c>
      <c r="L832" s="125">
        <f>Lista!K831</f>
        <v>0</v>
      </c>
      <c r="M832" s="125">
        <f>Lista!L831</f>
        <v>0</v>
      </c>
      <c r="N832" s="125">
        <f>Lista!M831</f>
        <v>0</v>
      </c>
      <c r="O832" s="125">
        <f>Lista!N831</f>
        <v>0</v>
      </c>
      <c r="P832" s="125">
        <f>Lista!O831</f>
        <v>0</v>
      </c>
      <c r="Q832" s="125">
        <f>Lista!P831</f>
        <v>0</v>
      </c>
      <c r="R832" s="125">
        <f>Lista!Q831</f>
        <v>0</v>
      </c>
      <c r="S832" s="125">
        <f>Lista!R831</f>
        <v>0</v>
      </c>
      <c r="T832" s="81"/>
      <c r="U832" s="81"/>
      <c r="V832" s="81"/>
      <c r="W832" s="81"/>
      <c r="X832" s="81"/>
      <c r="Y832" s="81"/>
      <c r="Z832" s="81"/>
      <c r="AA832" s="81"/>
      <c r="AB832" s="81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  <c r="BS832" s="81"/>
      <c r="BT832" s="81"/>
      <c r="BU832" s="81"/>
      <c r="BV832" s="81"/>
      <c r="BW832" s="81"/>
      <c r="BX832" s="81"/>
      <c r="BY832" s="81"/>
      <c r="BZ832" s="81"/>
      <c r="CA832" s="81"/>
      <c r="CB832" s="81"/>
      <c r="CC832" s="81"/>
      <c r="CD832" s="81"/>
      <c r="CE832" s="81"/>
      <c r="CF832" s="81"/>
      <c r="CG832" s="81"/>
      <c r="CH832" s="81"/>
      <c r="CI832" s="81"/>
      <c r="CJ832" s="81"/>
      <c r="CK832" s="81"/>
      <c r="CL832" s="81"/>
      <c r="CM832" s="81"/>
      <c r="CN832" s="81"/>
      <c r="CO832" s="81"/>
      <c r="CP832" s="81"/>
      <c r="CQ832" s="81"/>
      <c r="CR832" s="81"/>
      <c r="CS832" s="81"/>
      <c r="CT832" s="81"/>
      <c r="CU832" s="81"/>
      <c r="CV832" s="81"/>
      <c r="CW832" s="81"/>
      <c r="CX832" s="81"/>
      <c r="CY832" s="81"/>
      <c r="CZ832" s="81"/>
      <c r="DA832" s="81"/>
      <c r="DB832" s="81"/>
      <c r="DC832" s="81"/>
      <c r="DD832" s="81"/>
      <c r="DE832" s="81"/>
      <c r="DF832" s="81"/>
      <c r="DG832" s="81"/>
      <c r="DH832" s="81"/>
      <c r="DI832" s="81"/>
      <c r="DJ832" s="81"/>
      <c r="DK832" s="81"/>
      <c r="DL832" s="81"/>
      <c r="DM832" s="81"/>
      <c r="DN832" s="81"/>
      <c r="DO832" s="81"/>
      <c r="DP832" s="81"/>
      <c r="DQ832" s="81"/>
      <c r="DR832" s="81"/>
      <c r="DS832" s="81"/>
      <c r="DT832" s="81"/>
      <c r="DU832" s="81"/>
      <c r="DV832" s="81"/>
      <c r="DW832" s="121"/>
    </row>
    <row r="833" spans="1:127" x14ac:dyDescent="0.25">
      <c r="A833" s="2">
        <f>COUNTIF($D$2:D833,'Reporte de Nomina'!$E$2)</f>
        <v>0</v>
      </c>
      <c r="B833" s="125">
        <f>Lista!A832</f>
        <v>0</v>
      </c>
      <c r="C833" s="125">
        <f>Lista!B832</f>
        <v>0</v>
      </c>
      <c r="D833" s="125">
        <f>Lista!C832</f>
        <v>0</v>
      </c>
      <c r="E833" s="125">
        <f>Lista!D832</f>
        <v>0</v>
      </c>
      <c r="F833" s="125">
        <f>Lista!E832</f>
        <v>0</v>
      </c>
      <c r="G833" s="125">
        <f>Lista!F832</f>
        <v>0</v>
      </c>
      <c r="H833" s="125">
        <f>Lista!G832</f>
        <v>0</v>
      </c>
      <c r="I833" s="125">
        <f>Lista!H832</f>
        <v>0</v>
      </c>
      <c r="J833" s="125">
        <f>Lista!I832</f>
        <v>0</v>
      </c>
      <c r="K833" s="125">
        <f>Lista!J832</f>
        <v>0</v>
      </c>
      <c r="L833" s="125">
        <f>Lista!K832</f>
        <v>0</v>
      </c>
      <c r="M833" s="125">
        <f>Lista!L832</f>
        <v>0</v>
      </c>
      <c r="N833" s="125">
        <f>Lista!M832</f>
        <v>0</v>
      </c>
      <c r="O833" s="125">
        <f>Lista!N832</f>
        <v>0</v>
      </c>
      <c r="P833" s="125">
        <f>Lista!O832</f>
        <v>0</v>
      </c>
      <c r="Q833" s="125">
        <f>Lista!P832</f>
        <v>0</v>
      </c>
      <c r="R833" s="125">
        <f>Lista!Q832</f>
        <v>0</v>
      </c>
      <c r="S833" s="125">
        <f>Lista!R832</f>
        <v>0</v>
      </c>
      <c r="T833" s="81"/>
      <c r="U833" s="81"/>
      <c r="V833" s="81"/>
      <c r="W833" s="81"/>
      <c r="X833" s="81"/>
      <c r="Y833" s="81"/>
      <c r="Z833" s="81"/>
      <c r="AA833" s="81"/>
      <c r="AB833" s="81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  <c r="BS833" s="81"/>
      <c r="BT833" s="81"/>
      <c r="BU833" s="81"/>
      <c r="BV833" s="81"/>
      <c r="BW833" s="81"/>
      <c r="BX833" s="81"/>
      <c r="BY833" s="81"/>
      <c r="BZ833" s="81"/>
      <c r="CA833" s="81"/>
      <c r="CB833" s="81"/>
      <c r="CC833" s="81"/>
      <c r="CD833" s="81"/>
      <c r="CE833" s="81"/>
      <c r="CF833" s="81"/>
      <c r="CG833" s="81"/>
      <c r="CH833" s="81"/>
      <c r="CI833" s="81"/>
      <c r="CJ833" s="81"/>
      <c r="CK833" s="81"/>
      <c r="CL833" s="81"/>
      <c r="CM833" s="81"/>
      <c r="CN833" s="81"/>
      <c r="CO833" s="81"/>
      <c r="CP833" s="81"/>
      <c r="CQ833" s="81"/>
      <c r="CR833" s="81"/>
      <c r="CS833" s="81"/>
      <c r="CT833" s="81"/>
      <c r="CU833" s="81"/>
      <c r="CV833" s="81"/>
      <c r="CW833" s="81"/>
      <c r="CX833" s="81"/>
      <c r="CY833" s="81"/>
      <c r="CZ833" s="81"/>
      <c r="DA833" s="81"/>
      <c r="DB833" s="81"/>
      <c r="DC833" s="81"/>
      <c r="DD833" s="81"/>
      <c r="DE833" s="81"/>
      <c r="DF833" s="81"/>
      <c r="DG833" s="81"/>
      <c r="DH833" s="81"/>
      <c r="DI833" s="81"/>
      <c r="DJ833" s="81"/>
      <c r="DK833" s="81"/>
      <c r="DL833" s="81"/>
      <c r="DM833" s="81"/>
      <c r="DN833" s="81"/>
      <c r="DO833" s="81"/>
      <c r="DP833" s="81"/>
      <c r="DQ833" s="81"/>
      <c r="DR833" s="81"/>
      <c r="DS833" s="81"/>
      <c r="DT833" s="81"/>
      <c r="DU833" s="81"/>
      <c r="DV833" s="81"/>
      <c r="DW833" s="121"/>
    </row>
    <row r="834" spans="1:127" x14ac:dyDescent="0.25">
      <c r="A834" s="2">
        <f>COUNTIF($D$2:D834,'Reporte de Nomina'!$E$2)</f>
        <v>0</v>
      </c>
      <c r="B834" s="125">
        <f>Lista!A833</f>
        <v>0</v>
      </c>
      <c r="C834" s="125">
        <f>Lista!B833</f>
        <v>0</v>
      </c>
      <c r="D834" s="125">
        <f>Lista!C833</f>
        <v>0</v>
      </c>
      <c r="E834" s="125">
        <f>Lista!D833</f>
        <v>0</v>
      </c>
      <c r="F834" s="125">
        <f>Lista!E833</f>
        <v>0</v>
      </c>
      <c r="G834" s="125">
        <f>Lista!F833</f>
        <v>0</v>
      </c>
      <c r="H834" s="125">
        <f>Lista!G833</f>
        <v>0</v>
      </c>
      <c r="I834" s="125">
        <f>Lista!H833</f>
        <v>0</v>
      </c>
      <c r="J834" s="125">
        <f>Lista!I833</f>
        <v>0</v>
      </c>
      <c r="K834" s="125">
        <f>Lista!J833</f>
        <v>0</v>
      </c>
      <c r="L834" s="125">
        <f>Lista!K833</f>
        <v>0</v>
      </c>
      <c r="M834" s="125">
        <f>Lista!L833</f>
        <v>0</v>
      </c>
      <c r="N834" s="125">
        <f>Lista!M833</f>
        <v>0</v>
      </c>
      <c r="O834" s="125">
        <f>Lista!N833</f>
        <v>0</v>
      </c>
      <c r="P834" s="125">
        <f>Lista!O833</f>
        <v>0</v>
      </c>
      <c r="Q834" s="125">
        <f>Lista!P833</f>
        <v>0</v>
      </c>
      <c r="R834" s="125">
        <f>Lista!Q833</f>
        <v>0</v>
      </c>
      <c r="S834" s="125">
        <f>Lista!R833</f>
        <v>0</v>
      </c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  <c r="BS834" s="81"/>
      <c r="BT834" s="81"/>
      <c r="BU834" s="81"/>
      <c r="BV834" s="81"/>
      <c r="BW834" s="81"/>
      <c r="BX834" s="81"/>
      <c r="BY834" s="81"/>
      <c r="BZ834" s="81"/>
      <c r="CA834" s="81"/>
      <c r="CB834" s="81"/>
      <c r="CC834" s="81"/>
      <c r="CD834" s="81"/>
      <c r="CE834" s="81"/>
      <c r="CF834" s="81"/>
      <c r="CG834" s="81"/>
      <c r="CH834" s="81"/>
      <c r="CI834" s="81"/>
      <c r="CJ834" s="81"/>
      <c r="CK834" s="81"/>
      <c r="CL834" s="81"/>
      <c r="CM834" s="81"/>
      <c r="CN834" s="81"/>
      <c r="CO834" s="81"/>
      <c r="CP834" s="81"/>
      <c r="CQ834" s="81"/>
      <c r="CR834" s="81"/>
      <c r="CS834" s="81"/>
      <c r="CT834" s="81"/>
      <c r="CU834" s="81"/>
      <c r="CV834" s="81"/>
      <c r="CW834" s="81"/>
      <c r="CX834" s="81"/>
      <c r="CY834" s="81"/>
      <c r="CZ834" s="81"/>
      <c r="DA834" s="81"/>
      <c r="DB834" s="81"/>
      <c r="DC834" s="81"/>
      <c r="DD834" s="81"/>
      <c r="DE834" s="81"/>
      <c r="DF834" s="81"/>
      <c r="DG834" s="81"/>
      <c r="DH834" s="81"/>
      <c r="DI834" s="81"/>
      <c r="DJ834" s="81"/>
      <c r="DK834" s="81"/>
      <c r="DL834" s="81"/>
      <c r="DM834" s="81"/>
      <c r="DN834" s="81"/>
      <c r="DO834" s="81"/>
      <c r="DP834" s="81"/>
      <c r="DQ834" s="81"/>
      <c r="DR834" s="81"/>
      <c r="DS834" s="81"/>
      <c r="DT834" s="81"/>
      <c r="DU834" s="81"/>
      <c r="DV834" s="81"/>
      <c r="DW834" s="121"/>
    </row>
    <row r="835" spans="1:127" x14ac:dyDescent="0.25">
      <c r="A835" s="2">
        <f>COUNTIF($D$2:D835,'Reporte de Nomina'!$E$2)</f>
        <v>0</v>
      </c>
      <c r="B835" s="125">
        <f>Lista!A834</f>
        <v>0</v>
      </c>
      <c r="C835" s="125">
        <f>Lista!B834</f>
        <v>0</v>
      </c>
      <c r="D835" s="125">
        <f>Lista!C834</f>
        <v>0</v>
      </c>
      <c r="E835" s="125">
        <f>Lista!D834</f>
        <v>0</v>
      </c>
      <c r="F835" s="125">
        <f>Lista!E834</f>
        <v>0</v>
      </c>
      <c r="G835" s="125">
        <f>Lista!F834</f>
        <v>0</v>
      </c>
      <c r="H835" s="125">
        <f>Lista!G834</f>
        <v>0</v>
      </c>
      <c r="I835" s="125">
        <f>Lista!H834</f>
        <v>0</v>
      </c>
      <c r="J835" s="125">
        <f>Lista!I834</f>
        <v>0</v>
      </c>
      <c r="K835" s="125">
        <f>Lista!J834</f>
        <v>0</v>
      </c>
      <c r="L835" s="125">
        <f>Lista!K834</f>
        <v>0</v>
      </c>
      <c r="M835" s="125">
        <f>Lista!L834</f>
        <v>0</v>
      </c>
      <c r="N835" s="125">
        <f>Lista!M834</f>
        <v>0</v>
      </c>
      <c r="O835" s="125">
        <f>Lista!N834</f>
        <v>0</v>
      </c>
      <c r="P835" s="125">
        <f>Lista!O834</f>
        <v>0</v>
      </c>
      <c r="Q835" s="125">
        <f>Lista!P834</f>
        <v>0</v>
      </c>
      <c r="R835" s="125">
        <f>Lista!Q834</f>
        <v>0</v>
      </c>
      <c r="S835" s="125">
        <f>Lista!R834</f>
        <v>0</v>
      </c>
      <c r="T835" s="81"/>
      <c r="U835" s="81"/>
      <c r="V835" s="81"/>
      <c r="W835" s="81"/>
      <c r="X835" s="81"/>
      <c r="Y835" s="81"/>
      <c r="Z835" s="81"/>
      <c r="AA835" s="81"/>
      <c r="AB835" s="81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  <c r="BS835" s="81"/>
      <c r="BT835" s="81"/>
      <c r="BU835" s="81"/>
      <c r="BV835" s="81"/>
      <c r="BW835" s="81"/>
      <c r="BX835" s="81"/>
      <c r="BY835" s="81"/>
      <c r="BZ835" s="81"/>
      <c r="CA835" s="81"/>
      <c r="CB835" s="81"/>
      <c r="CC835" s="81"/>
      <c r="CD835" s="81"/>
      <c r="CE835" s="81"/>
      <c r="CF835" s="81"/>
      <c r="CG835" s="81"/>
      <c r="CH835" s="81"/>
      <c r="CI835" s="81"/>
      <c r="CJ835" s="81"/>
      <c r="CK835" s="81"/>
      <c r="CL835" s="81"/>
      <c r="CM835" s="81"/>
      <c r="CN835" s="81"/>
      <c r="CO835" s="81"/>
      <c r="CP835" s="81"/>
      <c r="CQ835" s="81"/>
      <c r="CR835" s="81"/>
      <c r="CS835" s="81"/>
      <c r="CT835" s="81"/>
      <c r="CU835" s="81"/>
      <c r="CV835" s="81"/>
      <c r="CW835" s="81"/>
      <c r="CX835" s="81"/>
      <c r="CY835" s="81"/>
      <c r="CZ835" s="81"/>
      <c r="DA835" s="81"/>
      <c r="DB835" s="81"/>
      <c r="DC835" s="81"/>
      <c r="DD835" s="81"/>
      <c r="DE835" s="81"/>
      <c r="DF835" s="81"/>
      <c r="DG835" s="81"/>
      <c r="DH835" s="81"/>
      <c r="DI835" s="81"/>
      <c r="DJ835" s="81"/>
      <c r="DK835" s="81"/>
      <c r="DL835" s="81"/>
      <c r="DM835" s="81"/>
      <c r="DN835" s="81"/>
      <c r="DO835" s="81"/>
      <c r="DP835" s="81"/>
      <c r="DQ835" s="81"/>
      <c r="DR835" s="81"/>
      <c r="DS835" s="81"/>
      <c r="DT835" s="81"/>
      <c r="DU835" s="81"/>
      <c r="DV835" s="81"/>
      <c r="DW835" s="121"/>
    </row>
    <row r="836" spans="1:127" x14ac:dyDescent="0.25">
      <c r="A836" s="2">
        <f>COUNTIF($D$2:D836,'Reporte de Nomina'!$E$2)</f>
        <v>0</v>
      </c>
      <c r="B836" s="125">
        <f>Lista!A835</f>
        <v>0</v>
      </c>
      <c r="C836" s="125">
        <f>Lista!B835</f>
        <v>0</v>
      </c>
      <c r="D836" s="125">
        <f>Lista!C835</f>
        <v>0</v>
      </c>
      <c r="E836" s="125">
        <f>Lista!D835</f>
        <v>0</v>
      </c>
      <c r="F836" s="125">
        <f>Lista!E835</f>
        <v>0</v>
      </c>
      <c r="G836" s="125">
        <f>Lista!F835</f>
        <v>0</v>
      </c>
      <c r="H836" s="125">
        <f>Lista!G835</f>
        <v>0</v>
      </c>
      <c r="I836" s="125">
        <f>Lista!H835</f>
        <v>0</v>
      </c>
      <c r="J836" s="125">
        <f>Lista!I835</f>
        <v>0</v>
      </c>
      <c r="K836" s="125">
        <f>Lista!J835</f>
        <v>0</v>
      </c>
      <c r="L836" s="125">
        <f>Lista!K835</f>
        <v>0</v>
      </c>
      <c r="M836" s="125">
        <f>Lista!L835</f>
        <v>0</v>
      </c>
      <c r="N836" s="125">
        <f>Lista!M835</f>
        <v>0</v>
      </c>
      <c r="O836" s="125">
        <f>Lista!N835</f>
        <v>0</v>
      </c>
      <c r="P836" s="125">
        <f>Lista!O835</f>
        <v>0</v>
      </c>
      <c r="Q836" s="125">
        <f>Lista!P835</f>
        <v>0</v>
      </c>
      <c r="R836" s="125">
        <f>Lista!Q835</f>
        <v>0</v>
      </c>
      <c r="S836" s="125">
        <f>Lista!R835</f>
        <v>0</v>
      </c>
      <c r="T836" s="81"/>
      <c r="U836" s="81"/>
      <c r="V836" s="81"/>
      <c r="W836" s="81"/>
      <c r="X836" s="81"/>
      <c r="Y836" s="81"/>
      <c r="Z836" s="81"/>
      <c r="AA836" s="81"/>
      <c r="AB836" s="81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  <c r="BS836" s="81"/>
      <c r="BT836" s="81"/>
      <c r="BU836" s="81"/>
      <c r="BV836" s="81"/>
      <c r="BW836" s="81"/>
      <c r="BX836" s="81"/>
      <c r="BY836" s="81"/>
      <c r="BZ836" s="81"/>
      <c r="CA836" s="81"/>
      <c r="CB836" s="81"/>
      <c r="CC836" s="81"/>
      <c r="CD836" s="81"/>
      <c r="CE836" s="81"/>
      <c r="CF836" s="81"/>
      <c r="CG836" s="81"/>
      <c r="CH836" s="81"/>
      <c r="CI836" s="81"/>
      <c r="CJ836" s="81"/>
      <c r="CK836" s="81"/>
      <c r="CL836" s="81"/>
      <c r="CM836" s="81"/>
      <c r="CN836" s="81"/>
      <c r="CO836" s="81"/>
      <c r="CP836" s="81"/>
      <c r="CQ836" s="81"/>
      <c r="CR836" s="81"/>
      <c r="CS836" s="81"/>
      <c r="CT836" s="81"/>
      <c r="CU836" s="81"/>
      <c r="CV836" s="81"/>
      <c r="CW836" s="81"/>
      <c r="CX836" s="81"/>
      <c r="CY836" s="81"/>
      <c r="CZ836" s="81"/>
      <c r="DA836" s="81"/>
      <c r="DB836" s="81"/>
      <c r="DC836" s="81"/>
      <c r="DD836" s="81"/>
      <c r="DE836" s="81"/>
      <c r="DF836" s="81"/>
      <c r="DG836" s="81"/>
      <c r="DH836" s="81"/>
      <c r="DI836" s="81"/>
      <c r="DJ836" s="81"/>
      <c r="DK836" s="81"/>
      <c r="DL836" s="81"/>
      <c r="DM836" s="81"/>
      <c r="DN836" s="81"/>
      <c r="DO836" s="81"/>
      <c r="DP836" s="81"/>
      <c r="DQ836" s="81"/>
      <c r="DR836" s="81"/>
      <c r="DS836" s="81"/>
      <c r="DT836" s="81"/>
      <c r="DU836" s="81"/>
      <c r="DV836" s="81"/>
      <c r="DW836" s="121"/>
    </row>
    <row r="837" spans="1:127" x14ac:dyDescent="0.25">
      <c r="A837" s="2">
        <f>COUNTIF($D$2:D837,'Reporte de Nomina'!$E$2)</f>
        <v>0</v>
      </c>
      <c r="B837" s="125">
        <f>Lista!A836</f>
        <v>0</v>
      </c>
      <c r="C837" s="125">
        <f>Lista!B836</f>
        <v>0</v>
      </c>
      <c r="D837" s="125">
        <f>Lista!C836</f>
        <v>0</v>
      </c>
      <c r="E837" s="125">
        <f>Lista!D836</f>
        <v>0</v>
      </c>
      <c r="F837" s="125">
        <f>Lista!E836</f>
        <v>0</v>
      </c>
      <c r="G837" s="125">
        <f>Lista!F836</f>
        <v>0</v>
      </c>
      <c r="H837" s="125">
        <f>Lista!G836</f>
        <v>0</v>
      </c>
      <c r="I837" s="125">
        <f>Lista!H836</f>
        <v>0</v>
      </c>
      <c r="J837" s="125">
        <f>Lista!I836</f>
        <v>0</v>
      </c>
      <c r="K837" s="125">
        <f>Lista!J836</f>
        <v>0</v>
      </c>
      <c r="L837" s="125">
        <f>Lista!K836</f>
        <v>0</v>
      </c>
      <c r="M837" s="125">
        <f>Lista!L836</f>
        <v>0</v>
      </c>
      <c r="N837" s="125">
        <f>Lista!M836</f>
        <v>0</v>
      </c>
      <c r="O837" s="125">
        <f>Lista!N836</f>
        <v>0</v>
      </c>
      <c r="P837" s="125">
        <f>Lista!O836</f>
        <v>0</v>
      </c>
      <c r="Q837" s="125">
        <f>Lista!P836</f>
        <v>0</v>
      </c>
      <c r="R837" s="125">
        <f>Lista!Q836</f>
        <v>0</v>
      </c>
      <c r="S837" s="125">
        <f>Lista!R836</f>
        <v>0</v>
      </c>
      <c r="T837" s="81"/>
      <c r="U837" s="81"/>
      <c r="V837" s="81"/>
      <c r="W837" s="81"/>
      <c r="X837" s="81"/>
      <c r="Y837" s="81"/>
      <c r="Z837" s="81"/>
      <c r="AA837" s="81"/>
      <c r="AB837" s="81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  <c r="BS837" s="81"/>
      <c r="BT837" s="81"/>
      <c r="BU837" s="81"/>
      <c r="BV837" s="81"/>
      <c r="BW837" s="81"/>
      <c r="BX837" s="81"/>
      <c r="BY837" s="81"/>
      <c r="BZ837" s="81"/>
      <c r="CA837" s="81"/>
      <c r="CB837" s="81"/>
      <c r="CC837" s="81"/>
      <c r="CD837" s="81"/>
      <c r="CE837" s="81"/>
      <c r="CF837" s="81"/>
      <c r="CG837" s="81"/>
      <c r="CH837" s="81"/>
      <c r="CI837" s="81"/>
      <c r="CJ837" s="81"/>
      <c r="CK837" s="81"/>
      <c r="CL837" s="81"/>
      <c r="CM837" s="81"/>
      <c r="CN837" s="81"/>
      <c r="CO837" s="81"/>
      <c r="CP837" s="81"/>
      <c r="CQ837" s="81"/>
      <c r="CR837" s="81"/>
      <c r="CS837" s="81"/>
      <c r="CT837" s="81"/>
      <c r="CU837" s="81"/>
      <c r="CV837" s="81"/>
      <c r="CW837" s="81"/>
      <c r="CX837" s="81"/>
      <c r="CY837" s="81"/>
      <c r="CZ837" s="81"/>
      <c r="DA837" s="81"/>
      <c r="DB837" s="81"/>
      <c r="DC837" s="81"/>
      <c r="DD837" s="81"/>
      <c r="DE837" s="81"/>
      <c r="DF837" s="81"/>
      <c r="DG837" s="81"/>
      <c r="DH837" s="81"/>
      <c r="DI837" s="81"/>
      <c r="DJ837" s="81"/>
      <c r="DK837" s="81"/>
      <c r="DL837" s="81"/>
      <c r="DM837" s="81"/>
      <c r="DN837" s="81"/>
      <c r="DO837" s="81"/>
      <c r="DP837" s="81"/>
      <c r="DQ837" s="81"/>
      <c r="DR837" s="81"/>
      <c r="DS837" s="81"/>
      <c r="DT837" s="81"/>
      <c r="DU837" s="81"/>
      <c r="DV837" s="81"/>
      <c r="DW837" s="121"/>
    </row>
    <row r="838" spans="1:127" x14ac:dyDescent="0.25">
      <c r="A838" s="2">
        <f>COUNTIF($D$2:D838,'Reporte de Nomina'!$E$2)</f>
        <v>0</v>
      </c>
      <c r="B838" s="125">
        <f>Lista!A837</f>
        <v>0</v>
      </c>
      <c r="C838" s="125">
        <f>Lista!B837</f>
        <v>0</v>
      </c>
      <c r="D838" s="125">
        <f>Lista!C837</f>
        <v>0</v>
      </c>
      <c r="E838" s="125">
        <f>Lista!D837</f>
        <v>0</v>
      </c>
      <c r="F838" s="125">
        <f>Lista!E837</f>
        <v>0</v>
      </c>
      <c r="G838" s="125">
        <f>Lista!F837</f>
        <v>0</v>
      </c>
      <c r="H838" s="125">
        <f>Lista!G837</f>
        <v>0</v>
      </c>
      <c r="I838" s="125">
        <f>Lista!H837</f>
        <v>0</v>
      </c>
      <c r="J838" s="125">
        <f>Lista!I837</f>
        <v>0</v>
      </c>
      <c r="K838" s="125">
        <f>Lista!J837</f>
        <v>0</v>
      </c>
      <c r="L838" s="125">
        <f>Lista!K837</f>
        <v>0</v>
      </c>
      <c r="M838" s="125">
        <f>Lista!L837</f>
        <v>0</v>
      </c>
      <c r="N838" s="125">
        <f>Lista!M837</f>
        <v>0</v>
      </c>
      <c r="O838" s="125">
        <f>Lista!N837</f>
        <v>0</v>
      </c>
      <c r="P838" s="125">
        <f>Lista!O837</f>
        <v>0</v>
      </c>
      <c r="Q838" s="125">
        <f>Lista!P837</f>
        <v>0</v>
      </c>
      <c r="R838" s="125">
        <f>Lista!Q837</f>
        <v>0</v>
      </c>
      <c r="S838" s="125">
        <f>Lista!R837</f>
        <v>0</v>
      </c>
      <c r="T838" s="81"/>
      <c r="U838" s="81"/>
      <c r="V838" s="81"/>
      <c r="W838" s="81"/>
      <c r="X838" s="81"/>
      <c r="Y838" s="81"/>
      <c r="Z838" s="81"/>
      <c r="AA838" s="81"/>
      <c r="AB838" s="81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  <c r="BS838" s="81"/>
      <c r="BT838" s="81"/>
      <c r="BU838" s="81"/>
      <c r="BV838" s="81"/>
      <c r="BW838" s="81"/>
      <c r="BX838" s="81"/>
      <c r="BY838" s="81"/>
      <c r="BZ838" s="81"/>
      <c r="CA838" s="81"/>
      <c r="CB838" s="81"/>
      <c r="CC838" s="81"/>
      <c r="CD838" s="81"/>
      <c r="CE838" s="81"/>
      <c r="CF838" s="81"/>
      <c r="CG838" s="81"/>
      <c r="CH838" s="81"/>
      <c r="CI838" s="81"/>
      <c r="CJ838" s="81"/>
      <c r="CK838" s="81"/>
      <c r="CL838" s="81"/>
      <c r="CM838" s="81"/>
      <c r="CN838" s="81"/>
      <c r="CO838" s="81"/>
      <c r="CP838" s="81"/>
      <c r="CQ838" s="81"/>
      <c r="CR838" s="81"/>
      <c r="CS838" s="81"/>
      <c r="CT838" s="81"/>
      <c r="CU838" s="81"/>
      <c r="CV838" s="81"/>
      <c r="CW838" s="81"/>
      <c r="CX838" s="81"/>
      <c r="CY838" s="81"/>
      <c r="CZ838" s="81"/>
      <c r="DA838" s="81"/>
      <c r="DB838" s="81"/>
      <c r="DC838" s="81"/>
      <c r="DD838" s="81"/>
      <c r="DE838" s="81"/>
      <c r="DF838" s="81"/>
      <c r="DG838" s="81"/>
      <c r="DH838" s="81"/>
      <c r="DI838" s="81"/>
      <c r="DJ838" s="81"/>
      <c r="DK838" s="81"/>
      <c r="DL838" s="81"/>
      <c r="DM838" s="81"/>
      <c r="DN838" s="81"/>
      <c r="DO838" s="81"/>
      <c r="DP838" s="81"/>
      <c r="DQ838" s="81"/>
      <c r="DR838" s="81"/>
      <c r="DS838" s="81"/>
      <c r="DT838" s="81"/>
      <c r="DU838" s="81"/>
      <c r="DV838" s="81"/>
      <c r="DW838" s="121"/>
    </row>
    <row r="839" spans="1:127" x14ac:dyDescent="0.25">
      <c r="A839" s="2">
        <f>COUNTIF($D$2:D839,'Reporte de Nomina'!$E$2)</f>
        <v>0</v>
      </c>
      <c r="B839" s="125">
        <f>Lista!A838</f>
        <v>0</v>
      </c>
      <c r="C839" s="125">
        <f>Lista!B838</f>
        <v>0</v>
      </c>
      <c r="D839" s="125">
        <f>Lista!C838</f>
        <v>0</v>
      </c>
      <c r="E839" s="125">
        <f>Lista!D838</f>
        <v>0</v>
      </c>
      <c r="F839" s="125">
        <f>Lista!E838</f>
        <v>0</v>
      </c>
      <c r="G839" s="125">
        <f>Lista!F838</f>
        <v>0</v>
      </c>
      <c r="H839" s="125">
        <f>Lista!G838</f>
        <v>0</v>
      </c>
      <c r="I839" s="125">
        <f>Lista!H838</f>
        <v>0</v>
      </c>
      <c r="J839" s="125">
        <f>Lista!I838</f>
        <v>0</v>
      </c>
      <c r="K839" s="125">
        <f>Lista!J838</f>
        <v>0</v>
      </c>
      <c r="L839" s="125">
        <f>Lista!K838</f>
        <v>0</v>
      </c>
      <c r="M839" s="125">
        <f>Lista!L838</f>
        <v>0</v>
      </c>
      <c r="N839" s="125">
        <f>Lista!M838</f>
        <v>0</v>
      </c>
      <c r="O839" s="125">
        <f>Lista!N838</f>
        <v>0</v>
      </c>
      <c r="P839" s="125">
        <f>Lista!O838</f>
        <v>0</v>
      </c>
      <c r="Q839" s="125">
        <f>Lista!P838</f>
        <v>0</v>
      </c>
      <c r="R839" s="125">
        <f>Lista!Q838</f>
        <v>0</v>
      </c>
      <c r="S839" s="125">
        <f>Lista!R838</f>
        <v>0</v>
      </c>
      <c r="T839" s="81"/>
      <c r="U839" s="81"/>
      <c r="V839" s="81"/>
      <c r="W839" s="81"/>
      <c r="X839" s="81"/>
      <c r="Y839" s="81"/>
      <c r="Z839" s="81"/>
      <c r="AA839" s="81"/>
      <c r="AB839" s="81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  <c r="BS839" s="81"/>
      <c r="BT839" s="81"/>
      <c r="BU839" s="81"/>
      <c r="BV839" s="81"/>
      <c r="BW839" s="81"/>
      <c r="BX839" s="81"/>
      <c r="BY839" s="81"/>
      <c r="BZ839" s="81"/>
      <c r="CA839" s="81"/>
      <c r="CB839" s="81"/>
      <c r="CC839" s="81"/>
      <c r="CD839" s="81"/>
      <c r="CE839" s="81"/>
      <c r="CF839" s="81"/>
      <c r="CG839" s="81"/>
      <c r="CH839" s="81"/>
      <c r="CI839" s="81"/>
      <c r="CJ839" s="81"/>
      <c r="CK839" s="81"/>
      <c r="CL839" s="81"/>
      <c r="CM839" s="81"/>
      <c r="CN839" s="81"/>
      <c r="CO839" s="81"/>
      <c r="CP839" s="81"/>
      <c r="CQ839" s="81"/>
      <c r="CR839" s="81"/>
      <c r="CS839" s="81"/>
      <c r="CT839" s="81"/>
      <c r="CU839" s="81"/>
      <c r="CV839" s="81"/>
      <c r="CW839" s="81"/>
      <c r="CX839" s="81"/>
      <c r="CY839" s="81"/>
      <c r="CZ839" s="81"/>
      <c r="DA839" s="81"/>
      <c r="DB839" s="81"/>
      <c r="DC839" s="81"/>
      <c r="DD839" s="81"/>
      <c r="DE839" s="81"/>
      <c r="DF839" s="81"/>
      <c r="DG839" s="81"/>
      <c r="DH839" s="81"/>
      <c r="DI839" s="81"/>
      <c r="DJ839" s="81"/>
      <c r="DK839" s="81"/>
      <c r="DL839" s="81"/>
      <c r="DM839" s="81"/>
      <c r="DN839" s="81"/>
      <c r="DO839" s="81"/>
      <c r="DP839" s="81"/>
      <c r="DQ839" s="81"/>
      <c r="DR839" s="81"/>
      <c r="DS839" s="81"/>
      <c r="DT839" s="81"/>
      <c r="DU839" s="81"/>
      <c r="DV839" s="81"/>
      <c r="DW839" s="121"/>
    </row>
    <row r="840" spans="1:127" x14ac:dyDescent="0.25">
      <c r="A840" s="2">
        <f>COUNTIF($D$2:D840,'Reporte de Nomina'!$E$2)</f>
        <v>0</v>
      </c>
      <c r="B840" s="125">
        <f>Lista!A839</f>
        <v>0</v>
      </c>
      <c r="C840" s="125">
        <f>Lista!B839</f>
        <v>0</v>
      </c>
      <c r="D840" s="125">
        <f>Lista!C839</f>
        <v>0</v>
      </c>
      <c r="E840" s="125">
        <f>Lista!D839</f>
        <v>0</v>
      </c>
      <c r="F840" s="125">
        <f>Lista!E839</f>
        <v>0</v>
      </c>
      <c r="G840" s="125">
        <f>Lista!F839</f>
        <v>0</v>
      </c>
      <c r="H840" s="125">
        <f>Lista!G839</f>
        <v>0</v>
      </c>
      <c r="I840" s="125">
        <f>Lista!H839</f>
        <v>0</v>
      </c>
      <c r="J840" s="125">
        <f>Lista!I839</f>
        <v>0</v>
      </c>
      <c r="K840" s="125">
        <f>Lista!J839</f>
        <v>0</v>
      </c>
      <c r="L840" s="125">
        <f>Lista!K839</f>
        <v>0</v>
      </c>
      <c r="M840" s="125">
        <f>Lista!L839</f>
        <v>0</v>
      </c>
      <c r="N840" s="125">
        <f>Lista!M839</f>
        <v>0</v>
      </c>
      <c r="O840" s="125">
        <f>Lista!N839</f>
        <v>0</v>
      </c>
      <c r="P840" s="125">
        <f>Lista!O839</f>
        <v>0</v>
      </c>
      <c r="Q840" s="125">
        <f>Lista!P839</f>
        <v>0</v>
      </c>
      <c r="R840" s="125">
        <f>Lista!Q839</f>
        <v>0</v>
      </c>
      <c r="S840" s="125">
        <f>Lista!R839</f>
        <v>0</v>
      </c>
      <c r="T840" s="81"/>
      <c r="U840" s="81"/>
      <c r="V840" s="81"/>
      <c r="W840" s="81"/>
      <c r="X840" s="81"/>
      <c r="Y840" s="81"/>
      <c r="Z840" s="81"/>
      <c r="AA840" s="81"/>
      <c r="AB840" s="81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  <c r="BS840" s="81"/>
      <c r="BT840" s="81"/>
      <c r="BU840" s="81"/>
      <c r="BV840" s="81"/>
      <c r="BW840" s="81"/>
      <c r="BX840" s="81"/>
      <c r="BY840" s="81"/>
      <c r="BZ840" s="81"/>
      <c r="CA840" s="81"/>
      <c r="CB840" s="81"/>
      <c r="CC840" s="81"/>
      <c r="CD840" s="81"/>
      <c r="CE840" s="81"/>
      <c r="CF840" s="81"/>
      <c r="CG840" s="81"/>
      <c r="CH840" s="81"/>
      <c r="CI840" s="81"/>
      <c r="CJ840" s="81"/>
      <c r="CK840" s="81"/>
      <c r="CL840" s="81"/>
      <c r="CM840" s="81"/>
      <c r="CN840" s="81"/>
      <c r="CO840" s="81"/>
      <c r="CP840" s="81"/>
      <c r="CQ840" s="81"/>
      <c r="CR840" s="81"/>
      <c r="CS840" s="81"/>
      <c r="CT840" s="81"/>
      <c r="CU840" s="81"/>
      <c r="CV840" s="81"/>
      <c r="CW840" s="81"/>
      <c r="CX840" s="81"/>
      <c r="CY840" s="81"/>
      <c r="CZ840" s="81"/>
      <c r="DA840" s="81"/>
      <c r="DB840" s="81"/>
      <c r="DC840" s="81"/>
      <c r="DD840" s="81"/>
      <c r="DE840" s="81"/>
      <c r="DF840" s="81"/>
      <c r="DG840" s="81"/>
      <c r="DH840" s="81"/>
      <c r="DI840" s="81"/>
      <c r="DJ840" s="81"/>
      <c r="DK840" s="81"/>
      <c r="DL840" s="81"/>
      <c r="DM840" s="81"/>
      <c r="DN840" s="81"/>
      <c r="DO840" s="81"/>
      <c r="DP840" s="81"/>
      <c r="DQ840" s="81"/>
      <c r="DR840" s="81"/>
      <c r="DS840" s="81"/>
      <c r="DT840" s="81"/>
      <c r="DU840" s="81"/>
      <c r="DV840" s="81"/>
      <c r="DW840" s="121"/>
    </row>
    <row r="841" spans="1:127" x14ac:dyDescent="0.25">
      <c r="A841" s="2">
        <f>COUNTIF($D$2:D841,'Reporte de Nomina'!$E$2)</f>
        <v>0</v>
      </c>
      <c r="B841" s="125">
        <f>Lista!A840</f>
        <v>0</v>
      </c>
      <c r="C841" s="125">
        <f>Lista!B840</f>
        <v>0</v>
      </c>
      <c r="D841" s="125">
        <f>Lista!C840</f>
        <v>0</v>
      </c>
      <c r="E841" s="125">
        <f>Lista!D840</f>
        <v>0</v>
      </c>
      <c r="F841" s="125">
        <f>Lista!E840</f>
        <v>0</v>
      </c>
      <c r="G841" s="125">
        <f>Lista!F840</f>
        <v>0</v>
      </c>
      <c r="H841" s="125">
        <f>Lista!G840</f>
        <v>0</v>
      </c>
      <c r="I841" s="125">
        <f>Lista!H840</f>
        <v>0</v>
      </c>
      <c r="J841" s="125">
        <f>Lista!I840</f>
        <v>0</v>
      </c>
      <c r="K841" s="125">
        <f>Lista!J840</f>
        <v>0</v>
      </c>
      <c r="L841" s="125">
        <f>Lista!K840</f>
        <v>0</v>
      </c>
      <c r="M841" s="125">
        <f>Lista!L840</f>
        <v>0</v>
      </c>
      <c r="N841" s="125">
        <f>Lista!M840</f>
        <v>0</v>
      </c>
      <c r="O841" s="125">
        <f>Lista!N840</f>
        <v>0</v>
      </c>
      <c r="P841" s="125">
        <f>Lista!O840</f>
        <v>0</v>
      </c>
      <c r="Q841" s="125">
        <f>Lista!P840</f>
        <v>0</v>
      </c>
      <c r="R841" s="125">
        <f>Lista!Q840</f>
        <v>0</v>
      </c>
      <c r="S841" s="125">
        <f>Lista!R840</f>
        <v>0</v>
      </c>
      <c r="T841" s="81"/>
      <c r="U841" s="81"/>
      <c r="V841" s="81"/>
      <c r="W841" s="81"/>
      <c r="X841" s="81"/>
      <c r="Y841" s="81"/>
      <c r="Z841" s="81"/>
      <c r="AA841" s="81"/>
      <c r="AB841" s="81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  <c r="BS841" s="81"/>
      <c r="BT841" s="81"/>
      <c r="BU841" s="81"/>
      <c r="BV841" s="81"/>
      <c r="BW841" s="81"/>
      <c r="BX841" s="81"/>
      <c r="BY841" s="81"/>
      <c r="BZ841" s="81"/>
      <c r="CA841" s="81"/>
      <c r="CB841" s="81"/>
      <c r="CC841" s="81"/>
      <c r="CD841" s="81"/>
      <c r="CE841" s="81"/>
      <c r="CF841" s="81"/>
      <c r="CG841" s="81"/>
      <c r="CH841" s="81"/>
      <c r="CI841" s="81"/>
      <c r="CJ841" s="81"/>
      <c r="CK841" s="81"/>
      <c r="CL841" s="81"/>
      <c r="CM841" s="81"/>
      <c r="CN841" s="81"/>
      <c r="CO841" s="81"/>
      <c r="CP841" s="81"/>
      <c r="CQ841" s="81"/>
      <c r="CR841" s="81"/>
      <c r="CS841" s="81"/>
      <c r="CT841" s="81"/>
      <c r="CU841" s="81"/>
      <c r="CV841" s="81"/>
      <c r="CW841" s="81"/>
      <c r="CX841" s="81"/>
      <c r="CY841" s="81"/>
      <c r="CZ841" s="81"/>
      <c r="DA841" s="81"/>
      <c r="DB841" s="81"/>
      <c r="DC841" s="81"/>
      <c r="DD841" s="81"/>
      <c r="DE841" s="81"/>
      <c r="DF841" s="81"/>
      <c r="DG841" s="81"/>
      <c r="DH841" s="81"/>
      <c r="DI841" s="81"/>
      <c r="DJ841" s="81"/>
      <c r="DK841" s="81"/>
      <c r="DL841" s="81"/>
      <c r="DM841" s="81"/>
      <c r="DN841" s="81"/>
      <c r="DO841" s="81"/>
      <c r="DP841" s="81"/>
      <c r="DQ841" s="81"/>
      <c r="DR841" s="81"/>
      <c r="DS841" s="81"/>
      <c r="DT841" s="81"/>
      <c r="DU841" s="81"/>
      <c r="DV841" s="81"/>
      <c r="DW841" s="121"/>
    </row>
    <row r="842" spans="1:127" x14ac:dyDescent="0.25">
      <c r="A842" s="2">
        <f>COUNTIF($D$2:D842,'Reporte de Nomina'!$E$2)</f>
        <v>0</v>
      </c>
      <c r="B842" s="125">
        <f>Lista!A841</f>
        <v>0</v>
      </c>
      <c r="C842" s="125">
        <f>Lista!B841</f>
        <v>0</v>
      </c>
      <c r="D842" s="125">
        <f>Lista!C841</f>
        <v>0</v>
      </c>
      <c r="E842" s="125">
        <f>Lista!D841</f>
        <v>0</v>
      </c>
      <c r="F842" s="125">
        <f>Lista!E841</f>
        <v>0</v>
      </c>
      <c r="G842" s="125">
        <f>Lista!F841</f>
        <v>0</v>
      </c>
      <c r="H842" s="125">
        <f>Lista!G841</f>
        <v>0</v>
      </c>
      <c r="I842" s="125">
        <f>Lista!H841</f>
        <v>0</v>
      </c>
      <c r="J842" s="125">
        <f>Lista!I841</f>
        <v>0</v>
      </c>
      <c r="K842" s="125">
        <f>Lista!J841</f>
        <v>0</v>
      </c>
      <c r="L842" s="125">
        <f>Lista!K841</f>
        <v>0</v>
      </c>
      <c r="M842" s="125">
        <f>Lista!L841</f>
        <v>0</v>
      </c>
      <c r="N842" s="125">
        <f>Lista!M841</f>
        <v>0</v>
      </c>
      <c r="O842" s="125">
        <f>Lista!N841</f>
        <v>0</v>
      </c>
      <c r="P842" s="125">
        <f>Lista!O841</f>
        <v>0</v>
      </c>
      <c r="Q842" s="125">
        <f>Lista!P841</f>
        <v>0</v>
      </c>
      <c r="R842" s="125">
        <f>Lista!Q841</f>
        <v>0</v>
      </c>
      <c r="S842" s="125">
        <f>Lista!R841</f>
        <v>0</v>
      </c>
      <c r="T842" s="81"/>
      <c r="U842" s="81"/>
      <c r="V842" s="81"/>
      <c r="W842" s="81"/>
      <c r="X842" s="81"/>
      <c r="Y842" s="81"/>
      <c r="Z842" s="81"/>
      <c r="AA842" s="81"/>
      <c r="AB842" s="81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  <c r="BS842" s="81"/>
      <c r="BT842" s="81"/>
      <c r="BU842" s="81"/>
      <c r="BV842" s="81"/>
      <c r="BW842" s="81"/>
      <c r="BX842" s="81"/>
      <c r="BY842" s="81"/>
      <c r="BZ842" s="81"/>
      <c r="CA842" s="81"/>
      <c r="CB842" s="81"/>
      <c r="CC842" s="81"/>
      <c r="CD842" s="81"/>
      <c r="CE842" s="81"/>
      <c r="CF842" s="81"/>
      <c r="CG842" s="81"/>
      <c r="CH842" s="81"/>
      <c r="CI842" s="81"/>
      <c r="CJ842" s="81"/>
      <c r="CK842" s="81"/>
      <c r="CL842" s="81"/>
      <c r="CM842" s="81"/>
      <c r="CN842" s="81"/>
      <c r="CO842" s="81"/>
      <c r="CP842" s="81"/>
      <c r="CQ842" s="81"/>
      <c r="CR842" s="81"/>
      <c r="CS842" s="81"/>
      <c r="CT842" s="81"/>
      <c r="CU842" s="81"/>
      <c r="CV842" s="81"/>
      <c r="CW842" s="81"/>
      <c r="CX842" s="81"/>
      <c r="CY842" s="81"/>
      <c r="CZ842" s="81"/>
      <c r="DA842" s="81"/>
      <c r="DB842" s="81"/>
      <c r="DC842" s="81"/>
      <c r="DD842" s="81"/>
      <c r="DE842" s="81"/>
      <c r="DF842" s="81"/>
      <c r="DG842" s="81"/>
      <c r="DH842" s="81"/>
      <c r="DI842" s="81"/>
      <c r="DJ842" s="81"/>
      <c r="DK842" s="81"/>
      <c r="DL842" s="81"/>
      <c r="DM842" s="81"/>
      <c r="DN842" s="81"/>
      <c r="DO842" s="81"/>
      <c r="DP842" s="81"/>
      <c r="DQ842" s="81"/>
      <c r="DR842" s="81"/>
      <c r="DS842" s="81"/>
      <c r="DT842" s="81"/>
      <c r="DU842" s="81"/>
      <c r="DV842" s="81"/>
      <c r="DW842" s="121"/>
    </row>
    <row r="843" spans="1:127" x14ac:dyDescent="0.25">
      <c r="A843" s="2">
        <f>COUNTIF($D$2:D843,'Reporte de Nomina'!$E$2)</f>
        <v>0</v>
      </c>
      <c r="B843" s="125">
        <f>Lista!A842</f>
        <v>0</v>
      </c>
      <c r="C843" s="125">
        <f>Lista!B842</f>
        <v>0</v>
      </c>
      <c r="D843" s="125">
        <f>Lista!C842</f>
        <v>0</v>
      </c>
      <c r="E843" s="125">
        <f>Lista!D842</f>
        <v>0</v>
      </c>
      <c r="F843" s="125">
        <f>Lista!E842</f>
        <v>0</v>
      </c>
      <c r="G843" s="125">
        <f>Lista!F842</f>
        <v>0</v>
      </c>
      <c r="H843" s="125">
        <f>Lista!G842</f>
        <v>0</v>
      </c>
      <c r="I843" s="125">
        <f>Lista!H842</f>
        <v>0</v>
      </c>
      <c r="J843" s="125">
        <f>Lista!I842</f>
        <v>0</v>
      </c>
      <c r="K843" s="125">
        <f>Lista!J842</f>
        <v>0</v>
      </c>
      <c r="L843" s="125">
        <f>Lista!K842</f>
        <v>0</v>
      </c>
      <c r="M843" s="125">
        <f>Lista!L842</f>
        <v>0</v>
      </c>
      <c r="N843" s="125">
        <f>Lista!M842</f>
        <v>0</v>
      </c>
      <c r="O843" s="125">
        <f>Lista!N842</f>
        <v>0</v>
      </c>
      <c r="P843" s="125">
        <f>Lista!O842</f>
        <v>0</v>
      </c>
      <c r="Q843" s="125">
        <f>Lista!P842</f>
        <v>0</v>
      </c>
      <c r="R843" s="125">
        <f>Lista!Q842</f>
        <v>0</v>
      </c>
      <c r="S843" s="125">
        <f>Lista!R842</f>
        <v>0</v>
      </c>
      <c r="T843" s="81"/>
      <c r="U843" s="81"/>
      <c r="V843" s="81"/>
      <c r="W843" s="81"/>
      <c r="X843" s="81"/>
      <c r="Y843" s="81"/>
      <c r="Z843" s="81"/>
      <c r="AA843" s="81"/>
      <c r="AB843" s="81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  <c r="BS843" s="81"/>
      <c r="BT843" s="81"/>
      <c r="BU843" s="81"/>
      <c r="BV843" s="81"/>
      <c r="BW843" s="81"/>
      <c r="BX843" s="81"/>
      <c r="BY843" s="81"/>
      <c r="BZ843" s="81"/>
      <c r="CA843" s="81"/>
      <c r="CB843" s="81"/>
      <c r="CC843" s="81"/>
      <c r="CD843" s="81"/>
      <c r="CE843" s="81"/>
      <c r="CF843" s="81"/>
      <c r="CG843" s="81"/>
      <c r="CH843" s="81"/>
      <c r="CI843" s="81"/>
      <c r="CJ843" s="81"/>
      <c r="CK843" s="81"/>
      <c r="CL843" s="81"/>
      <c r="CM843" s="81"/>
      <c r="CN843" s="81"/>
      <c r="CO843" s="81"/>
      <c r="CP843" s="81"/>
      <c r="CQ843" s="81"/>
      <c r="CR843" s="81"/>
      <c r="CS843" s="81"/>
      <c r="CT843" s="81"/>
      <c r="CU843" s="81"/>
      <c r="CV843" s="81"/>
      <c r="CW843" s="81"/>
      <c r="CX843" s="81"/>
      <c r="CY843" s="81"/>
      <c r="CZ843" s="81"/>
      <c r="DA843" s="81"/>
      <c r="DB843" s="81"/>
      <c r="DC843" s="81"/>
      <c r="DD843" s="81"/>
      <c r="DE843" s="81"/>
      <c r="DF843" s="81"/>
      <c r="DG843" s="81"/>
      <c r="DH843" s="81"/>
      <c r="DI843" s="81"/>
      <c r="DJ843" s="81"/>
      <c r="DK843" s="81"/>
      <c r="DL843" s="81"/>
      <c r="DM843" s="81"/>
      <c r="DN843" s="81"/>
      <c r="DO843" s="81"/>
      <c r="DP843" s="81"/>
      <c r="DQ843" s="81"/>
      <c r="DR843" s="81"/>
      <c r="DS843" s="81"/>
      <c r="DT843" s="81"/>
      <c r="DU843" s="81"/>
      <c r="DV843" s="81"/>
      <c r="DW843" s="121"/>
    </row>
    <row r="844" spans="1:127" x14ac:dyDescent="0.25">
      <c r="A844" s="2">
        <f>COUNTIF($D$2:D844,'Reporte de Nomina'!$E$2)</f>
        <v>0</v>
      </c>
      <c r="B844" s="125">
        <f>Lista!A843</f>
        <v>0</v>
      </c>
      <c r="C844" s="125">
        <f>Lista!B843</f>
        <v>0</v>
      </c>
      <c r="D844" s="125">
        <f>Lista!C843</f>
        <v>0</v>
      </c>
      <c r="E844" s="125">
        <f>Lista!D843</f>
        <v>0</v>
      </c>
      <c r="F844" s="125">
        <f>Lista!E843</f>
        <v>0</v>
      </c>
      <c r="G844" s="125">
        <f>Lista!F843</f>
        <v>0</v>
      </c>
      <c r="H844" s="125">
        <f>Lista!G843</f>
        <v>0</v>
      </c>
      <c r="I844" s="125">
        <f>Lista!H843</f>
        <v>0</v>
      </c>
      <c r="J844" s="125">
        <f>Lista!I843</f>
        <v>0</v>
      </c>
      <c r="K844" s="125">
        <f>Lista!J843</f>
        <v>0</v>
      </c>
      <c r="L844" s="125">
        <f>Lista!K843</f>
        <v>0</v>
      </c>
      <c r="M844" s="125">
        <f>Lista!L843</f>
        <v>0</v>
      </c>
      <c r="N844" s="125">
        <f>Lista!M843</f>
        <v>0</v>
      </c>
      <c r="O844" s="125">
        <f>Lista!N843</f>
        <v>0</v>
      </c>
      <c r="P844" s="125">
        <f>Lista!O843</f>
        <v>0</v>
      </c>
      <c r="Q844" s="125">
        <f>Lista!P843</f>
        <v>0</v>
      </c>
      <c r="R844" s="125">
        <f>Lista!Q843</f>
        <v>0</v>
      </c>
      <c r="S844" s="125">
        <f>Lista!R843</f>
        <v>0</v>
      </c>
      <c r="T844" s="81"/>
      <c r="U844" s="81"/>
      <c r="V844" s="81"/>
      <c r="W844" s="81"/>
      <c r="X844" s="81"/>
      <c r="Y844" s="81"/>
      <c r="Z844" s="81"/>
      <c r="AA844" s="81"/>
      <c r="AB844" s="81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  <c r="BS844" s="81"/>
      <c r="BT844" s="81"/>
      <c r="BU844" s="81"/>
      <c r="BV844" s="81"/>
      <c r="BW844" s="81"/>
      <c r="BX844" s="81"/>
      <c r="BY844" s="81"/>
      <c r="BZ844" s="81"/>
      <c r="CA844" s="81"/>
      <c r="CB844" s="81"/>
      <c r="CC844" s="81"/>
      <c r="CD844" s="81"/>
      <c r="CE844" s="81"/>
      <c r="CF844" s="81"/>
      <c r="CG844" s="81"/>
      <c r="CH844" s="81"/>
      <c r="CI844" s="81"/>
      <c r="CJ844" s="81"/>
      <c r="CK844" s="81"/>
      <c r="CL844" s="81"/>
      <c r="CM844" s="81"/>
      <c r="CN844" s="81"/>
      <c r="CO844" s="81"/>
      <c r="CP844" s="81"/>
      <c r="CQ844" s="81"/>
      <c r="CR844" s="81"/>
      <c r="CS844" s="81"/>
      <c r="CT844" s="81"/>
      <c r="CU844" s="81"/>
      <c r="CV844" s="81"/>
      <c r="CW844" s="81"/>
      <c r="CX844" s="81"/>
      <c r="CY844" s="81"/>
      <c r="CZ844" s="81"/>
      <c r="DA844" s="81"/>
      <c r="DB844" s="81"/>
      <c r="DC844" s="81"/>
      <c r="DD844" s="81"/>
      <c r="DE844" s="81"/>
      <c r="DF844" s="81"/>
      <c r="DG844" s="81"/>
      <c r="DH844" s="81"/>
      <c r="DI844" s="81"/>
      <c r="DJ844" s="81"/>
      <c r="DK844" s="81"/>
      <c r="DL844" s="81"/>
      <c r="DM844" s="81"/>
      <c r="DN844" s="81"/>
      <c r="DO844" s="81"/>
      <c r="DP844" s="81"/>
      <c r="DQ844" s="81"/>
      <c r="DR844" s="81"/>
      <c r="DS844" s="81"/>
      <c r="DT844" s="81"/>
      <c r="DU844" s="81"/>
      <c r="DV844" s="81"/>
      <c r="DW844" s="121"/>
    </row>
    <row r="845" spans="1:127" x14ac:dyDescent="0.25">
      <c r="A845" s="2">
        <f>COUNTIF($D$2:D845,'Reporte de Nomina'!$E$2)</f>
        <v>0</v>
      </c>
      <c r="B845" s="125">
        <f>Lista!A844</f>
        <v>0</v>
      </c>
      <c r="C845" s="125">
        <f>Lista!B844</f>
        <v>0</v>
      </c>
      <c r="D845" s="125">
        <f>Lista!C844</f>
        <v>0</v>
      </c>
      <c r="E845" s="125">
        <f>Lista!D844</f>
        <v>0</v>
      </c>
      <c r="F845" s="125">
        <f>Lista!E844</f>
        <v>0</v>
      </c>
      <c r="G845" s="125">
        <f>Lista!F844</f>
        <v>0</v>
      </c>
      <c r="H845" s="125">
        <f>Lista!G844</f>
        <v>0</v>
      </c>
      <c r="I845" s="125">
        <f>Lista!H844</f>
        <v>0</v>
      </c>
      <c r="J845" s="125">
        <f>Lista!I844</f>
        <v>0</v>
      </c>
      <c r="K845" s="125">
        <f>Lista!J844</f>
        <v>0</v>
      </c>
      <c r="L845" s="125">
        <f>Lista!K844</f>
        <v>0</v>
      </c>
      <c r="M845" s="125">
        <f>Lista!L844</f>
        <v>0</v>
      </c>
      <c r="N845" s="125">
        <f>Lista!M844</f>
        <v>0</v>
      </c>
      <c r="O845" s="125">
        <f>Lista!N844</f>
        <v>0</v>
      </c>
      <c r="P845" s="125">
        <f>Lista!O844</f>
        <v>0</v>
      </c>
      <c r="Q845" s="125">
        <f>Lista!P844</f>
        <v>0</v>
      </c>
      <c r="R845" s="125">
        <f>Lista!Q844</f>
        <v>0</v>
      </c>
      <c r="S845" s="125">
        <f>Lista!R844</f>
        <v>0</v>
      </c>
      <c r="T845" s="81"/>
      <c r="U845" s="81"/>
      <c r="V845" s="81"/>
      <c r="W845" s="81"/>
      <c r="X845" s="81"/>
      <c r="Y845" s="81"/>
      <c r="Z845" s="81"/>
      <c r="AA845" s="81"/>
      <c r="AB845" s="81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  <c r="BS845" s="81"/>
      <c r="BT845" s="81"/>
      <c r="BU845" s="81"/>
      <c r="BV845" s="81"/>
      <c r="BW845" s="81"/>
      <c r="BX845" s="81"/>
      <c r="BY845" s="81"/>
      <c r="BZ845" s="81"/>
      <c r="CA845" s="81"/>
      <c r="CB845" s="81"/>
      <c r="CC845" s="81"/>
      <c r="CD845" s="81"/>
      <c r="CE845" s="81"/>
      <c r="CF845" s="81"/>
      <c r="CG845" s="81"/>
      <c r="CH845" s="81"/>
      <c r="CI845" s="81"/>
      <c r="CJ845" s="81"/>
      <c r="CK845" s="81"/>
      <c r="CL845" s="81"/>
      <c r="CM845" s="81"/>
      <c r="CN845" s="81"/>
      <c r="CO845" s="81"/>
      <c r="CP845" s="81"/>
      <c r="CQ845" s="81"/>
      <c r="CR845" s="81"/>
      <c r="CS845" s="81"/>
      <c r="CT845" s="81"/>
      <c r="CU845" s="81"/>
      <c r="CV845" s="81"/>
      <c r="CW845" s="81"/>
      <c r="CX845" s="81"/>
      <c r="CY845" s="81"/>
      <c r="CZ845" s="81"/>
      <c r="DA845" s="81"/>
      <c r="DB845" s="81"/>
      <c r="DC845" s="81"/>
      <c r="DD845" s="81"/>
      <c r="DE845" s="81"/>
      <c r="DF845" s="81"/>
      <c r="DG845" s="81"/>
      <c r="DH845" s="81"/>
      <c r="DI845" s="81"/>
      <c r="DJ845" s="81"/>
      <c r="DK845" s="81"/>
      <c r="DL845" s="81"/>
      <c r="DM845" s="81"/>
      <c r="DN845" s="81"/>
      <c r="DO845" s="81"/>
      <c r="DP845" s="81"/>
      <c r="DQ845" s="81"/>
      <c r="DR845" s="81"/>
      <c r="DS845" s="81"/>
      <c r="DT845" s="81"/>
      <c r="DU845" s="81"/>
      <c r="DV845" s="81"/>
      <c r="DW845" s="121"/>
    </row>
    <row r="846" spans="1:127" x14ac:dyDescent="0.25">
      <c r="A846" s="2">
        <f>COUNTIF($D$2:D846,'Reporte de Nomina'!$E$2)</f>
        <v>0</v>
      </c>
      <c r="B846" s="125">
        <f>Lista!A845</f>
        <v>0</v>
      </c>
      <c r="C846" s="125">
        <f>Lista!B845</f>
        <v>0</v>
      </c>
      <c r="D846" s="125">
        <f>Lista!C845</f>
        <v>0</v>
      </c>
      <c r="E846" s="125">
        <f>Lista!D845</f>
        <v>0</v>
      </c>
      <c r="F846" s="125">
        <f>Lista!E845</f>
        <v>0</v>
      </c>
      <c r="G846" s="125">
        <f>Lista!F845</f>
        <v>0</v>
      </c>
      <c r="H846" s="125">
        <f>Lista!G845</f>
        <v>0</v>
      </c>
      <c r="I846" s="125">
        <f>Lista!H845</f>
        <v>0</v>
      </c>
      <c r="J846" s="125">
        <f>Lista!I845</f>
        <v>0</v>
      </c>
      <c r="K846" s="125">
        <f>Lista!J845</f>
        <v>0</v>
      </c>
      <c r="L846" s="125">
        <f>Lista!K845</f>
        <v>0</v>
      </c>
      <c r="M846" s="125">
        <f>Lista!L845</f>
        <v>0</v>
      </c>
      <c r="N846" s="125">
        <f>Lista!M845</f>
        <v>0</v>
      </c>
      <c r="O846" s="125">
        <f>Lista!N845</f>
        <v>0</v>
      </c>
      <c r="P846" s="125">
        <f>Lista!O845</f>
        <v>0</v>
      </c>
      <c r="Q846" s="125">
        <f>Lista!P845</f>
        <v>0</v>
      </c>
      <c r="R846" s="125">
        <f>Lista!Q845</f>
        <v>0</v>
      </c>
      <c r="S846" s="125">
        <f>Lista!R845</f>
        <v>0</v>
      </c>
      <c r="T846" s="81"/>
      <c r="U846" s="81"/>
      <c r="V846" s="81"/>
      <c r="W846" s="81"/>
      <c r="X846" s="81"/>
      <c r="Y846" s="81"/>
      <c r="Z846" s="81"/>
      <c r="AA846" s="81"/>
      <c r="AB846" s="81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  <c r="BS846" s="81"/>
      <c r="BT846" s="81"/>
      <c r="BU846" s="81"/>
      <c r="BV846" s="81"/>
      <c r="BW846" s="81"/>
      <c r="BX846" s="81"/>
      <c r="BY846" s="81"/>
      <c r="BZ846" s="81"/>
      <c r="CA846" s="81"/>
      <c r="CB846" s="81"/>
      <c r="CC846" s="81"/>
      <c r="CD846" s="81"/>
      <c r="CE846" s="81"/>
      <c r="CF846" s="81"/>
      <c r="CG846" s="81"/>
      <c r="CH846" s="81"/>
      <c r="CI846" s="81"/>
      <c r="CJ846" s="81"/>
      <c r="CK846" s="81"/>
      <c r="CL846" s="81"/>
      <c r="CM846" s="81"/>
      <c r="CN846" s="81"/>
      <c r="CO846" s="81"/>
      <c r="CP846" s="81"/>
      <c r="CQ846" s="81"/>
      <c r="CR846" s="81"/>
      <c r="CS846" s="81"/>
      <c r="CT846" s="81"/>
      <c r="CU846" s="81"/>
      <c r="CV846" s="81"/>
      <c r="CW846" s="81"/>
      <c r="CX846" s="81"/>
      <c r="CY846" s="81"/>
      <c r="CZ846" s="81"/>
      <c r="DA846" s="81"/>
      <c r="DB846" s="81"/>
      <c r="DC846" s="81"/>
      <c r="DD846" s="81"/>
      <c r="DE846" s="81"/>
      <c r="DF846" s="81"/>
      <c r="DG846" s="81"/>
      <c r="DH846" s="81"/>
      <c r="DI846" s="81"/>
      <c r="DJ846" s="81"/>
      <c r="DK846" s="81"/>
      <c r="DL846" s="81"/>
      <c r="DM846" s="81"/>
      <c r="DN846" s="81"/>
      <c r="DO846" s="81"/>
      <c r="DP846" s="81"/>
      <c r="DQ846" s="81"/>
      <c r="DR846" s="81"/>
      <c r="DS846" s="81"/>
      <c r="DT846" s="81"/>
      <c r="DU846" s="81"/>
      <c r="DV846" s="81"/>
      <c r="DW846" s="121"/>
    </row>
    <row r="847" spans="1:127" x14ac:dyDescent="0.25">
      <c r="A847" s="2">
        <f>COUNTIF($D$2:D847,'Reporte de Nomina'!$E$2)</f>
        <v>0</v>
      </c>
      <c r="B847" s="125">
        <f>Lista!A846</f>
        <v>0</v>
      </c>
      <c r="C847" s="125">
        <f>Lista!B846</f>
        <v>0</v>
      </c>
      <c r="D847" s="125">
        <f>Lista!C846</f>
        <v>0</v>
      </c>
      <c r="E847" s="125">
        <f>Lista!D846</f>
        <v>0</v>
      </c>
      <c r="F847" s="125">
        <f>Lista!E846</f>
        <v>0</v>
      </c>
      <c r="G847" s="125">
        <f>Lista!F846</f>
        <v>0</v>
      </c>
      <c r="H847" s="125">
        <f>Lista!G846</f>
        <v>0</v>
      </c>
      <c r="I847" s="125">
        <f>Lista!H846</f>
        <v>0</v>
      </c>
      <c r="J847" s="125">
        <f>Lista!I846</f>
        <v>0</v>
      </c>
      <c r="K847" s="125">
        <f>Lista!J846</f>
        <v>0</v>
      </c>
      <c r="L847" s="125">
        <f>Lista!K846</f>
        <v>0</v>
      </c>
      <c r="M847" s="125">
        <f>Lista!L846</f>
        <v>0</v>
      </c>
      <c r="N847" s="125">
        <f>Lista!M846</f>
        <v>0</v>
      </c>
      <c r="O847" s="125">
        <f>Lista!N846</f>
        <v>0</v>
      </c>
      <c r="P847" s="125">
        <f>Lista!O846</f>
        <v>0</v>
      </c>
      <c r="Q847" s="125">
        <f>Lista!P846</f>
        <v>0</v>
      </c>
      <c r="R847" s="125">
        <f>Lista!Q846</f>
        <v>0</v>
      </c>
      <c r="S847" s="125">
        <f>Lista!R846</f>
        <v>0</v>
      </c>
      <c r="T847" s="81"/>
      <c r="U847" s="81"/>
      <c r="V847" s="81"/>
      <c r="W847" s="81"/>
      <c r="X847" s="81"/>
      <c r="Y847" s="81"/>
      <c r="Z847" s="81"/>
      <c r="AA847" s="81"/>
      <c r="AB847" s="81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  <c r="BS847" s="81"/>
      <c r="BT847" s="81"/>
      <c r="BU847" s="81"/>
      <c r="BV847" s="81"/>
      <c r="BW847" s="81"/>
      <c r="BX847" s="81"/>
      <c r="BY847" s="81"/>
      <c r="BZ847" s="81"/>
      <c r="CA847" s="81"/>
      <c r="CB847" s="81"/>
      <c r="CC847" s="81"/>
      <c r="CD847" s="81"/>
      <c r="CE847" s="81"/>
      <c r="CF847" s="81"/>
      <c r="CG847" s="81"/>
      <c r="CH847" s="81"/>
      <c r="CI847" s="81"/>
      <c r="CJ847" s="81"/>
      <c r="CK847" s="81"/>
      <c r="CL847" s="81"/>
      <c r="CM847" s="81"/>
      <c r="CN847" s="81"/>
      <c r="CO847" s="81"/>
      <c r="CP847" s="81"/>
      <c r="CQ847" s="81"/>
      <c r="CR847" s="81"/>
      <c r="CS847" s="81"/>
      <c r="CT847" s="81"/>
      <c r="CU847" s="81"/>
      <c r="CV847" s="81"/>
      <c r="CW847" s="81"/>
      <c r="CX847" s="81"/>
      <c r="CY847" s="81"/>
      <c r="CZ847" s="81"/>
      <c r="DA847" s="81"/>
      <c r="DB847" s="81"/>
      <c r="DC847" s="81"/>
      <c r="DD847" s="81"/>
      <c r="DE847" s="81"/>
      <c r="DF847" s="81"/>
      <c r="DG847" s="81"/>
      <c r="DH847" s="81"/>
      <c r="DI847" s="81"/>
      <c r="DJ847" s="81"/>
      <c r="DK847" s="81"/>
      <c r="DL847" s="81"/>
      <c r="DM847" s="81"/>
      <c r="DN847" s="81"/>
      <c r="DO847" s="81"/>
      <c r="DP847" s="81"/>
      <c r="DQ847" s="81"/>
      <c r="DR847" s="81"/>
      <c r="DS847" s="81"/>
      <c r="DT847" s="81"/>
      <c r="DU847" s="81"/>
      <c r="DV847" s="81"/>
      <c r="DW847" s="121"/>
    </row>
    <row r="848" spans="1:127" x14ac:dyDescent="0.25">
      <c r="A848" s="2">
        <f>COUNTIF($D$2:D848,'Reporte de Nomina'!$E$2)</f>
        <v>0</v>
      </c>
      <c r="B848" s="125">
        <f>Lista!A847</f>
        <v>0</v>
      </c>
      <c r="C848" s="125">
        <f>Lista!B847</f>
        <v>0</v>
      </c>
      <c r="D848" s="125">
        <f>Lista!C847</f>
        <v>0</v>
      </c>
      <c r="E848" s="125">
        <f>Lista!D847</f>
        <v>0</v>
      </c>
      <c r="F848" s="125">
        <f>Lista!E847</f>
        <v>0</v>
      </c>
      <c r="G848" s="125">
        <f>Lista!F847</f>
        <v>0</v>
      </c>
      <c r="H848" s="125">
        <f>Lista!G847</f>
        <v>0</v>
      </c>
      <c r="I848" s="125">
        <f>Lista!H847</f>
        <v>0</v>
      </c>
      <c r="J848" s="125">
        <f>Lista!I847</f>
        <v>0</v>
      </c>
      <c r="K848" s="125">
        <f>Lista!J847</f>
        <v>0</v>
      </c>
      <c r="L848" s="125">
        <f>Lista!K847</f>
        <v>0</v>
      </c>
      <c r="M848" s="125">
        <f>Lista!L847</f>
        <v>0</v>
      </c>
      <c r="N848" s="125">
        <f>Lista!M847</f>
        <v>0</v>
      </c>
      <c r="O848" s="125">
        <f>Lista!N847</f>
        <v>0</v>
      </c>
      <c r="P848" s="125">
        <f>Lista!O847</f>
        <v>0</v>
      </c>
      <c r="Q848" s="125">
        <f>Lista!P847</f>
        <v>0</v>
      </c>
      <c r="R848" s="125">
        <f>Lista!Q847</f>
        <v>0</v>
      </c>
      <c r="S848" s="125">
        <f>Lista!R847</f>
        <v>0</v>
      </c>
      <c r="T848" s="81"/>
      <c r="U848" s="81"/>
      <c r="V848" s="81"/>
      <c r="W848" s="81"/>
      <c r="X848" s="81"/>
      <c r="Y848" s="81"/>
      <c r="Z848" s="81"/>
      <c r="AA848" s="81"/>
      <c r="AB848" s="81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  <c r="BS848" s="81"/>
      <c r="BT848" s="81"/>
      <c r="BU848" s="81"/>
      <c r="BV848" s="81"/>
      <c r="BW848" s="81"/>
      <c r="BX848" s="81"/>
      <c r="BY848" s="81"/>
      <c r="BZ848" s="81"/>
      <c r="CA848" s="81"/>
      <c r="CB848" s="81"/>
      <c r="CC848" s="81"/>
      <c r="CD848" s="81"/>
      <c r="CE848" s="81"/>
      <c r="CF848" s="81"/>
      <c r="CG848" s="81"/>
      <c r="CH848" s="81"/>
      <c r="CI848" s="81"/>
      <c r="CJ848" s="81"/>
      <c r="CK848" s="81"/>
      <c r="CL848" s="81"/>
      <c r="CM848" s="81"/>
      <c r="CN848" s="81"/>
      <c r="CO848" s="81"/>
      <c r="CP848" s="81"/>
      <c r="CQ848" s="81"/>
      <c r="CR848" s="81"/>
      <c r="CS848" s="81"/>
      <c r="CT848" s="81"/>
      <c r="CU848" s="81"/>
      <c r="CV848" s="81"/>
      <c r="CW848" s="81"/>
      <c r="CX848" s="81"/>
      <c r="CY848" s="81"/>
      <c r="CZ848" s="81"/>
      <c r="DA848" s="81"/>
      <c r="DB848" s="81"/>
      <c r="DC848" s="81"/>
      <c r="DD848" s="81"/>
      <c r="DE848" s="81"/>
      <c r="DF848" s="81"/>
      <c r="DG848" s="81"/>
      <c r="DH848" s="81"/>
      <c r="DI848" s="81"/>
      <c r="DJ848" s="81"/>
      <c r="DK848" s="81"/>
      <c r="DL848" s="81"/>
      <c r="DM848" s="81"/>
      <c r="DN848" s="81"/>
      <c r="DO848" s="81"/>
      <c r="DP848" s="81"/>
      <c r="DQ848" s="81"/>
      <c r="DR848" s="81"/>
      <c r="DS848" s="81"/>
      <c r="DT848" s="81"/>
      <c r="DU848" s="81"/>
      <c r="DV848" s="81"/>
      <c r="DW848" s="121"/>
    </row>
    <row r="849" spans="1:127" x14ac:dyDescent="0.25">
      <c r="A849" s="2">
        <f>COUNTIF($D$2:D849,'Reporte de Nomina'!$E$2)</f>
        <v>0</v>
      </c>
      <c r="B849" s="125">
        <f>Lista!A848</f>
        <v>0</v>
      </c>
      <c r="C849" s="125">
        <f>Lista!B848</f>
        <v>0</v>
      </c>
      <c r="D849" s="125">
        <f>Lista!C848</f>
        <v>0</v>
      </c>
      <c r="E849" s="125">
        <f>Lista!D848</f>
        <v>0</v>
      </c>
      <c r="F849" s="125">
        <f>Lista!E848</f>
        <v>0</v>
      </c>
      <c r="G849" s="125">
        <f>Lista!F848</f>
        <v>0</v>
      </c>
      <c r="H849" s="125">
        <f>Lista!G848</f>
        <v>0</v>
      </c>
      <c r="I849" s="125">
        <f>Lista!H848</f>
        <v>0</v>
      </c>
      <c r="J849" s="125">
        <f>Lista!I848</f>
        <v>0</v>
      </c>
      <c r="K849" s="125">
        <f>Lista!J848</f>
        <v>0</v>
      </c>
      <c r="L849" s="125">
        <f>Lista!K848</f>
        <v>0</v>
      </c>
      <c r="M849" s="125">
        <f>Lista!L848</f>
        <v>0</v>
      </c>
      <c r="N849" s="125">
        <f>Lista!M848</f>
        <v>0</v>
      </c>
      <c r="O849" s="125">
        <f>Lista!N848</f>
        <v>0</v>
      </c>
      <c r="P849" s="125">
        <f>Lista!O848</f>
        <v>0</v>
      </c>
      <c r="Q849" s="125">
        <f>Lista!P848</f>
        <v>0</v>
      </c>
      <c r="R849" s="125">
        <f>Lista!Q848</f>
        <v>0</v>
      </c>
      <c r="S849" s="125">
        <f>Lista!R848</f>
        <v>0</v>
      </c>
      <c r="T849" s="81"/>
      <c r="U849" s="81"/>
      <c r="V849" s="81"/>
      <c r="W849" s="81"/>
      <c r="X849" s="81"/>
      <c r="Y849" s="81"/>
      <c r="Z849" s="81"/>
      <c r="AA849" s="81"/>
      <c r="AB849" s="81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  <c r="BS849" s="81"/>
      <c r="BT849" s="81"/>
      <c r="BU849" s="81"/>
      <c r="BV849" s="81"/>
      <c r="BW849" s="81"/>
      <c r="BX849" s="81"/>
      <c r="BY849" s="81"/>
      <c r="BZ849" s="81"/>
      <c r="CA849" s="81"/>
      <c r="CB849" s="81"/>
      <c r="CC849" s="81"/>
      <c r="CD849" s="81"/>
      <c r="CE849" s="81"/>
      <c r="CF849" s="81"/>
      <c r="CG849" s="81"/>
      <c r="CH849" s="81"/>
      <c r="CI849" s="81"/>
      <c r="CJ849" s="81"/>
      <c r="CK849" s="81"/>
      <c r="CL849" s="81"/>
      <c r="CM849" s="81"/>
      <c r="CN849" s="81"/>
      <c r="CO849" s="81"/>
      <c r="CP849" s="81"/>
      <c r="CQ849" s="81"/>
      <c r="CR849" s="81"/>
      <c r="CS849" s="81"/>
      <c r="CT849" s="81"/>
      <c r="CU849" s="81"/>
      <c r="CV849" s="81"/>
      <c r="CW849" s="81"/>
      <c r="CX849" s="81"/>
      <c r="CY849" s="81"/>
      <c r="CZ849" s="81"/>
      <c r="DA849" s="81"/>
      <c r="DB849" s="81"/>
      <c r="DC849" s="81"/>
      <c r="DD849" s="81"/>
      <c r="DE849" s="81"/>
      <c r="DF849" s="81"/>
      <c r="DG849" s="81"/>
      <c r="DH849" s="81"/>
      <c r="DI849" s="81"/>
      <c r="DJ849" s="81"/>
      <c r="DK849" s="81"/>
      <c r="DL849" s="81"/>
      <c r="DM849" s="81"/>
      <c r="DN849" s="81"/>
      <c r="DO849" s="81"/>
      <c r="DP849" s="81"/>
      <c r="DQ849" s="81"/>
      <c r="DR849" s="81"/>
      <c r="DS849" s="81"/>
      <c r="DT849" s="81"/>
      <c r="DU849" s="81"/>
      <c r="DV849" s="81"/>
      <c r="DW849" s="121"/>
    </row>
    <row r="850" spans="1:127" x14ac:dyDescent="0.25">
      <c r="A850" s="2">
        <f>COUNTIF($D$2:D850,'Reporte de Nomina'!$E$2)</f>
        <v>0</v>
      </c>
      <c r="B850" s="125">
        <f>Lista!A849</f>
        <v>0</v>
      </c>
      <c r="C850" s="125">
        <f>Lista!B849</f>
        <v>0</v>
      </c>
      <c r="D850" s="125">
        <f>Lista!C849</f>
        <v>0</v>
      </c>
      <c r="E850" s="125">
        <f>Lista!D849</f>
        <v>0</v>
      </c>
      <c r="F850" s="125">
        <f>Lista!E849</f>
        <v>0</v>
      </c>
      <c r="G850" s="125">
        <f>Lista!F849</f>
        <v>0</v>
      </c>
      <c r="H850" s="125">
        <f>Lista!G849</f>
        <v>0</v>
      </c>
      <c r="I850" s="125">
        <f>Lista!H849</f>
        <v>0</v>
      </c>
      <c r="J850" s="125">
        <f>Lista!I849</f>
        <v>0</v>
      </c>
      <c r="K850" s="125">
        <f>Lista!J849</f>
        <v>0</v>
      </c>
      <c r="L850" s="125">
        <f>Lista!K849</f>
        <v>0</v>
      </c>
      <c r="M850" s="125">
        <f>Lista!L849</f>
        <v>0</v>
      </c>
      <c r="N850" s="125">
        <f>Lista!M849</f>
        <v>0</v>
      </c>
      <c r="O850" s="125">
        <f>Lista!N849</f>
        <v>0</v>
      </c>
      <c r="P850" s="125">
        <f>Lista!O849</f>
        <v>0</v>
      </c>
      <c r="Q850" s="125">
        <f>Lista!P849</f>
        <v>0</v>
      </c>
      <c r="R850" s="125">
        <f>Lista!Q849</f>
        <v>0</v>
      </c>
      <c r="S850" s="125">
        <f>Lista!R849</f>
        <v>0</v>
      </c>
      <c r="T850" s="81"/>
      <c r="U850" s="81"/>
      <c r="V850" s="81"/>
      <c r="W850" s="81"/>
      <c r="X850" s="81"/>
      <c r="Y850" s="81"/>
      <c r="Z850" s="81"/>
      <c r="AA850" s="81"/>
      <c r="AB850" s="81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  <c r="BS850" s="81"/>
      <c r="BT850" s="81"/>
      <c r="BU850" s="81"/>
      <c r="BV850" s="81"/>
      <c r="BW850" s="81"/>
      <c r="BX850" s="81"/>
      <c r="BY850" s="81"/>
      <c r="BZ850" s="81"/>
      <c r="CA850" s="81"/>
      <c r="CB850" s="81"/>
      <c r="CC850" s="81"/>
      <c r="CD850" s="81"/>
      <c r="CE850" s="81"/>
      <c r="CF850" s="81"/>
      <c r="CG850" s="81"/>
      <c r="CH850" s="81"/>
      <c r="CI850" s="81"/>
      <c r="CJ850" s="81"/>
      <c r="CK850" s="81"/>
      <c r="CL850" s="81"/>
      <c r="CM850" s="81"/>
      <c r="CN850" s="81"/>
      <c r="CO850" s="81"/>
      <c r="CP850" s="81"/>
      <c r="CQ850" s="81"/>
      <c r="CR850" s="81"/>
      <c r="CS850" s="81"/>
      <c r="CT850" s="81"/>
      <c r="CU850" s="81"/>
      <c r="CV850" s="81"/>
      <c r="CW850" s="81"/>
      <c r="CX850" s="81"/>
      <c r="CY850" s="81"/>
      <c r="CZ850" s="81"/>
      <c r="DA850" s="81"/>
      <c r="DB850" s="81"/>
      <c r="DC850" s="81"/>
      <c r="DD850" s="81"/>
      <c r="DE850" s="81"/>
      <c r="DF850" s="81"/>
      <c r="DG850" s="81"/>
      <c r="DH850" s="81"/>
      <c r="DI850" s="81"/>
      <c r="DJ850" s="81"/>
      <c r="DK850" s="81"/>
      <c r="DL850" s="81"/>
      <c r="DM850" s="81"/>
      <c r="DN850" s="81"/>
      <c r="DO850" s="81"/>
      <c r="DP850" s="81"/>
      <c r="DQ850" s="81"/>
      <c r="DR850" s="81"/>
      <c r="DS850" s="81"/>
      <c r="DT850" s="81"/>
      <c r="DU850" s="81"/>
      <c r="DV850" s="81"/>
      <c r="DW850" s="121"/>
    </row>
    <row r="851" spans="1:127" x14ac:dyDescent="0.25">
      <c r="A851" s="2">
        <f>COUNTIF($D$2:D851,'Reporte de Nomina'!$E$2)</f>
        <v>0</v>
      </c>
      <c r="B851" s="125">
        <f>Lista!A850</f>
        <v>0</v>
      </c>
      <c r="C851" s="125">
        <f>Lista!B850</f>
        <v>0</v>
      </c>
      <c r="D851" s="125">
        <f>Lista!C850</f>
        <v>0</v>
      </c>
      <c r="E851" s="125">
        <f>Lista!D850</f>
        <v>0</v>
      </c>
      <c r="F851" s="125">
        <f>Lista!E850</f>
        <v>0</v>
      </c>
      <c r="G851" s="125">
        <f>Lista!F850</f>
        <v>0</v>
      </c>
      <c r="H851" s="125">
        <f>Lista!G850</f>
        <v>0</v>
      </c>
      <c r="I851" s="125">
        <f>Lista!H850</f>
        <v>0</v>
      </c>
      <c r="J851" s="125">
        <f>Lista!I850</f>
        <v>0</v>
      </c>
      <c r="K851" s="125">
        <f>Lista!J850</f>
        <v>0</v>
      </c>
      <c r="L851" s="125">
        <f>Lista!K850</f>
        <v>0</v>
      </c>
      <c r="M851" s="125">
        <f>Lista!L850</f>
        <v>0</v>
      </c>
      <c r="N851" s="125">
        <f>Lista!M850</f>
        <v>0</v>
      </c>
      <c r="O851" s="125">
        <f>Lista!N850</f>
        <v>0</v>
      </c>
      <c r="P851" s="125">
        <f>Lista!O850</f>
        <v>0</v>
      </c>
      <c r="Q851" s="125">
        <f>Lista!P850</f>
        <v>0</v>
      </c>
      <c r="R851" s="125">
        <f>Lista!Q850</f>
        <v>0</v>
      </c>
      <c r="S851" s="125">
        <f>Lista!R850</f>
        <v>0</v>
      </c>
      <c r="T851" s="81"/>
      <c r="U851" s="81"/>
      <c r="V851" s="81"/>
      <c r="W851" s="81"/>
      <c r="X851" s="81"/>
      <c r="Y851" s="81"/>
      <c r="Z851" s="81"/>
      <c r="AA851" s="81"/>
      <c r="AB851" s="81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  <c r="BS851" s="81"/>
      <c r="BT851" s="81"/>
      <c r="BU851" s="81"/>
      <c r="BV851" s="81"/>
      <c r="BW851" s="81"/>
      <c r="BX851" s="81"/>
      <c r="BY851" s="81"/>
      <c r="BZ851" s="81"/>
      <c r="CA851" s="81"/>
      <c r="CB851" s="81"/>
      <c r="CC851" s="81"/>
      <c r="CD851" s="81"/>
      <c r="CE851" s="81"/>
      <c r="CF851" s="81"/>
      <c r="CG851" s="81"/>
      <c r="CH851" s="81"/>
      <c r="CI851" s="81"/>
      <c r="CJ851" s="81"/>
      <c r="CK851" s="81"/>
      <c r="CL851" s="81"/>
      <c r="CM851" s="81"/>
      <c r="CN851" s="81"/>
      <c r="CO851" s="81"/>
      <c r="CP851" s="81"/>
      <c r="CQ851" s="81"/>
      <c r="CR851" s="81"/>
      <c r="CS851" s="81"/>
      <c r="CT851" s="81"/>
      <c r="CU851" s="81"/>
      <c r="CV851" s="81"/>
      <c r="CW851" s="81"/>
      <c r="CX851" s="81"/>
      <c r="CY851" s="81"/>
      <c r="CZ851" s="81"/>
      <c r="DA851" s="81"/>
      <c r="DB851" s="81"/>
      <c r="DC851" s="81"/>
      <c r="DD851" s="81"/>
      <c r="DE851" s="81"/>
      <c r="DF851" s="81"/>
      <c r="DG851" s="81"/>
      <c r="DH851" s="81"/>
      <c r="DI851" s="81"/>
      <c r="DJ851" s="81"/>
      <c r="DK851" s="81"/>
      <c r="DL851" s="81"/>
      <c r="DM851" s="81"/>
      <c r="DN851" s="81"/>
      <c r="DO851" s="81"/>
      <c r="DP851" s="81"/>
      <c r="DQ851" s="81"/>
      <c r="DR851" s="81"/>
      <c r="DS851" s="81"/>
      <c r="DT851" s="81"/>
      <c r="DU851" s="81"/>
      <c r="DV851" s="81"/>
      <c r="DW851" s="121"/>
    </row>
    <row r="852" spans="1:127" x14ac:dyDescent="0.25">
      <c r="A852" s="2">
        <f>COUNTIF($D$2:D852,'Reporte de Nomina'!$E$2)</f>
        <v>0</v>
      </c>
      <c r="B852" s="125">
        <f>Lista!A851</f>
        <v>0</v>
      </c>
      <c r="C852" s="125">
        <f>Lista!B851</f>
        <v>0</v>
      </c>
      <c r="D852" s="125">
        <f>Lista!C851</f>
        <v>0</v>
      </c>
      <c r="E852" s="125">
        <f>Lista!D851</f>
        <v>0</v>
      </c>
      <c r="F852" s="125">
        <f>Lista!E851</f>
        <v>0</v>
      </c>
      <c r="G852" s="125">
        <f>Lista!F851</f>
        <v>0</v>
      </c>
      <c r="H852" s="125">
        <f>Lista!G851</f>
        <v>0</v>
      </c>
      <c r="I852" s="125">
        <f>Lista!H851</f>
        <v>0</v>
      </c>
      <c r="J852" s="125">
        <f>Lista!I851</f>
        <v>0</v>
      </c>
      <c r="K852" s="125">
        <f>Lista!J851</f>
        <v>0</v>
      </c>
      <c r="L852" s="125">
        <f>Lista!K851</f>
        <v>0</v>
      </c>
      <c r="M852" s="125">
        <f>Lista!L851</f>
        <v>0</v>
      </c>
      <c r="N852" s="125">
        <f>Lista!M851</f>
        <v>0</v>
      </c>
      <c r="O852" s="125">
        <f>Lista!N851</f>
        <v>0</v>
      </c>
      <c r="P852" s="125">
        <f>Lista!O851</f>
        <v>0</v>
      </c>
      <c r="Q852" s="125">
        <f>Lista!P851</f>
        <v>0</v>
      </c>
      <c r="R852" s="125">
        <f>Lista!Q851</f>
        <v>0</v>
      </c>
      <c r="S852" s="125">
        <f>Lista!R851</f>
        <v>0</v>
      </c>
      <c r="T852" s="81"/>
      <c r="U852" s="81"/>
      <c r="V852" s="81"/>
      <c r="W852" s="81"/>
      <c r="X852" s="81"/>
      <c r="Y852" s="81"/>
      <c r="Z852" s="81"/>
      <c r="AA852" s="81"/>
      <c r="AB852" s="81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  <c r="BS852" s="81"/>
      <c r="BT852" s="81"/>
      <c r="BU852" s="81"/>
      <c r="BV852" s="81"/>
      <c r="BW852" s="81"/>
      <c r="BX852" s="81"/>
      <c r="BY852" s="81"/>
      <c r="BZ852" s="81"/>
      <c r="CA852" s="81"/>
      <c r="CB852" s="81"/>
      <c r="CC852" s="81"/>
      <c r="CD852" s="81"/>
      <c r="CE852" s="81"/>
      <c r="CF852" s="81"/>
      <c r="CG852" s="81"/>
      <c r="CH852" s="81"/>
      <c r="CI852" s="81"/>
      <c r="CJ852" s="81"/>
      <c r="CK852" s="81"/>
      <c r="CL852" s="81"/>
      <c r="CM852" s="81"/>
      <c r="CN852" s="81"/>
      <c r="CO852" s="81"/>
      <c r="CP852" s="81"/>
      <c r="CQ852" s="81"/>
      <c r="CR852" s="81"/>
      <c r="CS852" s="81"/>
      <c r="CT852" s="81"/>
      <c r="CU852" s="81"/>
      <c r="CV852" s="81"/>
      <c r="CW852" s="81"/>
      <c r="CX852" s="81"/>
      <c r="CY852" s="81"/>
      <c r="CZ852" s="81"/>
      <c r="DA852" s="81"/>
      <c r="DB852" s="81"/>
      <c r="DC852" s="81"/>
      <c r="DD852" s="81"/>
      <c r="DE852" s="81"/>
      <c r="DF852" s="81"/>
      <c r="DG852" s="81"/>
      <c r="DH852" s="81"/>
      <c r="DI852" s="81"/>
      <c r="DJ852" s="81"/>
      <c r="DK852" s="81"/>
      <c r="DL852" s="81"/>
      <c r="DM852" s="81"/>
      <c r="DN852" s="81"/>
      <c r="DO852" s="81"/>
      <c r="DP852" s="81"/>
      <c r="DQ852" s="81"/>
      <c r="DR852" s="81"/>
      <c r="DS852" s="81"/>
      <c r="DT852" s="81"/>
      <c r="DU852" s="81"/>
      <c r="DV852" s="81"/>
      <c r="DW852" s="121"/>
    </row>
    <row r="853" spans="1:127" x14ac:dyDescent="0.25">
      <c r="A853" s="2">
        <f>COUNTIF($D$2:D853,'Reporte de Nomina'!$E$2)</f>
        <v>0</v>
      </c>
      <c r="B853" s="125">
        <f>Lista!A852</f>
        <v>0</v>
      </c>
      <c r="C853" s="125">
        <f>Lista!B852</f>
        <v>0</v>
      </c>
      <c r="D853" s="125">
        <f>Lista!C852</f>
        <v>0</v>
      </c>
      <c r="E853" s="125">
        <f>Lista!D852</f>
        <v>0</v>
      </c>
      <c r="F853" s="125">
        <f>Lista!E852</f>
        <v>0</v>
      </c>
      <c r="G853" s="125">
        <f>Lista!F852</f>
        <v>0</v>
      </c>
      <c r="H853" s="125">
        <f>Lista!G852</f>
        <v>0</v>
      </c>
      <c r="I853" s="125">
        <f>Lista!H852</f>
        <v>0</v>
      </c>
      <c r="J853" s="125">
        <f>Lista!I852</f>
        <v>0</v>
      </c>
      <c r="K853" s="125">
        <f>Lista!J852</f>
        <v>0</v>
      </c>
      <c r="L853" s="125">
        <f>Lista!K852</f>
        <v>0</v>
      </c>
      <c r="M853" s="125">
        <f>Lista!L852</f>
        <v>0</v>
      </c>
      <c r="N853" s="125">
        <f>Lista!M852</f>
        <v>0</v>
      </c>
      <c r="O853" s="125">
        <f>Lista!N852</f>
        <v>0</v>
      </c>
      <c r="P853" s="125">
        <f>Lista!O852</f>
        <v>0</v>
      </c>
      <c r="Q853" s="125">
        <f>Lista!P852</f>
        <v>0</v>
      </c>
      <c r="R853" s="125">
        <f>Lista!Q852</f>
        <v>0</v>
      </c>
      <c r="S853" s="125">
        <f>Lista!R852</f>
        <v>0</v>
      </c>
      <c r="T853" s="81"/>
      <c r="U853" s="81"/>
      <c r="V853" s="81"/>
      <c r="W853" s="81"/>
      <c r="X853" s="81"/>
      <c r="Y853" s="81"/>
      <c r="Z853" s="81"/>
      <c r="AA853" s="81"/>
      <c r="AB853" s="81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  <c r="BS853" s="81"/>
      <c r="BT853" s="81"/>
      <c r="BU853" s="81"/>
      <c r="BV853" s="81"/>
      <c r="BW853" s="81"/>
      <c r="BX853" s="81"/>
      <c r="BY853" s="81"/>
      <c r="BZ853" s="81"/>
      <c r="CA853" s="81"/>
      <c r="CB853" s="81"/>
      <c r="CC853" s="81"/>
      <c r="CD853" s="81"/>
      <c r="CE853" s="81"/>
      <c r="CF853" s="81"/>
      <c r="CG853" s="81"/>
      <c r="CH853" s="81"/>
      <c r="CI853" s="81"/>
      <c r="CJ853" s="81"/>
      <c r="CK853" s="81"/>
      <c r="CL853" s="81"/>
      <c r="CM853" s="81"/>
      <c r="CN853" s="81"/>
      <c r="CO853" s="81"/>
      <c r="CP853" s="81"/>
      <c r="CQ853" s="81"/>
      <c r="CR853" s="81"/>
      <c r="CS853" s="81"/>
      <c r="CT853" s="81"/>
      <c r="CU853" s="81"/>
      <c r="CV853" s="81"/>
      <c r="CW853" s="81"/>
      <c r="CX853" s="81"/>
      <c r="CY853" s="81"/>
      <c r="CZ853" s="81"/>
      <c r="DA853" s="81"/>
      <c r="DB853" s="81"/>
      <c r="DC853" s="81"/>
      <c r="DD853" s="81"/>
      <c r="DE853" s="81"/>
      <c r="DF853" s="81"/>
      <c r="DG853" s="81"/>
      <c r="DH853" s="81"/>
      <c r="DI853" s="81"/>
      <c r="DJ853" s="81"/>
      <c r="DK853" s="81"/>
      <c r="DL853" s="81"/>
      <c r="DM853" s="81"/>
      <c r="DN853" s="81"/>
      <c r="DO853" s="81"/>
      <c r="DP853" s="81"/>
      <c r="DQ853" s="81"/>
      <c r="DR853" s="81"/>
      <c r="DS853" s="81"/>
      <c r="DT853" s="81"/>
      <c r="DU853" s="81"/>
      <c r="DV853" s="81"/>
      <c r="DW853" s="121"/>
    </row>
    <row r="854" spans="1:127" x14ac:dyDescent="0.25">
      <c r="A854" s="2">
        <f>COUNTIF($D$2:D854,'Reporte de Nomina'!$E$2)</f>
        <v>0</v>
      </c>
      <c r="B854" s="125">
        <f>Lista!A853</f>
        <v>0</v>
      </c>
      <c r="C854" s="125">
        <f>Lista!B853</f>
        <v>0</v>
      </c>
      <c r="D854" s="125">
        <f>Lista!C853</f>
        <v>0</v>
      </c>
      <c r="E854" s="125">
        <f>Lista!D853</f>
        <v>0</v>
      </c>
      <c r="F854" s="125">
        <f>Lista!E853</f>
        <v>0</v>
      </c>
      <c r="G854" s="125">
        <f>Lista!F853</f>
        <v>0</v>
      </c>
      <c r="H854" s="125">
        <f>Lista!G853</f>
        <v>0</v>
      </c>
      <c r="I854" s="125">
        <f>Lista!H853</f>
        <v>0</v>
      </c>
      <c r="J854" s="125">
        <f>Lista!I853</f>
        <v>0</v>
      </c>
      <c r="K854" s="125">
        <f>Lista!J853</f>
        <v>0</v>
      </c>
      <c r="L854" s="125">
        <f>Lista!K853</f>
        <v>0</v>
      </c>
      <c r="M854" s="125">
        <f>Lista!L853</f>
        <v>0</v>
      </c>
      <c r="N854" s="125">
        <f>Lista!M853</f>
        <v>0</v>
      </c>
      <c r="O854" s="125">
        <f>Lista!N853</f>
        <v>0</v>
      </c>
      <c r="P854" s="125">
        <f>Lista!O853</f>
        <v>0</v>
      </c>
      <c r="Q854" s="125">
        <f>Lista!P853</f>
        <v>0</v>
      </c>
      <c r="R854" s="125">
        <f>Lista!Q853</f>
        <v>0</v>
      </c>
      <c r="S854" s="125">
        <f>Lista!R853</f>
        <v>0</v>
      </c>
      <c r="T854" s="81"/>
      <c r="U854" s="81"/>
      <c r="V854" s="81"/>
      <c r="W854" s="81"/>
      <c r="X854" s="81"/>
      <c r="Y854" s="81"/>
      <c r="Z854" s="81"/>
      <c r="AA854" s="81"/>
      <c r="AB854" s="81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  <c r="BS854" s="81"/>
      <c r="BT854" s="81"/>
      <c r="BU854" s="81"/>
      <c r="BV854" s="81"/>
      <c r="BW854" s="81"/>
      <c r="BX854" s="81"/>
      <c r="BY854" s="81"/>
      <c r="BZ854" s="81"/>
      <c r="CA854" s="81"/>
      <c r="CB854" s="81"/>
      <c r="CC854" s="81"/>
      <c r="CD854" s="81"/>
      <c r="CE854" s="81"/>
      <c r="CF854" s="81"/>
      <c r="CG854" s="81"/>
      <c r="CH854" s="81"/>
      <c r="CI854" s="81"/>
      <c r="CJ854" s="81"/>
      <c r="CK854" s="81"/>
      <c r="CL854" s="81"/>
      <c r="CM854" s="81"/>
      <c r="CN854" s="81"/>
      <c r="CO854" s="81"/>
      <c r="CP854" s="81"/>
      <c r="CQ854" s="81"/>
      <c r="CR854" s="81"/>
      <c r="CS854" s="81"/>
      <c r="CT854" s="81"/>
      <c r="CU854" s="81"/>
      <c r="CV854" s="81"/>
      <c r="CW854" s="81"/>
      <c r="CX854" s="81"/>
      <c r="CY854" s="81"/>
      <c r="CZ854" s="81"/>
      <c r="DA854" s="81"/>
      <c r="DB854" s="81"/>
      <c r="DC854" s="81"/>
      <c r="DD854" s="81"/>
      <c r="DE854" s="81"/>
      <c r="DF854" s="81"/>
      <c r="DG854" s="81"/>
      <c r="DH854" s="81"/>
      <c r="DI854" s="81"/>
      <c r="DJ854" s="81"/>
      <c r="DK854" s="81"/>
      <c r="DL854" s="81"/>
      <c r="DM854" s="81"/>
      <c r="DN854" s="81"/>
      <c r="DO854" s="81"/>
      <c r="DP854" s="81"/>
      <c r="DQ854" s="81"/>
      <c r="DR854" s="81"/>
      <c r="DS854" s="81"/>
      <c r="DT854" s="81"/>
      <c r="DU854" s="81"/>
      <c r="DV854" s="81"/>
      <c r="DW854" s="121"/>
    </row>
    <row r="855" spans="1:127" x14ac:dyDescent="0.25">
      <c r="A855" s="2">
        <f>COUNTIF($D$2:D855,'Reporte de Nomina'!$E$2)</f>
        <v>0</v>
      </c>
      <c r="B855" s="125">
        <f>Lista!A854</f>
        <v>0</v>
      </c>
      <c r="C855" s="125">
        <f>Lista!B854</f>
        <v>0</v>
      </c>
      <c r="D855" s="125">
        <f>Lista!C854</f>
        <v>0</v>
      </c>
      <c r="E855" s="125">
        <f>Lista!D854</f>
        <v>0</v>
      </c>
      <c r="F855" s="125">
        <f>Lista!E854</f>
        <v>0</v>
      </c>
      <c r="G855" s="125">
        <f>Lista!F854</f>
        <v>0</v>
      </c>
      <c r="H855" s="125">
        <f>Lista!G854</f>
        <v>0</v>
      </c>
      <c r="I855" s="125">
        <f>Lista!H854</f>
        <v>0</v>
      </c>
      <c r="J855" s="125">
        <f>Lista!I854</f>
        <v>0</v>
      </c>
      <c r="K855" s="125">
        <f>Lista!J854</f>
        <v>0</v>
      </c>
      <c r="L855" s="125">
        <f>Lista!K854</f>
        <v>0</v>
      </c>
      <c r="M855" s="125">
        <f>Lista!L854</f>
        <v>0</v>
      </c>
      <c r="N855" s="125">
        <f>Lista!M854</f>
        <v>0</v>
      </c>
      <c r="O855" s="125">
        <f>Lista!N854</f>
        <v>0</v>
      </c>
      <c r="P855" s="125">
        <f>Lista!O854</f>
        <v>0</v>
      </c>
      <c r="Q855" s="125">
        <f>Lista!P854</f>
        <v>0</v>
      </c>
      <c r="R855" s="125">
        <f>Lista!Q854</f>
        <v>0</v>
      </c>
      <c r="S855" s="125">
        <f>Lista!R854</f>
        <v>0</v>
      </c>
      <c r="T855" s="81"/>
      <c r="U855" s="81"/>
      <c r="V855" s="81"/>
      <c r="W855" s="81"/>
      <c r="X855" s="81"/>
      <c r="Y855" s="81"/>
      <c r="Z855" s="81"/>
      <c r="AA855" s="81"/>
      <c r="AB855" s="81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  <c r="BS855" s="81"/>
      <c r="BT855" s="81"/>
      <c r="BU855" s="81"/>
      <c r="BV855" s="81"/>
      <c r="BW855" s="81"/>
      <c r="BX855" s="81"/>
      <c r="BY855" s="81"/>
      <c r="BZ855" s="81"/>
      <c r="CA855" s="81"/>
      <c r="CB855" s="81"/>
      <c r="CC855" s="81"/>
      <c r="CD855" s="81"/>
      <c r="CE855" s="81"/>
      <c r="CF855" s="81"/>
      <c r="CG855" s="81"/>
      <c r="CH855" s="81"/>
      <c r="CI855" s="81"/>
      <c r="CJ855" s="81"/>
      <c r="CK855" s="81"/>
      <c r="CL855" s="81"/>
      <c r="CM855" s="81"/>
      <c r="CN855" s="81"/>
      <c r="CO855" s="81"/>
      <c r="CP855" s="81"/>
      <c r="CQ855" s="81"/>
      <c r="CR855" s="81"/>
      <c r="CS855" s="81"/>
      <c r="CT855" s="81"/>
      <c r="CU855" s="81"/>
      <c r="CV855" s="81"/>
      <c r="CW855" s="81"/>
      <c r="CX855" s="81"/>
      <c r="CY855" s="81"/>
      <c r="CZ855" s="81"/>
      <c r="DA855" s="81"/>
      <c r="DB855" s="81"/>
      <c r="DC855" s="81"/>
      <c r="DD855" s="81"/>
      <c r="DE855" s="81"/>
      <c r="DF855" s="81"/>
      <c r="DG855" s="81"/>
      <c r="DH855" s="81"/>
      <c r="DI855" s="81"/>
      <c r="DJ855" s="81"/>
      <c r="DK855" s="81"/>
      <c r="DL855" s="81"/>
      <c r="DM855" s="81"/>
      <c r="DN855" s="81"/>
      <c r="DO855" s="81"/>
      <c r="DP855" s="81"/>
      <c r="DQ855" s="81"/>
      <c r="DR855" s="81"/>
      <c r="DS855" s="81"/>
      <c r="DT855" s="81"/>
      <c r="DU855" s="81"/>
      <c r="DV855" s="81"/>
      <c r="DW855" s="121"/>
    </row>
    <row r="856" spans="1:127" x14ac:dyDescent="0.25">
      <c r="A856" s="2">
        <f>COUNTIF($D$2:D856,'Reporte de Nomina'!$E$2)</f>
        <v>0</v>
      </c>
      <c r="B856" s="125">
        <f>Lista!A855</f>
        <v>0</v>
      </c>
      <c r="C856" s="125">
        <f>Lista!B855</f>
        <v>0</v>
      </c>
      <c r="D856" s="125">
        <f>Lista!C855</f>
        <v>0</v>
      </c>
      <c r="E856" s="125">
        <f>Lista!D855</f>
        <v>0</v>
      </c>
      <c r="F856" s="125">
        <f>Lista!E855</f>
        <v>0</v>
      </c>
      <c r="G856" s="125">
        <f>Lista!F855</f>
        <v>0</v>
      </c>
      <c r="H856" s="125">
        <f>Lista!G855</f>
        <v>0</v>
      </c>
      <c r="I856" s="125">
        <f>Lista!H855</f>
        <v>0</v>
      </c>
      <c r="J856" s="125">
        <f>Lista!I855</f>
        <v>0</v>
      </c>
      <c r="K856" s="125">
        <f>Lista!J855</f>
        <v>0</v>
      </c>
      <c r="L856" s="125">
        <f>Lista!K855</f>
        <v>0</v>
      </c>
      <c r="M856" s="125">
        <f>Lista!L855</f>
        <v>0</v>
      </c>
      <c r="N856" s="125">
        <f>Lista!M855</f>
        <v>0</v>
      </c>
      <c r="O856" s="125">
        <f>Lista!N855</f>
        <v>0</v>
      </c>
      <c r="P856" s="125">
        <f>Lista!O855</f>
        <v>0</v>
      </c>
      <c r="Q856" s="125">
        <f>Lista!P855</f>
        <v>0</v>
      </c>
      <c r="R856" s="125">
        <f>Lista!Q855</f>
        <v>0</v>
      </c>
      <c r="S856" s="125">
        <f>Lista!R855</f>
        <v>0</v>
      </c>
      <c r="T856" s="81"/>
      <c r="U856" s="81"/>
      <c r="V856" s="81"/>
      <c r="W856" s="81"/>
      <c r="X856" s="81"/>
      <c r="Y856" s="81"/>
      <c r="Z856" s="81"/>
      <c r="AA856" s="81"/>
      <c r="AB856" s="81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  <c r="BS856" s="81"/>
      <c r="BT856" s="81"/>
      <c r="BU856" s="81"/>
      <c r="BV856" s="81"/>
      <c r="BW856" s="81"/>
      <c r="BX856" s="81"/>
      <c r="BY856" s="81"/>
      <c r="BZ856" s="81"/>
      <c r="CA856" s="81"/>
      <c r="CB856" s="81"/>
      <c r="CC856" s="81"/>
      <c r="CD856" s="81"/>
      <c r="CE856" s="81"/>
      <c r="CF856" s="81"/>
      <c r="CG856" s="81"/>
      <c r="CH856" s="81"/>
      <c r="CI856" s="81"/>
      <c r="CJ856" s="81"/>
      <c r="CK856" s="81"/>
      <c r="CL856" s="81"/>
      <c r="CM856" s="81"/>
      <c r="CN856" s="81"/>
      <c r="CO856" s="81"/>
      <c r="CP856" s="81"/>
      <c r="CQ856" s="81"/>
      <c r="CR856" s="81"/>
      <c r="CS856" s="81"/>
      <c r="CT856" s="81"/>
      <c r="CU856" s="81"/>
      <c r="CV856" s="81"/>
      <c r="CW856" s="81"/>
      <c r="CX856" s="81"/>
      <c r="CY856" s="81"/>
      <c r="CZ856" s="81"/>
      <c r="DA856" s="81"/>
      <c r="DB856" s="81"/>
      <c r="DC856" s="81"/>
      <c r="DD856" s="81"/>
      <c r="DE856" s="81"/>
      <c r="DF856" s="81"/>
      <c r="DG856" s="81"/>
      <c r="DH856" s="81"/>
      <c r="DI856" s="81"/>
      <c r="DJ856" s="81"/>
      <c r="DK856" s="81"/>
      <c r="DL856" s="81"/>
      <c r="DM856" s="81"/>
      <c r="DN856" s="81"/>
      <c r="DO856" s="81"/>
      <c r="DP856" s="81"/>
      <c r="DQ856" s="81"/>
      <c r="DR856" s="81"/>
      <c r="DS856" s="81"/>
      <c r="DT856" s="81"/>
      <c r="DU856" s="81"/>
      <c r="DV856" s="81"/>
      <c r="DW856" s="121"/>
    </row>
    <row r="857" spans="1:127" x14ac:dyDescent="0.25">
      <c r="A857" s="2">
        <f>COUNTIF($D$2:D857,'Reporte de Nomina'!$E$2)</f>
        <v>0</v>
      </c>
      <c r="B857" s="125">
        <f>Lista!A856</f>
        <v>0</v>
      </c>
      <c r="C857" s="125">
        <f>Lista!B856</f>
        <v>0</v>
      </c>
      <c r="D857" s="125">
        <f>Lista!C856</f>
        <v>0</v>
      </c>
      <c r="E857" s="125">
        <f>Lista!D856</f>
        <v>0</v>
      </c>
      <c r="F857" s="125">
        <f>Lista!E856</f>
        <v>0</v>
      </c>
      <c r="G857" s="125">
        <f>Lista!F856</f>
        <v>0</v>
      </c>
      <c r="H857" s="125">
        <f>Lista!G856</f>
        <v>0</v>
      </c>
      <c r="I857" s="125">
        <f>Lista!H856</f>
        <v>0</v>
      </c>
      <c r="J857" s="125">
        <f>Lista!I856</f>
        <v>0</v>
      </c>
      <c r="K857" s="125">
        <f>Lista!J856</f>
        <v>0</v>
      </c>
      <c r="L857" s="125">
        <f>Lista!K856</f>
        <v>0</v>
      </c>
      <c r="M857" s="125">
        <f>Lista!L856</f>
        <v>0</v>
      </c>
      <c r="N857" s="125">
        <f>Lista!M856</f>
        <v>0</v>
      </c>
      <c r="O857" s="125">
        <f>Lista!N856</f>
        <v>0</v>
      </c>
      <c r="P857" s="125">
        <f>Lista!O856</f>
        <v>0</v>
      </c>
      <c r="Q857" s="125">
        <f>Lista!P856</f>
        <v>0</v>
      </c>
      <c r="R857" s="125">
        <f>Lista!Q856</f>
        <v>0</v>
      </c>
      <c r="S857" s="125">
        <f>Lista!R856</f>
        <v>0</v>
      </c>
      <c r="T857" s="81"/>
      <c r="U857" s="81"/>
      <c r="V857" s="81"/>
      <c r="W857" s="81"/>
      <c r="X857" s="81"/>
      <c r="Y857" s="81"/>
      <c r="Z857" s="81"/>
      <c r="AA857" s="81"/>
      <c r="AB857" s="81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  <c r="BS857" s="81"/>
      <c r="BT857" s="81"/>
      <c r="BU857" s="81"/>
      <c r="BV857" s="81"/>
      <c r="BW857" s="81"/>
      <c r="BX857" s="81"/>
      <c r="BY857" s="81"/>
      <c r="BZ857" s="81"/>
      <c r="CA857" s="81"/>
      <c r="CB857" s="81"/>
      <c r="CC857" s="81"/>
      <c r="CD857" s="81"/>
      <c r="CE857" s="81"/>
      <c r="CF857" s="81"/>
      <c r="CG857" s="81"/>
      <c r="CH857" s="81"/>
      <c r="CI857" s="81"/>
      <c r="CJ857" s="81"/>
      <c r="CK857" s="81"/>
      <c r="CL857" s="81"/>
      <c r="CM857" s="81"/>
      <c r="CN857" s="81"/>
      <c r="CO857" s="81"/>
      <c r="CP857" s="81"/>
      <c r="CQ857" s="81"/>
      <c r="CR857" s="81"/>
      <c r="CS857" s="81"/>
      <c r="CT857" s="81"/>
      <c r="CU857" s="81"/>
      <c r="CV857" s="81"/>
      <c r="CW857" s="81"/>
      <c r="CX857" s="81"/>
      <c r="CY857" s="81"/>
      <c r="CZ857" s="81"/>
      <c r="DA857" s="81"/>
      <c r="DB857" s="81"/>
      <c r="DC857" s="81"/>
      <c r="DD857" s="81"/>
      <c r="DE857" s="81"/>
      <c r="DF857" s="81"/>
      <c r="DG857" s="81"/>
      <c r="DH857" s="81"/>
      <c r="DI857" s="81"/>
      <c r="DJ857" s="81"/>
      <c r="DK857" s="81"/>
      <c r="DL857" s="81"/>
      <c r="DM857" s="81"/>
      <c r="DN857" s="81"/>
      <c r="DO857" s="81"/>
      <c r="DP857" s="81"/>
      <c r="DQ857" s="81"/>
      <c r="DR857" s="81"/>
      <c r="DS857" s="81"/>
      <c r="DT857" s="81"/>
      <c r="DU857" s="81"/>
      <c r="DV857" s="81"/>
      <c r="DW857" s="121"/>
    </row>
    <row r="858" spans="1:127" x14ac:dyDescent="0.25">
      <c r="A858" s="2">
        <f>COUNTIF($D$2:D858,'Reporte de Nomina'!$E$2)</f>
        <v>0</v>
      </c>
      <c r="B858" s="125">
        <f>Lista!A857</f>
        <v>0</v>
      </c>
      <c r="C858" s="125">
        <f>Lista!B857</f>
        <v>0</v>
      </c>
      <c r="D858" s="125">
        <f>Lista!C857</f>
        <v>0</v>
      </c>
      <c r="E858" s="125">
        <f>Lista!D857</f>
        <v>0</v>
      </c>
      <c r="F858" s="125">
        <f>Lista!E857</f>
        <v>0</v>
      </c>
      <c r="G858" s="125">
        <f>Lista!F857</f>
        <v>0</v>
      </c>
      <c r="H858" s="125">
        <f>Lista!G857</f>
        <v>0</v>
      </c>
      <c r="I858" s="125">
        <f>Lista!H857</f>
        <v>0</v>
      </c>
      <c r="J858" s="125">
        <f>Lista!I857</f>
        <v>0</v>
      </c>
      <c r="K858" s="125">
        <f>Lista!J857</f>
        <v>0</v>
      </c>
      <c r="L858" s="125">
        <f>Lista!K857</f>
        <v>0</v>
      </c>
      <c r="M858" s="125">
        <f>Lista!L857</f>
        <v>0</v>
      </c>
      <c r="N858" s="125">
        <f>Lista!M857</f>
        <v>0</v>
      </c>
      <c r="O858" s="125">
        <f>Lista!N857</f>
        <v>0</v>
      </c>
      <c r="P858" s="125">
        <f>Lista!O857</f>
        <v>0</v>
      </c>
      <c r="Q858" s="125">
        <f>Lista!P857</f>
        <v>0</v>
      </c>
      <c r="R858" s="125">
        <f>Lista!Q857</f>
        <v>0</v>
      </c>
      <c r="S858" s="125">
        <f>Lista!R857</f>
        <v>0</v>
      </c>
      <c r="T858" s="81"/>
      <c r="U858" s="81"/>
      <c r="V858" s="81"/>
      <c r="W858" s="81"/>
      <c r="X858" s="81"/>
      <c r="Y858" s="81"/>
      <c r="Z858" s="81"/>
      <c r="AA858" s="81"/>
      <c r="AB858" s="81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  <c r="BS858" s="81"/>
      <c r="BT858" s="81"/>
      <c r="BU858" s="81"/>
      <c r="BV858" s="81"/>
      <c r="BW858" s="81"/>
      <c r="BX858" s="81"/>
      <c r="BY858" s="81"/>
      <c r="BZ858" s="81"/>
      <c r="CA858" s="81"/>
      <c r="CB858" s="81"/>
      <c r="CC858" s="81"/>
      <c r="CD858" s="81"/>
      <c r="CE858" s="81"/>
      <c r="CF858" s="81"/>
      <c r="CG858" s="81"/>
      <c r="CH858" s="81"/>
      <c r="CI858" s="81"/>
      <c r="CJ858" s="81"/>
      <c r="CK858" s="81"/>
      <c r="CL858" s="81"/>
      <c r="CM858" s="81"/>
      <c r="CN858" s="81"/>
      <c r="CO858" s="81"/>
      <c r="CP858" s="81"/>
      <c r="CQ858" s="81"/>
      <c r="CR858" s="81"/>
      <c r="CS858" s="81"/>
      <c r="CT858" s="81"/>
      <c r="CU858" s="81"/>
      <c r="CV858" s="81"/>
      <c r="CW858" s="81"/>
      <c r="CX858" s="81"/>
      <c r="CY858" s="81"/>
      <c r="CZ858" s="81"/>
      <c r="DA858" s="81"/>
      <c r="DB858" s="81"/>
      <c r="DC858" s="81"/>
      <c r="DD858" s="81"/>
      <c r="DE858" s="81"/>
      <c r="DF858" s="81"/>
      <c r="DG858" s="81"/>
      <c r="DH858" s="81"/>
      <c r="DI858" s="81"/>
      <c r="DJ858" s="81"/>
      <c r="DK858" s="81"/>
      <c r="DL858" s="81"/>
      <c r="DM858" s="81"/>
      <c r="DN858" s="81"/>
      <c r="DO858" s="81"/>
      <c r="DP858" s="81"/>
      <c r="DQ858" s="81"/>
      <c r="DR858" s="81"/>
      <c r="DS858" s="81"/>
      <c r="DT858" s="81"/>
      <c r="DU858" s="81"/>
      <c r="DV858" s="81"/>
      <c r="DW858" s="121"/>
    </row>
    <row r="859" spans="1:127" x14ac:dyDescent="0.25">
      <c r="A859" s="2">
        <f>COUNTIF($D$2:D859,'Reporte de Nomina'!$E$2)</f>
        <v>0</v>
      </c>
      <c r="B859" s="125">
        <f>Lista!A858</f>
        <v>0</v>
      </c>
      <c r="C859" s="125">
        <f>Lista!B858</f>
        <v>0</v>
      </c>
      <c r="D859" s="125">
        <f>Lista!C858</f>
        <v>0</v>
      </c>
      <c r="E859" s="125">
        <f>Lista!D858</f>
        <v>0</v>
      </c>
      <c r="F859" s="125">
        <f>Lista!E858</f>
        <v>0</v>
      </c>
      <c r="G859" s="125">
        <f>Lista!F858</f>
        <v>0</v>
      </c>
      <c r="H859" s="125">
        <f>Lista!G858</f>
        <v>0</v>
      </c>
      <c r="I859" s="125">
        <f>Lista!H858</f>
        <v>0</v>
      </c>
      <c r="J859" s="125">
        <f>Lista!I858</f>
        <v>0</v>
      </c>
      <c r="K859" s="125">
        <f>Lista!J858</f>
        <v>0</v>
      </c>
      <c r="L859" s="125">
        <f>Lista!K858</f>
        <v>0</v>
      </c>
      <c r="M859" s="125">
        <f>Lista!L858</f>
        <v>0</v>
      </c>
      <c r="N859" s="125">
        <f>Lista!M858</f>
        <v>0</v>
      </c>
      <c r="O859" s="125">
        <f>Lista!N858</f>
        <v>0</v>
      </c>
      <c r="P859" s="125">
        <f>Lista!O858</f>
        <v>0</v>
      </c>
      <c r="Q859" s="125">
        <f>Lista!P858</f>
        <v>0</v>
      </c>
      <c r="R859" s="125">
        <f>Lista!Q858</f>
        <v>0</v>
      </c>
      <c r="S859" s="125">
        <f>Lista!R858</f>
        <v>0</v>
      </c>
      <c r="T859" s="81"/>
      <c r="U859" s="81"/>
      <c r="V859" s="81"/>
      <c r="W859" s="81"/>
      <c r="X859" s="81"/>
      <c r="Y859" s="81"/>
      <c r="Z859" s="81"/>
      <c r="AA859" s="81"/>
      <c r="AB859" s="81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  <c r="BS859" s="81"/>
      <c r="BT859" s="81"/>
      <c r="BU859" s="81"/>
      <c r="BV859" s="81"/>
      <c r="BW859" s="81"/>
      <c r="BX859" s="81"/>
      <c r="BY859" s="81"/>
      <c r="BZ859" s="81"/>
      <c r="CA859" s="81"/>
      <c r="CB859" s="81"/>
      <c r="CC859" s="81"/>
      <c r="CD859" s="81"/>
      <c r="CE859" s="81"/>
      <c r="CF859" s="81"/>
      <c r="CG859" s="81"/>
      <c r="CH859" s="81"/>
      <c r="CI859" s="81"/>
      <c r="CJ859" s="81"/>
      <c r="CK859" s="81"/>
      <c r="CL859" s="81"/>
      <c r="CM859" s="81"/>
      <c r="CN859" s="81"/>
      <c r="CO859" s="81"/>
      <c r="CP859" s="81"/>
      <c r="CQ859" s="81"/>
      <c r="CR859" s="81"/>
      <c r="CS859" s="81"/>
      <c r="CT859" s="81"/>
      <c r="CU859" s="81"/>
      <c r="CV859" s="81"/>
      <c r="CW859" s="81"/>
      <c r="CX859" s="81"/>
      <c r="CY859" s="81"/>
      <c r="CZ859" s="81"/>
      <c r="DA859" s="81"/>
      <c r="DB859" s="81"/>
      <c r="DC859" s="81"/>
      <c r="DD859" s="81"/>
      <c r="DE859" s="81"/>
      <c r="DF859" s="81"/>
      <c r="DG859" s="81"/>
      <c r="DH859" s="81"/>
      <c r="DI859" s="81"/>
      <c r="DJ859" s="81"/>
      <c r="DK859" s="81"/>
      <c r="DL859" s="81"/>
      <c r="DM859" s="81"/>
      <c r="DN859" s="81"/>
      <c r="DO859" s="81"/>
      <c r="DP859" s="81"/>
      <c r="DQ859" s="81"/>
      <c r="DR859" s="81"/>
      <c r="DS859" s="81"/>
      <c r="DT859" s="81"/>
      <c r="DU859" s="81"/>
      <c r="DV859" s="81"/>
      <c r="DW859" s="121"/>
    </row>
    <row r="860" spans="1:127" x14ac:dyDescent="0.25">
      <c r="A860" s="2">
        <f>COUNTIF($D$2:D860,'Reporte de Nomina'!$E$2)</f>
        <v>0</v>
      </c>
      <c r="B860" s="125">
        <f>Lista!A859</f>
        <v>0</v>
      </c>
      <c r="C860" s="125">
        <f>Lista!B859</f>
        <v>0</v>
      </c>
      <c r="D860" s="125">
        <f>Lista!C859</f>
        <v>0</v>
      </c>
      <c r="E860" s="125">
        <f>Lista!D859</f>
        <v>0</v>
      </c>
      <c r="F860" s="125">
        <f>Lista!E859</f>
        <v>0</v>
      </c>
      <c r="G860" s="125">
        <f>Lista!F859</f>
        <v>0</v>
      </c>
      <c r="H860" s="125">
        <f>Lista!G859</f>
        <v>0</v>
      </c>
      <c r="I860" s="125">
        <f>Lista!H859</f>
        <v>0</v>
      </c>
      <c r="J860" s="125">
        <f>Lista!I859</f>
        <v>0</v>
      </c>
      <c r="K860" s="125">
        <f>Lista!J859</f>
        <v>0</v>
      </c>
      <c r="L860" s="125">
        <f>Lista!K859</f>
        <v>0</v>
      </c>
      <c r="M860" s="125">
        <f>Lista!L859</f>
        <v>0</v>
      </c>
      <c r="N860" s="125">
        <f>Lista!M859</f>
        <v>0</v>
      </c>
      <c r="O860" s="125">
        <f>Lista!N859</f>
        <v>0</v>
      </c>
      <c r="P860" s="125">
        <f>Lista!O859</f>
        <v>0</v>
      </c>
      <c r="Q860" s="125">
        <f>Lista!P859</f>
        <v>0</v>
      </c>
      <c r="R860" s="125">
        <f>Lista!Q859</f>
        <v>0</v>
      </c>
      <c r="S860" s="125">
        <f>Lista!R859</f>
        <v>0</v>
      </c>
      <c r="T860" s="81"/>
      <c r="U860" s="81"/>
      <c r="V860" s="81"/>
      <c r="W860" s="81"/>
      <c r="X860" s="81"/>
      <c r="Y860" s="81"/>
      <c r="Z860" s="81"/>
      <c r="AA860" s="81"/>
      <c r="AB860" s="81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  <c r="BS860" s="81"/>
      <c r="BT860" s="81"/>
      <c r="BU860" s="81"/>
      <c r="BV860" s="81"/>
      <c r="BW860" s="81"/>
      <c r="BX860" s="81"/>
      <c r="BY860" s="81"/>
      <c r="BZ860" s="81"/>
      <c r="CA860" s="81"/>
      <c r="CB860" s="81"/>
      <c r="CC860" s="81"/>
      <c r="CD860" s="81"/>
      <c r="CE860" s="81"/>
      <c r="CF860" s="81"/>
      <c r="CG860" s="81"/>
      <c r="CH860" s="81"/>
      <c r="CI860" s="81"/>
      <c r="CJ860" s="81"/>
      <c r="CK860" s="81"/>
      <c r="CL860" s="81"/>
      <c r="CM860" s="81"/>
      <c r="CN860" s="81"/>
      <c r="CO860" s="81"/>
      <c r="CP860" s="81"/>
      <c r="CQ860" s="81"/>
      <c r="CR860" s="81"/>
      <c r="CS860" s="81"/>
      <c r="CT860" s="81"/>
      <c r="CU860" s="81"/>
      <c r="CV860" s="81"/>
      <c r="CW860" s="81"/>
      <c r="CX860" s="81"/>
      <c r="CY860" s="81"/>
      <c r="CZ860" s="81"/>
      <c r="DA860" s="81"/>
      <c r="DB860" s="81"/>
      <c r="DC860" s="81"/>
      <c r="DD860" s="81"/>
      <c r="DE860" s="81"/>
      <c r="DF860" s="81"/>
      <c r="DG860" s="81"/>
      <c r="DH860" s="81"/>
      <c r="DI860" s="81"/>
      <c r="DJ860" s="81"/>
      <c r="DK860" s="81"/>
      <c r="DL860" s="81"/>
      <c r="DM860" s="81"/>
      <c r="DN860" s="81"/>
      <c r="DO860" s="81"/>
      <c r="DP860" s="81"/>
      <c r="DQ860" s="81"/>
      <c r="DR860" s="81"/>
      <c r="DS860" s="81"/>
      <c r="DT860" s="81"/>
      <c r="DU860" s="81"/>
      <c r="DV860" s="81"/>
      <c r="DW860" s="121"/>
    </row>
    <row r="861" spans="1:127" x14ac:dyDescent="0.25">
      <c r="A861" s="2">
        <f>COUNTIF($D$2:D861,'Reporte de Nomina'!$E$2)</f>
        <v>0</v>
      </c>
      <c r="B861" s="125">
        <f>Lista!A860</f>
        <v>0</v>
      </c>
      <c r="C861" s="125">
        <f>Lista!B860</f>
        <v>0</v>
      </c>
      <c r="D861" s="125">
        <f>Lista!C860</f>
        <v>0</v>
      </c>
      <c r="E861" s="125">
        <f>Lista!D860</f>
        <v>0</v>
      </c>
      <c r="F861" s="125">
        <f>Lista!E860</f>
        <v>0</v>
      </c>
      <c r="G861" s="125">
        <f>Lista!F860</f>
        <v>0</v>
      </c>
      <c r="H861" s="125">
        <f>Lista!G860</f>
        <v>0</v>
      </c>
      <c r="I861" s="125">
        <f>Lista!H860</f>
        <v>0</v>
      </c>
      <c r="J861" s="125">
        <f>Lista!I860</f>
        <v>0</v>
      </c>
      <c r="K861" s="125">
        <f>Lista!J860</f>
        <v>0</v>
      </c>
      <c r="L861" s="125">
        <f>Lista!K860</f>
        <v>0</v>
      </c>
      <c r="M861" s="125">
        <f>Lista!L860</f>
        <v>0</v>
      </c>
      <c r="N861" s="125">
        <f>Lista!M860</f>
        <v>0</v>
      </c>
      <c r="O861" s="125">
        <f>Lista!N860</f>
        <v>0</v>
      </c>
      <c r="P861" s="125">
        <f>Lista!O860</f>
        <v>0</v>
      </c>
      <c r="Q861" s="125">
        <f>Lista!P860</f>
        <v>0</v>
      </c>
      <c r="R861" s="125">
        <f>Lista!Q860</f>
        <v>0</v>
      </c>
      <c r="S861" s="125">
        <f>Lista!R860</f>
        <v>0</v>
      </c>
      <c r="T861" s="81"/>
      <c r="U861" s="81"/>
      <c r="V861" s="81"/>
      <c r="W861" s="81"/>
      <c r="X861" s="81"/>
      <c r="Y861" s="81"/>
      <c r="Z861" s="81"/>
      <c r="AA861" s="81"/>
      <c r="AB861" s="81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  <c r="BS861" s="81"/>
      <c r="BT861" s="81"/>
      <c r="BU861" s="81"/>
      <c r="BV861" s="81"/>
      <c r="BW861" s="81"/>
      <c r="BX861" s="81"/>
      <c r="BY861" s="81"/>
      <c r="BZ861" s="81"/>
      <c r="CA861" s="81"/>
      <c r="CB861" s="81"/>
      <c r="CC861" s="81"/>
      <c r="CD861" s="81"/>
      <c r="CE861" s="81"/>
      <c r="CF861" s="81"/>
      <c r="CG861" s="81"/>
      <c r="CH861" s="81"/>
      <c r="CI861" s="81"/>
      <c r="CJ861" s="81"/>
      <c r="CK861" s="81"/>
      <c r="CL861" s="81"/>
      <c r="CM861" s="81"/>
      <c r="CN861" s="81"/>
      <c r="CO861" s="81"/>
      <c r="CP861" s="81"/>
      <c r="CQ861" s="81"/>
      <c r="CR861" s="81"/>
      <c r="CS861" s="81"/>
      <c r="CT861" s="81"/>
      <c r="CU861" s="81"/>
      <c r="CV861" s="81"/>
      <c r="CW861" s="81"/>
      <c r="CX861" s="81"/>
      <c r="CY861" s="81"/>
      <c r="CZ861" s="81"/>
      <c r="DA861" s="81"/>
      <c r="DB861" s="81"/>
      <c r="DC861" s="81"/>
      <c r="DD861" s="81"/>
      <c r="DE861" s="81"/>
      <c r="DF861" s="81"/>
      <c r="DG861" s="81"/>
      <c r="DH861" s="81"/>
      <c r="DI861" s="81"/>
      <c r="DJ861" s="81"/>
      <c r="DK861" s="81"/>
      <c r="DL861" s="81"/>
      <c r="DM861" s="81"/>
      <c r="DN861" s="81"/>
      <c r="DO861" s="81"/>
      <c r="DP861" s="81"/>
      <c r="DQ861" s="81"/>
      <c r="DR861" s="81"/>
      <c r="DS861" s="81"/>
      <c r="DT861" s="81"/>
      <c r="DU861" s="81"/>
      <c r="DV861" s="81"/>
      <c r="DW861" s="121"/>
    </row>
    <row r="862" spans="1:127" x14ac:dyDescent="0.25">
      <c r="A862" s="2">
        <f>COUNTIF($D$2:D862,'Reporte de Nomina'!$E$2)</f>
        <v>0</v>
      </c>
      <c r="B862" s="125">
        <f>Lista!A861</f>
        <v>0</v>
      </c>
      <c r="C862" s="125">
        <f>Lista!B861</f>
        <v>0</v>
      </c>
      <c r="D862" s="125">
        <f>Lista!C861</f>
        <v>0</v>
      </c>
      <c r="E862" s="125">
        <f>Lista!D861</f>
        <v>0</v>
      </c>
      <c r="F862" s="125">
        <f>Lista!E861</f>
        <v>0</v>
      </c>
      <c r="G862" s="125">
        <f>Lista!F861</f>
        <v>0</v>
      </c>
      <c r="H862" s="125">
        <f>Lista!G861</f>
        <v>0</v>
      </c>
      <c r="I862" s="125">
        <f>Lista!H861</f>
        <v>0</v>
      </c>
      <c r="J862" s="125">
        <f>Lista!I861</f>
        <v>0</v>
      </c>
      <c r="K862" s="125">
        <f>Lista!J861</f>
        <v>0</v>
      </c>
      <c r="L862" s="125">
        <f>Lista!K861</f>
        <v>0</v>
      </c>
      <c r="M862" s="125">
        <f>Lista!L861</f>
        <v>0</v>
      </c>
      <c r="N862" s="125">
        <f>Lista!M861</f>
        <v>0</v>
      </c>
      <c r="O862" s="125">
        <f>Lista!N861</f>
        <v>0</v>
      </c>
      <c r="P862" s="125">
        <f>Lista!O861</f>
        <v>0</v>
      </c>
      <c r="Q862" s="125">
        <f>Lista!P861</f>
        <v>0</v>
      </c>
      <c r="R862" s="125">
        <f>Lista!Q861</f>
        <v>0</v>
      </c>
      <c r="S862" s="125">
        <f>Lista!R861</f>
        <v>0</v>
      </c>
      <c r="T862" s="81"/>
      <c r="U862" s="81"/>
      <c r="V862" s="81"/>
      <c r="W862" s="81"/>
      <c r="X862" s="81"/>
      <c r="Y862" s="81"/>
      <c r="Z862" s="81"/>
      <c r="AA862" s="81"/>
      <c r="AB862" s="81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  <c r="BS862" s="81"/>
      <c r="BT862" s="81"/>
      <c r="BU862" s="81"/>
      <c r="BV862" s="81"/>
      <c r="BW862" s="81"/>
      <c r="BX862" s="81"/>
      <c r="BY862" s="81"/>
      <c r="BZ862" s="81"/>
      <c r="CA862" s="81"/>
      <c r="CB862" s="81"/>
      <c r="CC862" s="81"/>
      <c r="CD862" s="81"/>
      <c r="CE862" s="81"/>
      <c r="CF862" s="81"/>
      <c r="CG862" s="81"/>
      <c r="CH862" s="81"/>
      <c r="CI862" s="81"/>
      <c r="CJ862" s="81"/>
      <c r="CK862" s="81"/>
      <c r="CL862" s="81"/>
      <c r="CM862" s="81"/>
      <c r="CN862" s="81"/>
      <c r="CO862" s="81"/>
      <c r="CP862" s="81"/>
      <c r="CQ862" s="81"/>
      <c r="CR862" s="81"/>
      <c r="CS862" s="81"/>
      <c r="CT862" s="81"/>
      <c r="CU862" s="81"/>
      <c r="CV862" s="81"/>
      <c r="CW862" s="81"/>
      <c r="CX862" s="81"/>
      <c r="CY862" s="81"/>
      <c r="CZ862" s="81"/>
      <c r="DA862" s="81"/>
      <c r="DB862" s="81"/>
      <c r="DC862" s="81"/>
      <c r="DD862" s="81"/>
      <c r="DE862" s="81"/>
      <c r="DF862" s="81"/>
      <c r="DG862" s="81"/>
      <c r="DH862" s="81"/>
      <c r="DI862" s="81"/>
      <c r="DJ862" s="81"/>
      <c r="DK862" s="81"/>
      <c r="DL862" s="81"/>
      <c r="DM862" s="81"/>
      <c r="DN862" s="81"/>
      <c r="DO862" s="81"/>
      <c r="DP862" s="81"/>
      <c r="DQ862" s="81"/>
      <c r="DR862" s="81"/>
      <c r="DS862" s="81"/>
      <c r="DT862" s="81"/>
      <c r="DU862" s="81"/>
      <c r="DV862" s="81"/>
      <c r="DW862" s="121"/>
    </row>
    <row r="863" spans="1:127" x14ac:dyDescent="0.25">
      <c r="A863" s="2">
        <f>COUNTIF($D$2:D863,'Reporte de Nomina'!$E$2)</f>
        <v>0</v>
      </c>
      <c r="B863" s="125">
        <f>Lista!A862</f>
        <v>0</v>
      </c>
      <c r="C863" s="125">
        <f>Lista!B862</f>
        <v>0</v>
      </c>
      <c r="D863" s="125">
        <f>Lista!C862</f>
        <v>0</v>
      </c>
      <c r="E863" s="125">
        <f>Lista!D862</f>
        <v>0</v>
      </c>
      <c r="F863" s="125">
        <f>Lista!E862</f>
        <v>0</v>
      </c>
      <c r="G863" s="125">
        <f>Lista!F862</f>
        <v>0</v>
      </c>
      <c r="H863" s="125">
        <f>Lista!G862</f>
        <v>0</v>
      </c>
      <c r="I863" s="125">
        <f>Lista!H862</f>
        <v>0</v>
      </c>
      <c r="J863" s="125">
        <f>Lista!I862</f>
        <v>0</v>
      </c>
      <c r="K863" s="125">
        <f>Lista!J862</f>
        <v>0</v>
      </c>
      <c r="L863" s="125">
        <f>Lista!K862</f>
        <v>0</v>
      </c>
      <c r="M863" s="125">
        <f>Lista!L862</f>
        <v>0</v>
      </c>
      <c r="N863" s="125">
        <f>Lista!M862</f>
        <v>0</v>
      </c>
      <c r="O863" s="125">
        <f>Lista!N862</f>
        <v>0</v>
      </c>
      <c r="P863" s="125">
        <f>Lista!O862</f>
        <v>0</v>
      </c>
      <c r="Q863" s="125">
        <f>Lista!P862</f>
        <v>0</v>
      </c>
      <c r="R863" s="125">
        <f>Lista!Q862</f>
        <v>0</v>
      </c>
      <c r="S863" s="125">
        <f>Lista!R862</f>
        <v>0</v>
      </c>
      <c r="T863" s="81"/>
      <c r="U863" s="81"/>
      <c r="V863" s="81"/>
      <c r="W863" s="81"/>
      <c r="X863" s="81"/>
      <c r="Y863" s="81"/>
      <c r="Z863" s="81"/>
      <c r="AA863" s="81"/>
      <c r="AB863" s="81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  <c r="BS863" s="81"/>
      <c r="BT863" s="81"/>
      <c r="BU863" s="81"/>
      <c r="BV863" s="81"/>
      <c r="BW863" s="81"/>
      <c r="BX863" s="81"/>
      <c r="BY863" s="81"/>
      <c r="BZ863" s="81"/>
      <c r="CA863" s="81"/>
      <c r="CB863" s="81"/>
      <c r="CC863" s="81"/>
      <c r="CD863" s="81"/>
      <c r="CE863" s="81"/>
      <c r="CF863" s="81"/>
      <c r="CG863" s="81"/>
      <c r="CH863" s="81"/>
      <c r="CI863" s="81"/>
      <c r="CJ863" s="81"/>
      <c r="CK863" s="81"/>
      <c r="CL863" s="81"/>
      <c r="CM863" s="81"/>
      <c r="CN863" s="81"/>
      <c r="CO863" s="81"/>
      <c r="CP863" s="81"/>
      <c r="CQ863" s="81"/>
      <c r="CR863" s="81"/>
      <c r="CS863" s="81"/>
      <c r="CT863" s="81"/>
      <c r="CU863" s="81"/>
      <c r="CV863" s="81"/>
      <c r="CW863" s="81"/>
      <c r="CX863" s="81"/>
      <c r="CY863" s="81"/>
      <c r="CZ863" s="81"/>
      <c r="DA863" s="81"/>
      <c r="DB863" s="81"/>
      <c r="DC863" s="81"/>
      <c r="DD863" s="81"/>
      <c r="DE863" s="81"/>
      <c r="DF863" s="81"/>
      <c r="DG863" s="81"/>
      <c r="DH863" s="81"/>
      <c r="DI863" s="81"/>
      <c r="DJ863" s="81"/>
      <c r="DK863" s="81"/>
      <c r="DL863" s="81"/>
      <c r="DM863" s="81"/>
      <c r="DN863" s="81"/>
      <c r="DO863" s="81"/>
      <c r="DP863" s="81"/>
      <c r="DQ863" s="81"/>
      <c r="DR863" s="81"/>
      <c r="DS863" s="81"/>
      <c r="DT863" s="81"/>
      <c r="DU863" s="81"/>
      <c r="DV863" s="81"/>
      <c r="DW863" s="121"/>
    </row>
    <row r="864" spans="1:127" x14ac:dyDescent="0.25">
      <c r="A864" s="2">
        <f>COUNTIF($D$2:D864,'Reporte de Nomina'!$E$2)</f>
        <v>0</v>
      </c>
      <c r="B864" s="125">
        <f>Lista!A863</f>
        <v>0</v>
      </c>
      <c r="C864" s="125">
        <f>Lista!B863</f>
        <v>0</v>
      </c>
      <c r="D864" s="125">
        <f>Lista!C863</f>
        <v>0</v>
      </c>
      <c r="E864" s="125">
        <f>Lista!D863</f>
        <v>0</v>
      </c>
      <c r="F864" s="125">
        <f>Lista!E863</f>
        <v>0</v>
      </c>
      <c r="G864" s="125">
        <f>Lista!F863</f>
        <v>0</v>
      </c>
      <c r="H864" s="125">
        <f>Lista!G863</f>
        <v>0</v>
      </c>
      <c r="I864" s="125">
        <f>Lista!H863</f>
        <v>0</v>
      </c>
      <c r="J864" s="125">
        <f>Lista!I863</f>
        <v>0</v>
      </c>
      <c r="K864" s="125">
        <f>Lista!J863</f>
        <v>0</v>
      </c>
      <c r="L864" s="125">
        <f>Lista!K863</f>
        <v>0</v>
      </c>
      <c r="M864" s="125">
        <f>Lista!L863</f>
        <v>0</v>
      </c>
      <c r="N864" s="125">
        <f>Lista!M863</f>
        <v>0</v>
      </c>
      <c r="O864" s="125">
        <f>Lista!N863</f>
        <v>0</v>
      </c>
      <c r="P864" s="125">
        <f>Lista!O863</f>
        <v>0</v>
      </c>
      <c r="Q864" s="125">
        <f>Lista!P863</f>
        <v>0</v>
      </c>
      <c r="R864" s="125">
        <f>Lista!Q863</f>
        <v>0</v>
      </c>
      <c r="S864" s="125">
        <f>Lista!R863</f>
        <v>0</v>
      </c>
      <c r="T864" s="81"/>
      <c r="U864" s="81"/>
      <c r="V864" s="81"/>
      <c r="W864" s="81"/>
      <c r="X864" s="81"/>
      <c r="Y864" s="81"/>
      <c r="Z864" s="81"/>
      <c r="AA864" s="81"/>
      <c r="AB864" s="81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  <c r="BS864" s="81"/>
      <c r="BT864" s="81"/>
      <c r="BU864" s="81"/>
      <c r="BV864" s="81"/>
      <c r="BW864" s="81"/>
      <c r="BX864" s="81"/>
      <c r="BY864" s="81"/>
      <c r="BZ864" s="81"/>
      <c r="CA864" s="81"/>
      <c r="CB864" s="81"/>
      <c r="CC864" s="81"/>
      <c r="CD864" s="81"/>
      <c r="CE864" s="81"/>
      <c r="CF864" s="81"/>
      <c r="CG864" s="81"/>
      <c r="CH864" s="81"/>
      <c r="CI864" s="81"/>
      <c r="CJ864" s="81"/>
      <c r="CK864" s="81"/>
      <c r="CL864" s="81"/>
      <c r="CM864" s="81"/>
      <c r="CN864" s="81"/>
      <c r="CO864" s="81"/>
      <c r="CP864" s="81"/>
      <c r="CQ864" s="81"/>
      <c r="CR864" s="81"/>
      <c r="CS864" s="81"/>
      <c r="CT864" s="81"/>
      <c r="CU864" s="81"/>
      <c r="CV864" s="81"/>
      <c r="CW864" s="81"/>
      <c r="CX864" s="81"/>
      <c r="CY864" s="81"/>
      <c r="CZ864" s="81"/>
      <c r="DA864" s="81"/>
      <c r="DB864" s="81"/>
      <c r="DC864" s="81"/>
      <c r="DD864" s="81"/>
      <c r="DE864" s="81"/>
      <c r="DF864" s="81"/>
      <c r="DG864" s="81"/>
      <c r="DH864" s="81"/>
      <c r="DI864" s="81"/>
      <c r="DJ864" s="81"/>
      <c r="DK864" s="81"/>
      <c r="DL864" s="81"/>
      <c r="DM864" s="81"/>
      <c r="DN864" s="81"/>
      <c r="DO864" s="81"/>
      <c r="DP864" s="81"/>
      <c r="DQ864" s="81"/>
      <c r="DR864" s="81"/>
      <c r="DS864" s="81"/>
      <c r="DT864" s="81"/>
      <c r="DU864" s="81"/>
      <c r="DV864" s="81"/>
      <c r="DW864" s="121"/>
    </row>
    <row r="865" spans="1:127" x14ac:dyDescent="0.25">
      <c r="A865" s="2">
        <f>COUNTIF($D$2:D865,'Reporte de Nomina'!$E$2)</f>
        <v>0</v>
      </c>
      <c r="B865" s="125">
        <f>Lista!A864</f>
        <v>0</v>
      </c>
      <c r="C865" s="125">
        <f>Lista!B864</f>
        <v>0</v>
      </c>
      <c r="D865" s="125">
        <f>Lista!C864</f>
        <v>0</v>
      </c>
      <c r="E865" s="125">
        <f>Lista!D864</f>
        <v>0</v>
      </c>
      <c r="F865" s="125">
        <f>Lista!E864</f>
        <v>0</v>
      </c>
      <c r="G865" s="125">
        <f>Lista!F864</f>
        <v>0</v>
      </c>
      <c r="H865" s="125">
        <f>Lista!G864</f>
        <v>0</v>
      </c>
      <c r="I865" s="125">
        <f>Lista!H864</f>
        <v>0</v>
      </c>
      <c r="J865" s="125">
        <f>Lista!I864</f>
        <v>0</v>
      </c>
      <c r="K865" s="125">
        <f>Lista!J864</f>
        <v>0</v>
      </c>
      <c r="L865" s="125">
        <f>Lista!K864</f>
        <v>0</v>
      </c>
      <c r="M865" s="125">
        <f>Lista!L864</f>
        <v>0</v>
      </c>
      <c r="N865" s="125">
        <f>Lista!M864</f>
        <v>0</v>
      </c>
      <c r="O865" s="125">
        <f>Lista!N864</f>
        <v>0</v>
      </c>
      <c r="P865" s="125">
        <f>Lista!O864</f>
        <v>0</v>
      </c>
      <c r="Q865" s="125">
        <f>Lista!P864</f>
        <v>0</v>
      </c>
      <c r="R865" s="125">
        <f>Lista!Q864</f>
        <v>0</v>
      </c>
      <c r="S865" s="125">
        <f>Lista!R864</f>
        <v>0</v>
      </c>
      <c r="T865" s="81"/>
      <c r="U865" s="81"/>
      <c r="V865" s="81"/>
      <c r="W865" s="81"/>
      <c r="X865" s="81"/>
      <c r="Y865" s="81"/>
      <c r="Z865" s="81"/>
      <c r="AA865" s="81"/>
      <c r="AB865" s="81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  <c r="BS865" s="81"/>
      <c r="BT865" s="81"/>
      <c r="BU865" s="81"/>
      <c r="BV865" s="81"/>
      <c r="BW865" s="81"/>
      <c r="BX865" s="81"/>
      <c r="BY865" s="81"/>
      <c r="BZ865" s="81"/>
      <c r="CA865" s="81"/>
      <c r="CB865" s="81"/>
      <c r="CC865" s="81"/>
      <c r="CD865" s="81"/>
      <c r="CE865" s="81"/>
      <c r="CF865" s="81"/>
      <c r="CG865" s="81"/>
      <c r="CH865" s="81"/>
      <c r="CI865" s="81"/>
      <c r="CJ865" s="81"/>
      <c r="CK865" s="81"/>
      <c r="CL865" s="81"/>
      <c r="CM865" s="81"/>
      <c r="CN865" s="81"/>
      <c r="CO865" s="81"/>
      <c r="CP865" s="81"/>
      <c r="CQ865" s="81"/>
      <c r="CR865" s="81"/>
      <c r="CS865" s="81"/>
      <c r="CT865" s="81"/>
      <c r="CU865" s="81"/>
      <c r="CV865" s="81"/>
      <c r="CW865" s="81"/>
      <c r="CX865" s="81"/>
      <c r="CY865" s="81"/>
      <c r="CZ865" s="81"/>
      <c r="DA865" s="81"/>
      <c r="DB865" s="81"/>
      <c r="DC865" s="81"/>
      <c r="DD865" s="81"/>
      <c r="DE865" s="81"/>
      <c r="DF865" s="81"/>
      <c r="DG865" s="81"/>
      <c r="DH865" s="81"/>
      <c r="DI865" s="81"/>
      <c r="DJ865" s="81"/>
      <c r="DK865" s="81"/>
      <c r="DL865" s="81"/>
      <c r="DM865" s="81"/>
      <c r="DN865" s="81"/>
      <c r="DO865" s="81"/>
      <c r="DP865" s="81"/>
      <c r="DQ865" s="81"/>
      <c r="DR865" s="81"/>
      <c r="DS865" s="81"/>
      <c r="DT865" s="81"/>
      <c r="DU865" s="81"/>
      <c r="DV865" s="81"/>
      <c r="DW865" s="121"/>
    </row>
    <row r="866" spans="1:127" x14ac:dyDescent="0.25">
      <c r="A866" s="2">
        <f>COUNTIF($D$2:D866,'Reporte de Nomina'!$E$2)</f>
        <v>0</v>
      </c>
      <c r="B866" s="125">
        <f>Lista!A865</f>
        <v>0</v>
      </c>
      <c r="C866" s="125">
        <f>Lista!B865</f>
        <v>0</v>
      </c>
      <c r="D866" s="125">
        <f>Lista!C865</f>
        <v>0</v>
      </c>
      <c r="E866" s="125">
        <f>Lista!D865</f>
        <v>0</v>
      </c>
      <c r="F866" s="125">
        <f>Lista!E865</f>
        <v>0</v>
      </c>
      <c r="G866" s="125">
        <f>Lista!F865</f>
        <v>0</v>
      </c>
      <c r="H866" s="125">
        <f>Lista!G865</f>
        <v>0</v>
      </c>
      <c r="I866" s="125">
        <f>Lista!H865</f>
        <v>0</v>
      </c>
      <c r="J866" s="125">
        <f>Lista!I865</f>
        <v>0</v>
      </c>
      <c r="K866" s="125">
        <f>Lista!J865</f>
        <v>0</v>
      </c>
      <c r="L866" s="125">
        <f>Lista!K865</f>
        <v>0</v>
      </c>
      <c r="M866" s="125">
        <f>Lista!L865</f>
        <v>0</v>
      </c>
      <c r="N866" s="125">
        <f>Lista!M865</f>
        <v>0</v>
      </c>
      <c r="O866" s="125">
        <f>Lista!N865</f>
        <v>0</v>
      </c>
      <c r="P866" s="125">
        <f>Lista!O865</f>
        <v>0</v>
      </c>
      <c r="Q866" s="125">
        <f>Lista!P865</f>
        <v>0</v>
      </c>
      <c r="R866" s="125">
        <f>Lista!Q865</f>
        <v>0</v>
      </c>
      <c r="S866" s="125">
        <f>Lista!R865</f>
        <v>0</v>
      </c>
      <c r="T866" s="81"/>
      <c r="U866" s="81"/>
      <c r="V866" s="81"/>
      <c r="W866" s="81"/>
      <c r="X866" s="81"/>
      <c r="Y866" s="81"/>
      <c r="Z866" s="81"/>
      <c r="AA866" s="81"/>
      <c r="AB866" s="81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  <c r="BS866" s="81"/>
      <c r="BT866" s="81"/>
      <c r="BU866" s="81"/>
      <c r="BV866" s="81"/>
      <c r="BW866" s="81"/>
      <c r="BX866" s="81"/>
      <c r="BY866" s="81"/>
      <c r="BZ866" s="81"/>
      <c r="CA866" s="81"/>
      <c r="CB866" s="81"/>
      <c r="CC866" s="81"/>
      <c r="CD866" s="81"/>
      <c r="CE866" s="81"/>
      <c r="CF866" s="81"/>
      <c r="CG866" s="81"/>
      <c r="CH866" s="81"/>
      <c r="CI866" s="81"/>
      <c r="CJ866" s="81"/>
      <c r="CK866" s="81"/>
      <c r="CL866" s="81"/>
      <c r="CM866" s="81"/>
      <c r="CN866" s="81"/>
      <c r="CO866" s="81"/>
      <c r="CP866" s="81"/>
      <c r="CQ866" s="81"/>
      <c r="CR866" s="81"/>
      <c r="CS866" s="81"/>
      <c r="CT866" s="81"/>
      <c r="CU866" s="81"/>
      <c r="CV866" s="81"/>
      <c r="CW866" s="81"/>
      <c r="CX866" s="81"/>
      <c r="CY866" s="81"/>
      <c r="CZ866" s="81"/>
      <c r="DA866" s="81"/>
      <c r="DB866" s="81"/>
      <c r="DC866" s="81"/>
      <c r="DD866" s="81"/>
      <c r="DE866" s="81"/>
      <c r="DF866" s="81"/>
      <c r="DG866" s="81"/>
      <c r="DH866" s="81"/>
      <c r="DI866" s="81"/>
      <c r="DJ866" s="81"/>
      <c r="DK866" s="81"/>
      <c r="DL866" s="81"/>
      <c r="DM866" s="81"/>
      <c r="DN866" s="81"/>
      <c r="DO866" s="81"/>
      <c r="DP866" s="81"/>
      <c r="DQ866" s="81"/>
      <c r="DR866" s="81"/>
      <c r="DS866" s="81"/>
      <c r="DT866" s="81"/>
      <c r="DU866" s="81"/>
      <c r="DV866" s="81"/>
      <c r="DW866" s="121"/>
    </row>
    <row r="867" spans="1:127" x14ac:dyDescent="0.25">
      <c r="A867" s="2">
        <f>COUNTIF($D$2:D867,'Reporte de Nomina'!$E$2)</f>
        <v>0</v>
      </c>
      <c r="B867" s="125">
        <f>Lista!A866</f>
        <v>0</v>
      </c>
      <c r="C867" s="125">
        <f>Lista!B866</f>
        <v>0</v>
      </c>
      <c r="D867" s="125">
        <f>Lista!C866</f>
        <v>0</v>
      </c>
      <c r="E867" s="125">
        <f>Lista!D866</f>
        <v>0</v>
      </c>
      <c r="F867" s="125">
        <f>Lista!E866</f>
        <v>0</v>
      </c>
      <c r="G867" s="125">
        <f>Lista!F866</f>
        <v>0</v>
      </c>
      <c r="H867" s="125">
        <f>Lista!G866</f>
        <v>0</v>
      </c>
      <c r="I867" s="125">
        <f>Lista!H866</f>
        <v>0</v>
      </c>
      <c r="J867" s="125">
        <f>Lista!I866</f>
        <v>0</v>
      </c>
      <c r="K867" s="125">
        <f>Lista!J866</f>
        <v>0</v>
      </c>
      <c r="L867" s="125">
        <f>Lista!K866</f>
        <v>0</v>
      </c>
      <c r="M867" s="125">
        <f>Lista!L866</f>
        <v>0</v>
      </c>
      <c r="N867" s="125">
        <f>Lista!M866</f>
        <v>0</v>
      </c>
      <c r="O867" s="125">
        <f>Lista!N866</f>
        <v>0</v>
      </c>
      <c r="P867" s="125">
        <f>Lista!O866</f>
        <v>0</v>
      </c>
      <c r="Q867" s="125">
        <f>Lista!P866</f>
        <v>0</v>
      </c>
      <c r="R867" s="125">
        <f>Lista!Q866</f>
        <v>0</v>
      </c>
      <c r="S867" s="125">
        <f>Lista!R866</f>
        <v>0</v>
      </c>
      <c r="T867" s="81"/>
      <c r="U867" s="81"/>
      <c r="V867" s="81"/>
      <c r="W867" s="81"/>
      <c r="X867" s="81"/>
      <c r="Y867" s="81"/>
      <c r="Z867" s="81"/>
      <c r="AA867" s="81"/>
      <c r="AB867" s="81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  <c r="BS867" s="81"/>
      <c r="BT867" s="81"/>
      <c r="BU867" s="81"/>
      <c r="BV867" s="81"/>
      <c r="BW867" s="81"/>
      <c r="BX867" s="81"/>
      <c r="BY867" s="81"/>
      <c r="BZ867" s="81"/>
      <c r="CA867" s="81"/>
      <c r="CB867" s="81"/>
      <c r="CC867" s="81"/>
      <c r="CD867" s="81"/>
      <c r="CE867" s="81"/>
      <c r="CF867" s="81"/>
      <c r="CG867" s="81"/>
      <c r="CH867" s="81"/>
      <c r="CI867" s="81"/>
      <c r="CJ867" s="81"/>
      <c r="CK867" s="81"/>
      <c r="CL867" s="81"/>
      <c r="CM867" s="81"/>
      <c r="CN867" s="81"/>
      <c r="CO867" s="81"/>
      <c r="CP867" s="81"/>
      <c r="CQ867" s="81"/>
      <c r="CR867" s="81"/>
      <c r="CS867" s="81"/>
      <c r="CT867" s="81"/>
      <c r="CU867" s="81"/>
      <c r="CV867" s="81"/>
      <c r="CW867" s="81"/>
      <c r="CX867" s="81"/>
      <c r="CY867" s="81"/>
      <c r="CZ867" s="81"/>
      <c r="DA867" s="81"/>
      <c r="DB867" s="81"/>
      <c r="DC867" s="81"/>
      <c r="DD867" s="81"/>
      <c r="DE867" s="81"/>
      <c r="DF867" s="81"/>
      <c r="DG867" s="81"/>
      <c r="DH867" s="81"/>
      <c r="DI867" s="81"/>
      <c r="DJ867" s="81"/>
      <c r="DK867" s="81"/>
      <c r="DL867" s="81"/>
      <c r="DM867" s="81"/>
      <c r="DN867" s="81"/>
      <c r="DO867" s="81"/>
      <c r="DP867" s="81"/>
      <c r="DQ867" s="81"/>
      <c r="DR867" s="81"/>
      <c r="DS867" s="81"/>
      <c r="DT867" s="81"/>
      <c r="DU867" s="81"/>
      <c r="DV867" s="81"/>
      <c r="DW867" s="121"/>
    </row>
    <row r="868" spans="1:127" x14ac:dyDescent="0.25">
      <c r="A868" s="2">
        <f>COUNTIF($D$2:D868,'Reporte de Nomina'!$E$2)</f>
        <v>0</v>
      </c>
      <c r="B868" s="125">
        <f>Lista!A867</f>
        <v>0</v>
      </c>
      <c r="C868" s="125">
        <f>Lista!B867</f>
        <v>0</v>
      </c>
      <c r="D868" s="125">
        <f>Lista!C867</f>
        <v>0</v>
      </c>
      <c r="E868" s="125">
        <f>Lista!D867</f>
        <v>0</v>
      </c>
      <c r="F868" s="125">
        <f>Lista!E867</f>
        <v>0</v>
      </c>
      <c r="G868" s="125">
        <f>Lista!F867</f>
        <v>0</v>
      </c>
      <c r="H868" s="125">
        <f>Lista!G867</f>
        <v>0</v>
      </c>
      <c r="I868" s="125">
        <f>Lista!H867</f>
        <v>0</v>
      </c>
      <c r="J868" s="125">
        <f>Lista!I867</f>
        <v>0</v>
      </c>
      <c r="K868" s="125">
        <f>Lista!J867</f>
        <v>0</v>
      </c>
      <c r="L868" s="125">
        <f>Lista!K867</f>
        <v>0</v>
      </c>
      <c r="M868" s="125">
        <f>Lista!L867</f>
        <v>0</v>
      </c>
      <c r="N868" s="125">
        <f>Lista!M867</f>
        <v>0</v>
      </c>
      <c r="O868" s="125">
        <f>Lista!N867</f>
        <v>0</v>
      </c>
      <c r="P868" s="125">
        <f>Lista!O867</f>
        <v>0</v>
      </c>
      <c r="Q868" s="125">
        <f>Lista!P867</f>
        <v>0</v>
      </c>
      <c r="R868" s="125">
        <f>Lista!Q867</f>
        <v>0</v>
      </c>
      <c r="S868" s="125">
        <f>Lista!R867</f>
        <v>0</v>
      </c>
      <c r="T868" s="81"/>
      <c r="U868" s="81"/>
      <c r="V868" s="81"/>
      <c r="W868" s="81"/>
      <c r="X868" s="81"/>
      <c r="Y868" s="81"/>
      <c r="Z868" s="81"/>
      <c r="AA868" s="81"/>
      <c r="AB868" s="81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  <c r="BS868" s="81"/>
      <c r="BT868" s="81"/>
      <c r="BU868" s="81"/>
      <c r="BV868" s="81"/>
      <c r="BW868" s="81"/>
      <c r="BX868" s="81"/>
      <c r="BY868" s="81"/>
      <c r="BZ868" s="81"/>
      <c r="CA868" s="81"/>
      <c r="CB868" s="81"/>
      <c r="CC868" s="81"/>
      <c r="CD868" s="81"/>
      <c r="CE868" s="81"/>
      <c r="CF868" s="81"/>
      <c r="CG868" s="81"/>
      <c r="CH868" s="81"/>
      <c r="CI868" s="81"/>
      <c r="CJ868" s="81"/>
      <c r="CK868" s="81"/>
      <c r="CL868" s="81"/>
      <c r="CM868" s="81"/>
      <c r="CN868" s="81"/>
      <c r="CO868" s="81"/>
      <c r="CP868" s="81"/>
      <c r="CQ868" s="81"/>
      <c r="CR868" s="81"/>
      <c r="CS868" s="81"/>
      <c r="CT868" s="81"/>
      <c r="CU868" s="81"/>
      <c r="CV868" s="81"/>
      <c r="CW868" s="81"/>
      <c r="CX868" s="81"/>
      <c r="CY868" s="81"/>
      <c r="CZ868" s="81"/>
      <c r="DA868" s="81"/>
      <c r="DB868" s="81"/>
      <c r="DC868" s="81"/>
      <c r="DD868" s="81"/>
      <c r="DE868" s="81"/>
      <c r="DF868" s="81"/>
      <c r="DG868" s="81"/>
      <c r="DH868" s="81"/>
      <c r="DI868" s="81"/>
      <c r="DJ868" s="81"/>
      <c r="DK868" s="81"/>
      <c r="DL868" s="81"/>
      <c r="DM868" s="81"/>
      <c r="DN868" s="81"/>
      <c r="DO868" s="81"/>
      <c r="DP868" s="81"/>
      <c r="DQ868" s="81"/>
      <c r="DR868" s="81"/>
      <c r="DS868" s="81"/>
      <c r="DT868" s="81"/>
      <c r="DU868" s="81"/>
      <c r="DV868" s="81"/>
      <c r="DW868" s="121"/>
    </row>
    <row r="869" spans="1:127" x14ac:dyDescent="0.25">
      <c r="A869" s="2">
        <f>COUNTIF($D$2:D869,'Reporte de Nomina'!$E$2)</f>
        <v>0</v>
      </c>
      <c r="B869" s="125">
        <f>Lista!A868</f>
        <v>0</v>
      </c>
      <c r="C869" s="125">
        <f>Lista!B868</f>
        <v>0</v>
      </c>
      <c r="D869" s="125">
        <f>Lista!C868</f>
        <v>0</v>
      </c>
      <c r="E869" s="125">
        <f>Lista!D868</f>
        <v>0</v>
      </c>
      <c r="F869" s="125">
        <f>Lista!E868</f>
        <v>0</v>
      </c>
      <c r="G869" s="125">
        <f>Lista!F868</f>
        <v>0</v>
      </c>
      <c r="H869" s="125">
        <f>Lista!G868</f>
        <v>0</v>
      </c>
      <c r="I869" s="125">
        <f>Lista!H868</f>
        <v>0</v>
      </c>
      <c r="J869" s="125">
        <f>Lista!I868</f>
        <v>0</v>
      </c>
      <c r="K869" s="125">
        <f>Lista!J868</f>
        <v>0</v>
      </c>
      <c r="L869" s="125">
        <f>Lista!K868</f>
        <v>0</v>
      </c>
      <c r="M869" s="125">
        <f>Lista!L868</f>
        <v>0</v>
      </c>
      <c r="N869" s="125">
        <f>Lista!M868</f>
        <v>0</v>
      </c>
      <c r="O869" s="125">
        <f>Lista!N868</f>
        <v>0</v>
      </c>
      <c r="P869" s="125">
        <f>Lista!O868</f>
        <v>0</v>
      </c>
      <c r="Q869" s="125">
        <f>Lista!P868</f>
        <v>0</v>
      </c>
      <c r="R869" s="125">
        <f>Lista!Q868</f>
        <v>0</v>
      </c>
      <c r="S869" s="125">
        <f>Lista!R868</f>
        <v>0</v>
      </c>
      <c r="T869" s="81"/>
      <c r="U869" s="81"/>
      <c r="V869" s="81"/>
      <c r="W869" s="81"/>
      <c r="X869" s="81"/>
      <c r="Y869" s="81"/>
      <c r="Z869" s="81"/>
      <c r="AA869" s="81"/>
      <c r="AB869" s="81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  <c r="BS869" s="81"/>
      <c r="BT869" s="81"/>
      <c r="BU869" s="81"/>
      <c r="BV869" s="81"/>
      <c r="BW869" s="81"/>
      <c r="BX869" s="81"/>
      <c r="BY869" s="81"/>
      <c r="BZ869" s="81"/>
      <c r="CA869" s="81"/>
      <c r="CB869" s="81"/>
      <c r="CC869" s="81"/>
      <c r="CD869" s="81"/>
      <c r="CE869" s="81"/>
      <c r="CF869" s="81"/>
      <c r="CG869" s="81"/>
      <c r="CH869" s="81"/>
      <c r="CI869" s="81"/>
      <c r="CJ869" s="81"/>
      <c r="CK869" s="81"/>
      <c r="CL869" s="81"/>
      <c r="CM869" s="81"/>
      <c r="CN869" s="81"/>
      <c r="CO869" s="81"/>
      <c r="CP869" s="81"/>
      <c r="CQ869" s="81"/>
      <c r="CR869" s="81"/>
      <c r="CS869" s="81"/>
      <c r="CT869" s="81"/>
      <c r="CU869" s="81"/>
      <c r="CV869" s="81"/>
      <c r="CW869" s="81"/>
      <c r="CX869" s="81"/>
      <c r="CY869" s="81"/>
      <c r="CZ869" s="81"/>
      <c r="DA869" s="81"/>
      <c r="DB869" s="81"/>
      <c r="DC869" s="81"/>
      <c r="DD869" s="81"/>
      <c r="DE869" s="81"/>
      <c r="DF869" s="81"/>
      <c r="DG869" s="81"/>
      <c r="DH869" s="81"/>
      <c r="DI869" s="81"/>
      <c r="DJ869" s="81"/>
      <c r="DK869" s="81"/>
      <c r="DL869" s="81"/>
      <c r="DM869" s="81"/>
      <c r="DN869" s="81"/>
      <c r="DO869" s="81"/>
      <c r="DP869" s="81"/>
      <c r="DQ869" s="81"/>
      <c r="DR869" s="81"/>
      <c r="DS869" s="81"/>
      <c r="DT869" s="81"/>
      <c r="DU869" s="81"/>
      <c r="DV869" s="81"/>
      <c r="DW869" s="121"/>
    </row>
    <row r="870" spans="1:127" x14ac:dyDescent="0.25">
      <c r="A870" s="2">
        <f>COUNTIF($D$2:D870,'Reporte de Nomina'!$E$2)</f>
        <v>0</v>
      </c>
      <c r="B870" s="125">
        <f>Lista!A869</f>
        <v>0</v>
      </c>
      <c r="C870" s="125">
        <f>Lista!B869</f>
        <v>0</v>
      </c>
      <c r="D870" s="125">
        <f>Lista!C869</f>
        <v>0</v>
      </c>
      <c r="E870" s="125">
        <f>Lista!D869</f>
        <v>0</v>
      </c>
      <c r="F870" s="125">
        <f>Lista!E869</f>
        <v>0</v>
      </c>
      <c r="G870" s="125">
        <f>Lista!F869</f>
        <v>0</v>
      </c>
      <c r="H870" s="125">
        <f>Lista!G869</f>
        <v>0</v>
      </c>
      <c r="I870" s="125">
        <f>Lista!H869</f>
        <v>0</v>
      </c>
      <c r="J870" s="125">
        <f>Lista!I869</f>
        <v>0</v>
      </c>
      <c r="K870" s="125">
        <f>Lista!J869</f>
        <v>0</v>
      </c>
      <c r="L870" s="125">
        <f>Lista!K869</f>
        <v>0</v>
      </c>
      <c r="M870" s="125">
        <f>Lista!L869</f>
        <v>0</v>
      </c>
      <c r="N870" s="125">
        <f>Lista!M869</f>
        <v>0</v>
      </c>
      <c r="O870" s="125">
        <f>Lista!N869</f>
        <v>0</v>
      </c>
      <c r="P870" s="125">
        <f>Lista!O869</f>
        <v>0</v>
      </c>
      <c r="Q870" s="125">
        <f>Lista!P869</f>
        <v>0</v>
      </c>
      <c r="R870" s="125">
        <f>Lista!Q869</f>
        <v>0</v>
      </c>
      <c r="S870" s="125">
        <f>Lista!R869</f>
        <v>0</v>
      </c>
      <c r="T870" s="81"/>
      <c r="U870" s="81"/>
      <c r="V870" s="81"/>
      <c r="W870" s="81"/>
      <c r="X870" s="81"/>
      <c r="Y870" s="81"/>
      <c r="Z870" s="81"/>
      <c r="AA870" s="81"/>
      <c r="AB870" s="81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  <c r="BS870" s="81"/>
      <c r="BT870" s="81"/>
      <c r="BU870" s="81"/>
      <c r="BV870" s="81"/>
      <c r="BW870" s="81"/>
      <c r="BX870" s="81"/>
      <c r="BY870" s="81"/>
      <c r="BZ870" s="81"/>
      <c r="CA870" s="81"/>
      <c r="CB870" s="81"/>
      <c r="CC870" s="81"/>
      <c r="CD870" s="81"/>
      <c r="CE870" s="81"/>
      <c r="CF870" s="81"/>
      <c r="CG870" s="81"/>
      <c r="CH870" s="81"/>
      <c r="CI870" s="81"/>
      <c r="CJ870" s="81"/>
      <c r="CK870" s="81"/>
      <c r="CL870" s="81"/>
      <c r="CM870" s="81"/>
      <c r="CN870" s="81"/>
      <c r="CO870" s="81"/>
      <c r="CP870" s="81"/>
      <c r="CQ870" s="81"/>
      <c r="CR870" s="81"/>
      <c r="CS870" s="81"/>
      <c r="CT870" s="81"/>
      <c r="CU870" s="81"/>
      <c r="CV870" s="81"/>
      <c r="CW870" s="81"/>
      <c r="CX870" s="81"/>
      <c r="CY870" s="81"/>
      <c r="CZ870" s="81"/>
      <c r="DA870" s="81"/>
      <c r="DB870" s="81"/>
      <c r="DC870" s="81"/>
      <c r="DD870" s="81"/>
      <c r="DE870" s="81"/>
      <c r="DF870" s="81"/>
      <c r="DG870" s="81"/>
      <c r="DH870" s="81"/>
      <c r="DI870" s="81"/>
      <c r="DJ870" s="81"/>
      <c r="DK870" s="81"/>
      <c r="DL870" s="81"/>
      <c r="DM870" s="81"/>
      <c r="DN870" s="81"/>
      <c r="DO870" s="81"/>
      <c r="DP870" s="81"/>
      <c r="DQ870" s="81"/>
      <c r="DR870" s="81"/>
      <c r="DS870" s="81"/>
      <c r="DT870" s="81"/>
      <c r="DU870" s="81"/>
      <c r="DV870" s="81"/>
      <c r="DW870" s="121"/>
    </row>
    <row r="871" spans="1:127" x14ac:dyDescent="0.25">
      <c r="A871" s="2">
        <f>COUNTIF($D$2:D871,'Reporte de Nomina'!$E$2)</f>
        <v>0</v>
      </c>
      <c r="B871" s="125">
        <f>Lista!A870</f>
        <v>0</v>
      </c>
      <c r="C871" s="125">
        <f>Lista!B870</f>
        <v>0</v>
      </c>
      <c r="D871" s="125">
        <f>Lista!C870</f>
        <v>0</v>
      </c>
      <c r="E871" s="125">
        <f>Lista!D870</f>
        <v>0</v>
      </c>
      <c r="F871" s="125">
        <f>Lista!E870</f>
        <v>0</v>
      </c>
      <c r="G871" s="125">
        <f>Lista!F870</f>
        <v>0</v>
      </c>
      <c r="H871" s="125">
        <f>Lista!G870</f>
        <v>0</v>
      </c>
      <c r="I871" s="125">
        <f>Lista!H870</f>
        <v>0</v>
      </c>
      <c r="J871" s="125">
        <f>Lista!I870</f>
        <v>0</v>
      </c>
      <c r="K871" s="125">
        <f>Lista!J870</f>
        <v>0</v>
      </c>
      <c r="L871" s="125">
        <f>Lista!K870</f>
        <v>0</v>
      </c>
      <c r="M871" s="125">
        <f>Lista!L870</f>
        <v>0</v>
      </c>
      <c r="N871" s="125">
        <f>Lista!M870</f>
        <v>0</v>
      </c>
      <c r="O871" s="125">
        <f>Lista!N870</f>
        <v>0</v>
      </c>
      <c r="P871" s="125">
        <f>Lista!O870</f>
        <v>0</v>
      </c>
      <c r="Q871" s="125">
        <f>Lista!P870</f>
        <v>0</v>
      </c>
      <c r="R871" s="125">
        <f>Lista!Q870</f>
        <v>0</v>
      </c>
      <c r="S871" s="125">
        <f>Lista!R870</f>
        <v>0</v>
      </c>
      <c r="T871" s="81"/>
      <c r="U871" s="81"/>
      <c r="V871" s="81"/>
      <c r="W871" s="81"/>
      <c r="X871" s="81"/>
      <c r="Y871" s="81"/>
      <c r="Z871" s="81"/>
      <c r="AA871" s="81"/>
      <c r="AB871" s="81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  <c r="BS871" s="81"/>
      <c r="BT871" s="81"/>
      <c r="BU871" s="81"/>
      <c r="BV871" s="81"/>
      <c r="BW871" s="81"/>
      <c r="BX871" s="81"/>
      <c r="BY871" s="81"/>
      <c r="BZ871" s="81"/>
      <c r="CA871" s="81"/>
      <c r="CB871" s="81"/>
      <c r="CC871" s="81"/>
      <c r="CD871" s="81"/>
      <c r="CE871" s="81"/>
      <c r="CF871" s="81"/>
      <c r="CG871" s="81"/>
      <c r="CH871" s="81"/>
      <c r="CI871" s="81"/>
      <c r="CJ871" s="81"/>
      <c r="CK871" s="81"/>
      <c r="CL871" s="81"/>
      <c r="CM871" s="81"/>
      <c r="CN871" s="81"/>
      <c r="CO871" s="81"/>
      <c r="CP871" s="81"/>
      <c r="CQ871" s="81"/>
      <c r="CR871" s="81"/>
      <c r="CS871" s="81"/>
      <c r="CT871" s="81"/>
      <c r="CU871" s="81"/>
      <c r="CV871" s="81"/>
      <c r="CW871" s="81"/>
      <c r="CX871" s="81"/>
      <c r="CY871" s="81"/>
      <c r="CZ871" s="81"/>
      <c r="DA871" s="81"/>
      <c r="DB871" s="81"/>
      <c r="DC871" s="81"/>
      <c r="DD871" s="81"/>
      <c r="DE871" s="81"/>
      <c r="DF871" s="81"/>
      <c r="DG871" s="81"/>
      <c r="DH871" s="81"/>
      <c r="DI871" s="81"/>
      <c r="DJ871" s="81"/>
      <c r="DK871" s="81"/>
      <c r="DL871" s="81"/>
      <c r="DM871" s="81"/>
      <c r="DN871" s="81"/>
      <c r="DO871" s="81"/>
      <c r="DP871" s="81"/>
      <c r="DQ871" s="81"/>
      <c r="DR871" s="81"/>
      <c r="DS871" s="81"/>
      <c r="DT871" s="81"/>
      <c r="DU871" s="81"/>
      <c r="DV871" s="81"/>
      <c r="DW871" s="121"/>
    </row>
    <row r="872" spans="1:127" x14ac:dyDescent="0.25">
      <c r="A872" s="2">
        <f>COUNTIF($D$2:D872,'Reporte de Nomina'!$E$2)</f>
        <v>0</v>
      </c>
      <c r="B872" s="125">
        <f>Lista!A871</f>
        <v>0</v>
      </c>
      <c r="C872" s="125">
        <f>Lista!B871</f>
        <v>0</v>
      </c>
      <c r="D872" s="125">
        <f>Lista!C871</f>
        <v>0</v>
      </c>
      <c r="E872" s="125">
        <f>Lista!D871</f>
        <v>0</v>
      </c>
      <c r="F872" s="125">
        <f>Lista!E871</f>
        <v>0</v>
      </c>
      <c r="G872" s="125">
        <f>Lista!F871</f>
        <v>0</v>
      </c>
      <c r="H872" s="125">
        <f>Lista!G871</f>
        <v>0</v>
      </c>
      <c r="I872" s="125">
        <f>Lista!H871</f>
        <v>0</v>
      </c>
      <c r="J872" s="125">
        <f>Lista!I871</f>
        <v>0</v>
      </c>
      <c r="K872" s="125">
        <f>Lista!J871</f>
        <v>0</v>
      </c>
      <c r="L872" s="125">
        <f>Lista!K871</f>
        <v>0</v>
      </c>
      <c r="M872" s="125">
        <f>Lista!L871</f>
        <v>0</v>
      </c>
      <c r="N872" s="125">
        <f>Lista!M871</f>
        <v>0</v>
      </c>
      <c r="O872" s="125">
        <f>Lista!N871</f>
        <v>0</v>
      </c>
      <c r="P872" s="125">
        <f>Lista!O871</f>
        <v>0</v>
      </c>
      <c r="Q872" s="125">
        <f>Lista!P871</f>
        <v>0</v>
      </c>
      <c r="R872" s="125">
        <f>Lista!Q871</f>
        <v>0</v>
      </c>
      <c r="S872" s="125">
        <f>Lista!R871</f>
        <v>0</v>
      </c>
      <c r="T872" s="81"/>
      <c r="U872" s="81"/>
      <c r="V872" s="81"/>
      <c r="W872" s="81"/>
      <c r="X872" s="81"/>
      <c r="Y872" s="81"/>
      <c r="Z872" s="81"/>
      <c r="AA872" s="81"/>
      <c r="AB872" s="81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  <c r="BS872" s="81"/>
      <c r="BT872" s="81"/>
      <c r="BU872" s="81"/>
      <c r="BV872" s="81"/>
      <c r="BW872" s="81"/>
      <c r="BX872" s="81"/>
      <c r="BY872" s="81"/>
      <c r="BZ872" s="81"/>
      <c r="CA872" s="81"/>
      <c r="CB872" s="81"/>
      <c r="CC872" s="81"/>
      <c r="CD872" s="81"/>
      <c r="CE872" s="81"/>
      <c r="CF872" s="81"/>
      <c r="CG872" s="81"/>
      <c r="CH872" s="81"/>
      <c r="CI872" s="81"/>
      <c r="CJ872" s="81"/>
      <c r="CK872" s="81"/>
      <c r="CL872" s="81"/>
      <c r="CM872" s="81"/>
      <c r="CN872" s="81"/>
      <c r="CO872" s="81"/>
      <c r="CP872" s="81"/>
      <c r="CQ872" s="81"/>
      <c r="CR872" s="81"/>
      <c r="CS872" s="81"/>
      <c r="CT872" s="81"/>
      <c r="CU872" s="81"/>
      <c r="CV872" s="81"/>
      <c r="CW872" s="81"/>
      <c r="CX872" s="81"/>
      <c r="CY872" s="81"/>
      <c r="CZ872" s="81"/>
      <c r="DA872" s="81"/>
      <c r="DB872" s="81"/>
      <c r="DC872" s="81"/>
      <c r="DD872" s="81"/>
      <c r="DE872" s="81"/>
      <c r="DF872" s="81"/>
      <c r="DG872" s="81"/>
      <c r="DH872" s="81"/>
      <c r="DI872" s="81"/>
      <c r="DJ872" s="81"/>
      <c r="DK872" s="81"/>
      <c r="DL872" s="81"/>
      <c r="DM872" s="81"/>
      <c r="DN872" s="81"/>
      <c r="DO872" s="81"/>
      <c r="DP872" s="81"/>
      <c r="DQ872" s="81"/>
      <c r="DR872" s="81"/>
      <c r="DS872" s="81"/>
      <c r="DT872" s="81"/>
      <c r="DU872" s="81"/>
      <c r="DV872" s="81"/>
      <c r="DW872" s="121"/>
    </row>
    <row r="873" spans="1:127" x14ac:dyDescent="0.25">
      <c r="A873" s="2">
        <f>COUNTIF($D$2:D873,'Reporte de Nomina'!$E$2)</f>
        <v>0</v>
      </c>
      <c r="B873" s="125">
        <f>Lista!A872</f>
        <v>0</v>
      </c>
      <c r="C873" s="125">
        <f>Lista!B872</f>
        <v>0</v>
      </c>
      <c r="D873" s="125">
        <f>Lista!C872</f>
        <v>0</v>
      </c>
      <c r="E873" s="125">
        <f>Lista!D872</f>
        <v>0</v>
      </c>
      <c r="F873" s="125">
        <f>Lista!E872</f>
        <v>0</v>
      </c>
      <c r="G873" s="125">
        <f>Lista!F872</f>
        <v>0</v>
      </c>
      <c r="H873" s="125">
        <f>Lista!G872</f>
        <v>0</v>
      </c>
      <c r="I873" s="125">
        <f>Lista!H872</f>
        <v>0</v>
      </c>
      <c r="J873" s="125">
        <f>Lista!I872</f>
        <v>0</v>
      </c>
      <c r="K873" s="125">
        <f>Lista!J872</f>
        <v>0</v>
      </c>
      <c r="L873" s="125">
        <f>Lista!K872</f>
        <v>0</v>
      </c>
      <c r="M873" s="125">
        <f>Lista!L872</f>
        <v>0</v>
      </c>
      <c r="N873" s="125">
        <f>Lista!M872</f>
        <v>0</v>
      </c>
      <c r="O873" s="125">
        <f>Lista!N872</f>
        <v>0</v>
      </c>
      <c r="P873" s="125">
        <f>Lista!O872</f>
        <v>0</v>
      </c>
      <c r="Q873" s="125">
        <f>Lista!P872</f>
        <v>0</v>
      </c>
      <c r="R873" s="125">
        <f>Lista!Q872</f>
        <v>0</v>
      </c>
      <c r="S873" s="125">
        <f>Lista!R872</f>
        <v>0</v>
      </c>
      <c r="T873" s="81"/>
      <c r="U873" s="81"/>
      <c r="V873" s="81"/>
      <c r="W873" s="81"/>
      <c r="X873" s="81"/>
      <c r="Y873" s="81"/>
      <c r="Z873" s="81"/>
      <c r="AA873" s="81"/>
      <c r="AB873" s="81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  <c r="BS873" s="81"/>
      <c r="BT873" s="81"/>
      <c r="BU873" s="81"/>
      <c r="BV873" s="81"/>
      <c r="BW873" s="81"/>
      <c r="BX873" s="81"/>
      <c r="BY873" s="81"/>
      <c r="BZ873" s="81"/>
      <c r="CA873" s="81"/>
      <c r="CB873" s="81"/>
      <c r="CC873" s="81"/>
      <c r="CD873" s="81"/>
      <c r="CE873" s="81"/>
      <c r="CF873" s="81"/>
      <c r="CG873" s="81"/>
      <c r="CH873" s="81"/>
      <c r="CI873" s="81"/>
      <c r="CJ873" s="81"/>
      <c r="CK873" s="81"/>
      <c r="CL873" s="81"/>
      <c r="CM873" s="81"/>
      <c r="CN873" s="81"/>
      <c r="CO873" s="81"/>
      <c r="CP873" s="81"/>
      <c r="CQ873" s="81"/>
      <c r="CR873" s="81"/>
      <c r="CS873" s="81"/>
      <c r="CT873" s="81"/>
      <c r="CU873" s="81"/>
      <c r="CV873" s="81"/>
      <c r="CW873" s="81"/>
      <c r="CX873" s="81"/>
      <c r="CY873" s="81"/>
      <c r="CZ873" s="81"/>
      <c r="DA873" s="81"/>
      <c r="DB873" s="81"/>
      <c r="DC873" s="81"/>
      <c r="DD873" s="81"/>
      <c r="DE873" s="81"/>
      <c r="DF873" s="81"/>
      <c r="DG873" s="81"/>
      <c r="DH873" s="81"/>
      <c r="DI873" s="81"/>
      <c r="DJ873" s="81"/>
      <c r="DK873" s="81"/>
      <c r="DL873" s="81"/>
      <c r="DM873" s="81"/>
      <c r="DN873" s="81"/>
      <c r="DO873" s="81"/>
      <c r="DP873" s="81"/>
      <c r="DQ873" s="81"/>
      <c r="DR873" s="81"/>
      <c r="DS873" s="81"/>
      <c r="DT873" s="81"/>
      <c r="DU873" s="81"/>
      <c r="DV873" s="81"/>
      <c r="DW873" s="121"/>
    </row>
    <row r="874" spans="1:127" x14ac:dyDescent="0.25">
      <c r="A874" s="2">
        <f>COUNTIF($D$2:D874,'Reporte de Nomina'!$E$2)</f>
        <v>0</v>
      </c>
      <c r="B874" s="125">
        <f>Lista!A873</f>
        <v>0</v>
      </c>
      <c r="C874" s="125">
        <f>Lista!B873</f>
        <v>0</v>
      </c>
      <c r="D874" s="125">
        <f>Lista!C873</f>
        <v>0</v>
      </c>
      <c r="E874" s="125">
        <f>Lista!D873</f>
        <v>0</v>
      </c>
      <c r="F874" s="125">
        <f>Lista!E873</f>
        <v>0</v>
      </c>
      <c r="G874" s="125">
        <f>Lista!F873</f>
        <v>0</v>
      </c>
      <c r="H874" s="125">
        <f>Lista!G873</f>
        <v>0</v>
      </c>
      <c r="I874" s="125">
        <f>Lista!H873</f>
        <v>0</v>
      </c>
      <c r="J874" s="125">
        <f>Lista!I873</f>
        <v>0</v>
      </c>
      <c r="K874" s="125">
        <f>Lista!J873</f>
        <v>0</v>
      </c>
      <c r="L874" s="125">
        <f>Lista!K873</f>
        <v>0</v>
      </c>
      <c r="M874" s="125">
        <f>Lista!L873</f>
        <v>0</v>
      </c>
      <c r="N874" s="125">
        <f>Lista!M873</f>
        <v>0</v>
      </c>
      <c r="O874" s="125">
        <f>Lista!N873</f>
        <v>0</v>
      </c>
      <c r="P874" s="125">
        <f>Lista!O873</f>
        <v>0</v>
      </c>
      <c r="Q874" s="125">
        <f>Lista!P873</f>
        <v>0</v>
      </c>
      <c r="R874" s="125">
        <f>Lista!Q873</f>
        <v>0</v>
      </c>
      <c r="S874" s="125">
        <f>Lista!R873</f>
        <v>0</v>
      </c>
      <c r="T874" s="81"/>
      <c r="U874" s="81"/>
      <c r="V874" s="81"/>
      <c r="W874" s="81"/>
      <c r="X874" s="81"/>
      <c r="Y874" s="81"/>
      <c r="Z874" s="81"/>
      <c r="AA874" s="81"/>
      <c r="AB874" s="81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  <c r="BS874" s="81"/>
      <c r="BT874" s="81"/>
      <c r="BU874" s="81"/>
      <c r="BV874" s="81"/>
      <c r="BW874" s="81"/>
      <c r="BX874" s="81"/>
      <c r="BY874" s="81"/>
      <c r="BZ874" s="81"/>
      <c r="CA874" s="81"/>
      <c r="CB874" s="81"/>
      <c r="CC874" s="81"/>
      <c r="CD874" s="81"/>
      <c r="CE874" s="81"/>
      <c r="CF874" s="81"/>
      <c r="CG874" s="81"/>
      <c r="CH874" s="81"/>
      <c r="CI874" s="81"/>
      <c r="CJ874" s="81"/>
      <c r="CK874" s="81"/>
      <c r="CL874" s="81"/>
      <c r="CM874" s="81"/>
      <c r="CN874" s="81"/>
      <c r="CO874" s="81"/>
      <c r="CP874" s="81"/>
      <c r="CQ874" s="81"/>
      <c r="CR874" s="81"/>
      <c r="CS874" s="81"/>
      <c r="CT874" s="81"/>
      <c r="CU874" s="81"/>
      <c r="CV874" s="81"/>
      <c r="CW874" s="81"/>
      <c r="CX874" s="81"/>
      <c r="CY874" s="81"/>
      <c r="CZ874" s="81"/>
      <c r="DA874" s="81"/>
      <c r="DB874" s="81"/>
      <c r="DC874" s="81"/>
      <c r="DD874" s="81"/>
      <c r="DE874" s="81"/>
      <c r="DF874" s="81"/>
      <c r="DG874" s="81"/>
      <c r="DH874" s="81"/>
      <c r="DI874" s="81"/>
      <c r="DJ874" s="81"/>
      <c r="DK874" s="81"/>
      <c r="DL874" s="81"/>
      <c r="DM874" s="81"/>
      <c r="DN874" s="81"/>
      <c r="DO874" s="81"/>
      <c r="DP874" s="81"/>
      <c r="DQ874" s="81"/>
      <c r="DR874" s="81"/>
      <c r="DS874" s="81"/>
      <c r="DT874" s="81"/>
      <c r="DU874" s="81"/>
      <c r="DV874" s="81"/>
      <c r="DW874" s="121"/>
    </row>
    <row r="875" spans="1:127" x14ac:dyDescent="0.25">
      <c r="A875" s="2">
        <f>COUNTIF($D$2:D875,'Reporte de Nomina'!$E$2)</f>
        <v>0</v>
      </c>
      <c r="B875" s="125">
        <f>Lista!A874</f>
        <v>0</v>
      </c>
      <c r="C875" s="125">
        <f>Lista!B874</f>
        <v>0</v>
      </c>
      <c r="D875" s="125">
        <f>Lista!C874</f>
        <v>0</v>
      </c>
      <c r="E875" s="125">
        <f>Lista!D874</f>
        <v>0</v>
      </c>
      <c r="F875" s="125">
        <f>Lista!E874</f>
        <v>0</v>
      </c>
      <c r="G875" s="125">
        <f>Lista!F874</f>
        <v>0</v>
      </c>
      <c r="H875" s="125">
        <f>Lista!G874</f>
        <v>0</v>
      </c>
      <c r="I875" s="125">
        <f>Lista!H874</f>
        <v>0</v>
      </c>
      <c r="J875" s="125">
        <f>Lista!I874</f>
        <v>0</v>
      </c>
      <c r="K875" s="125">
        <f>Lista!J874</f>
        <v>0</v>
      </c>
      <c r="L875" s="125">
        <f>Lista!K874</f>
        <v>0</v>
      </c>
      <c r="M875" s="125">
        <f>Lista!L874</f>
        <v>0</v>
      </c>
      <c r="N875" s="125">
        <f>Lista!M874</f>
        <v>0</v>
      </c>
      <c r="O875" s="125">
        <f>Lista!N874</f>
        <v>0</v>
      </c>
      <c r="P875" s="125">
        <f>Lista!O874</f>
        <v>0</v>
      </c>
      <c r="Q875" s="125">
        <f>Lista!P874</f>
        <v>0</v>
      </c>
      <c r="R875" s="125">
        <f>Lista!Q874</f>
        <v>0</v>
      </c>
      <c r="S875" s="125">
        <f>Lista!R874</f>
        <v>0</v>
      </c>
      <c r="T875" s="81"/>
      <c r="U875" s="81"/>
      <c r="V875" s="81"/>
      <c r="W875" s="81"/>
      <c r="X875" s="81"/>
      <c r="Y875" s="81"/>
      <c r="Z875" s="81"/>
      <c r="AA875" s="81"/>
      <c r="AB875" s="81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  <c r="BS875" s="81"/>
      <c r="BT875" s="81"/>
      <c r="BU875" s="81"/>
      <c r="BV875" s="81"/>
      <c r="BW875" s="81"/>
      <c r="BX875" s="81"/>
      <c r="BY875" s="81"/>
      <c r="BZ875" s="81"/>
      <c r="CA875" s="81"/>
      <c r="CB875" s="81"/>
      <c r="CC875" s="81"/>
      <c r="CD875" s="81"/>
      <c r="CE875" s="81"/>
      <c r="CF875" s="81"/>
      <c r="CG875" s="81"/>
      <c r="CH875" s="81"/>
      <c r="CI875" s="81"/>
      <c r="CJ875" s="81"/>
      <c r="CK875" s="81"/>
      <c r="CL875" s="81"/>
      <c r="CM875" s="81"/>
      <c r="CN875" s="81"/>
      <c r="CO875" s="81"/>
      <c r="CP875" s="81"/>
      <c r="CQ875" s="81"/>
      <c r="CR875" s="81"/>
      <c r="CS875" s="81"/>
      <c r="CT875" s="81"/>
      <c r="CU875" s="81"/>
      <c r="CV875" s="81"/>
      <c r="CW875" s="81"/>
      <c r="CX875" s="81"/>
      <c r="CY875" s="81"/>
      <c r="CZ875" s="81"/>
      <c r="DA875" s="81"/>
      <c r="DB875" s="81"/>
      <c r="DC875" s="81"/>
      <c r="DD875" s="81"/>
      <c r="DE875" s="81"/>
      <c r="DF875" s="81"/>
      <c r="DG875" s="81"/>
      <c r="DH875" s="81"/>
      <c r="DI875" s="81"/>
      <c r="DJ875" s="81"/>
      <c r="DK875" s="81"/>
      <c r="DL875" s="81"/>
      <c r="DM875" s="81"/>
      <c r="DN875" s="81"/>
      <c r="DO875" s="81"/>
      <c r="DP875" s="81"/>
      <c r="DQ875" s="81"/>
      <c r="DR875" s="81"/>
      <c r="DS875" s="81"/>
      <c r="DT875" s="81"/>
      <c r="DU875" s="81"/>
      <c r="DV875" s="81"/>
      <c r="DW875" s="121"/>
    </row>
    <row r="876" spans="1:127" x14ac:dyDescent="0.25">
      <c r="A876" s="2">
        <f>COUNTIF($D$2:D876,'Reporte de Nomina'!$E$2)</f>
        <v>0</v>
      </c>
      <c r="B876" s="125">
        <f>Lista!A875</f>
        <v>0</v>
      </c>
      <c r="C876" s="125">
        <f>Lista!B875</f>
        <v>0</v>
      </c>
      <c r="D876" s="125">
        <f>Lista!C875</f>
        <v>0</v>
      </c>
      <c r="E876" s="125">
        <f>Lista!D875</f>
        <v>0</v>
      </c>
      <c r="F876" s="125">
        <f>Lista!E875</f>
        <v>0</v>
      </c>
      <c r="G876" s="125">
        <f>Lista!F875</f>
        <v>0</v>
      </c>
      <c r="H876" s="125">
        <f>Lista!G875</f>
        <v>0</v>
      </c>
      <c r="I876" s="125">
        <f>Lista!H875</f>
        <v>0</v>
      </c>
      <c r="J876" s="125">
        <f>Lista!I875</f>
        <v>0</v>
      </c>
      <c r="K876" s="125">
        <f>Lista!J875</f>
        <v>0</v>
      </c>
      <c r="L876" s="125">
        <f>Lista!K875</f>
        <v>0</v>
      </c>
      <c r="M876" s="125">
        <f>Lista!L875</f>
        <v>0</v>
      </c>
      <c r="N876" s="125">
        <f>Lista!M875</f>
        <v>0</v>
      </c>
      <c r="O876" s="125">
        <f>Lista!N875</f>
        <v>0</v>
      </c>
      <c r="P876" s="125">
        <f>Lista!O875</f>
        <v>0</v>
      </c>
      <c r="Q876" s="125">
        <f>Lista!P875</f>
        <v>0</v>
      </c>
      <c r="R876" s="125">
        <f>Lista!Q875</f>
        <v>0</v>
      </c>
      <c r="S876" s="125">
        <f>Lista!R875</f>
        <v>0</v>
      </c>
      <c r="T876" s="81"/>
      <c r="U876" s="81"/>
      <c r="V876" s="81"/>
      <c r="W876" s="81"/>
      <c r="X876" s="81"/>
      <c r="Y876" s="81"/>
      <c r="Z876" s="81"/>
      <c r="AA876" s="81"/>
      <c r="AB876" s="81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  <c r="BS876" s="81"/>
      <c r="BT876" s="81"/>
      <c r="BU876" s="81"/>
      <c r="BV876" s="81"/>
      <c r="BW876" s="81"/>
      <c r="BX876" s="81"/>
      <c r="BY876" s="81"/>
      <c r="BZ876" s="81"/>
      <c r="CA876" s="81"/>
      <c r="CB876" s="81"/>
      <c r="CC876" s="81"/>
      <c r="CD876" s="81"/>
      <c r="CE876" s="81"/>
      <c r="CF876" s="81"/>
      <c r="CG876" s="81"/>
      <c r="CH876" s="81"/>
      <c r="CI876" s="81"/>
      <c r="CJ876" s="81"/>
      <c r="CK876" s="81"/>
      <c r="CL876" s="81"/>
      <c r="CM876" s="81"/>
      <c r="CN876" s="81"/>
      <c r="CO876" s="81"/>
      <c r="CP876" s="81"/>
      <c r="CQ876" s="81"/>
      <c r="CR876" s="81"/>
      <c r="CS876" s="81"/>
      <c r="CT876" s="81"/>
      <c r="CU876" s="81"/>
      <c r="CV876" s="81"/>
      <c r="CW876" s="81"/>
      <c r="CX876" s="81"/>
      <c r="CY876" s="81"/>
      <c r="CZ876" s="81"/>
      <c r="DA876" s="81"/>
      <c r="DB876" s="81"/>
      <c r="DC876" s="81"/>
      <c r="DD876" s="81"/>
      <c r="DE876" s="81"/>
      <c r="DF876" s="81"/>
      <c r="DG876" s="81"/>
      <c r="DH876" s="81"/>
      <c r="DI876" s="81"/>
      <c r="DJ876" s="81"/>
      <c r="DK876" s="81"/>
      <c r="DL876" s="81"/>
      <c r="DM876" s="81"/>
      <c r="DN876" s="81"/>
      <c r="DO876" s="81"/>
      <c r="DP876" s="81"/>
      <c r="DQ876" s="81"/>
      <c r="DR876" s="81"/>
      <c r="DS876" s="81"/>
      <c r="DT876" s="81"/>
      <c r="DU876" s="81"/>
      <c r="DV876" s="81"/>
      <c r="DW876" s="121"/>
    </row>
    <row r="877" spans="1:127" x14ac:dyDescent="0.25">
      <c r="A877" s="2">
        <f>COUNTIF($D$2:D877,'Reporte de Nomina'!$E$2)</f>
        <v>0</v>
      </c>
      <c r="B877" s="125">
        <f>Lista!A876</f>
        <v>0</v>
      </c>
      <c r="C877" s="125">
        <f>Lista!B876</f>
        <v>0</v>
      </c>
      <c r="D877" s="125">
        <f>Lista!C876</f>
        <v>0</v>
      </c>
      <c r="E877" s="125">
        <f>Lista!D876</f>
        <v>0</v>
      </c>
      <c r="F877" s="125">
        <f>Lista!E876</f>
        <v>0</v>
      </c>
      <c r="G877" s="125">
        <f>Lista!F876</f>
        <v>0</v>
      </c>
      <c r="H877" s="125">
        <f>Lista!G876</f>
        <v>0</v>
      </c>
      <c r="I877" s="125">
        <f>Lista!H876</f>
        <v>0</v>
      </c>
      <c r="J877" s="125">
        <f>Lista!I876</f>
        <v>0</v>
      </c>
      <c r="K877" s="125">
        <f>Lista!J876</f>
        <v>0</v>
      </c>
      <c r="L877" s="125">
        <f>Lista!K876</f>
        <v>0</v>
      </c>
      <c r="M877" s="125">
        <f>Lista!L876</f>
        <v>0</v>
      </c>
      <c r="N877" s="125">
        <f>Lista!M876</f>
        <v>0</v>
      </c>
      <c r="O877" s="125">
        <f>Lista!N876</f>
        <v>0</v>
      </c>
      <c r="P877" s="125">
        <f>Lista!O876</f>
        <v>0</v>
      </c>
      <c r="Q877" s="125">
        <f>Lista!P876</f>
        <v>0</v>
      </c>
      <c r="R877" s="125">
        <f>Lista!Q876</f>
        <v>0</v>
      </c>
      <c r="S877" s="125">
        <f>Lista!R876</f>
        <v>0</v>
      </c>
      <c r="T877" s="81"/>
      <c r="U877" s="81"/>
      <c r="V877" s="81"/>
      <c r="W877" s="81"/>
      <c r="X877" s="81"/>
      <c r="Y877" s="81"/>
      <c r="Z877" s="81"/>
      <c r="AA877" s="81"/>
      <c r="AB877" s="81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  <c r="BS877" s="81"/>
      <c r="BT877" s="81"/>
      <c r="BU877" s="81"/>
      <c r="BV877" s="81"/>
      <c r="BW877" s="81"/>
      <c r="BX877" s="81"/>
      <c r="BY877" s="81"/>
      <c r="BZ877" s="81"/>
      <c r="CA877" s="81"/>
      <c r="CB877" s="81"/>
      <c r="CC877" s="81"/>
      <c r="CD877" s="81"/>
      <c r="CE877" s="81"/>
      <c r="CF877" s="81"/>
      <c r="CG877" s="81"/>
      <c r="CH877" s="81"/>
      <c r="CI877" s="81"/>
      <c r="CJ877" s="81"/>
      <c r="CK877" s="81"/>
      <c r="CL877" s="81"/>
      <c r="CM877" s="81"/>
      <c r="CN877" s="81"/>
      <c r="CO877" s="81"/>
      <c r="CP877" s="81"/>
      <c r="CQ877" s="81"/>
      <c r="CR877" s="81"/>
      <c r="CS877" s="81"/>
      <c r="CT877" s="81"/>
      <c r="CU877" s="81"/>
      <c r="CV877" s="81"/>
      <c r="CW877" s="81"/>
      <c r="CX877" s="81"/>
      <c r="CY877" s="81"/>
      <c r="CZ877" s="81"/>
      <c r="DA877" s="81"/>
      <c r="DB877" s="81"/>
      <c r="DC877" s="81"/>
      <c r="DD877" s="81"/>
      <c r="DE877" s="81"/>
      <c r="DF877" s="81"/>
      <c r="DG877" s="81"/>
      <c r="DH877" s="81"/>
      <c r="DI877" s="81"/>
      <c r="DJ877" s="81"/>
      <c r="DK877" s="81"/>
      <c r="DL877" s="81"/>
      <c r="DM877" s="81"/>
      <c r="DN877" s="81"/>
      <c r="DO877" s="81"/>
      <c r="DP877" s="81"/>
      <c r="DQ877" s="81"/>
      <c r="DR877" s="81"/>
      <c r="DS877" s="81"/>
      <c r="DT877" s="81"/>
      <c r="DU877" s="81"/>
      <c r="DV877" s="81"/>
      <c r="DW877" s="121"/>
    </row>
    <row r="878" spans="1:127" x14ac:dyDescent="0.25">
      <c r="A878" s="2">
        <f>COUNTIF($D$2:D878,'Reporte de Nomina'!$E$2)</f>
        <v>0</v>
      </c>
      <c r="B878" s="125">
        <f>Lista!A877</f>
        <v>0</v>
      </c>
      <c r="C878" s="125">
        <f>Lista!B877</f>
        <v>0</v>
      </c>
      <c r="D878" s="125">
        <f>Lista!C877</f>
        <v>0</v>
      </c>
      <c r="E878" s="125">
        <f>Lista!D877</f>
        <v>0</v>
      </c>
      <c r="F878" s="125">
        <f>Lista!E877</f>
        <v>0</v>
      </c>
      <c r="G878" s="125">
        <f>Lista!F877</f>
        <v>0</v>
      </c>
      <c r="H878" s="125">
        <f>Lista!G877</f>
        <v>0</v>
      </c>
      <c r="I878" s="125">
        <f>Lista!H877</f>
        <v>0</v>
      </c>
      <c r="J878" s="125">
        <f>Lista!I877</f>
        <v>0</v>
      </c>
      <c r="K878" s="125">
        <f>Lista!J877</f>
        <v>0</v>
      </c>
      <c r="L878" s="125">
        <f>Lista!K877</f>
        <v>0</v>
      </c>
      <c r="M878" s="125">
        <f>Lista!L877</f>
        <v>0</v>
      </c>
      <c r="N878" s="125">
        <f>Lista!M877</f>
        <v>0</v>
      </c>
      <c r="O878" s="125">
        <f>Lista!N877</f>
        <v>0</v>
      </c>
      <c r="P878" s="125">
        <f>Lista!O877</f>
        <v>0</v>
      </c>
      <c r="Q878" s="125">
        <f>Lista!P877</f>
        <v>0</v>
      </c>
      <c r="R878" s="125">
        <f>Lista!Q877</f>
        <v>0</v>
      </c>
      <c r="S878" s="125">
        <f>Lista!R877</f>
        <v>0</v>
      </c>
      <c r="T878" s="81"/>
      <c r="U878" s="81"/>
      <c r="V878" s="81"/>
      <c r="W878" s="81"/>
      <c r="X878" s="81"/>
      <c r="Y878" s="81"/>
      <c r="Z878" s="81"/>
      <c r="AA878" s="81"/>
      <c r="AB878" s="81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  <c r="BS878" s="81"/>
      <c r="BT878" s="81"/>
      <c r="BU878" s="81"/>
      <c r="BV878" s="81"/>
      <c r="BW878" s="81"/>
      <c r="BX878" s="81"/>
      <c r="BY878" s="81"/>
      <c r="BZ878" s="81"/>
      <c r="CA878" s="81"/>
      <c r="CB878" s="81"/>
      <c r="CC878" s="81"/>
      <c r="CD878" s="81"/>
      <c r="CE878" s="81"/>
      <c r="CF878" s="81"/>
      <c r="CG878" s="81"/>
      <c r="CH878" s="81"/>
      <c r="CI878" s="81"/>
      <c r="CJ878" s="81"/>
      <c r="CK878" s="81"/>
      <c r="CL878" s="81"/>
      <c r="CM878" s="81"/>
      <c r="CN878" s="81"/>
      <c r="CO878" s="81"/>
      <c r="CP878" s="81"/>
      <c r="CQ878" s="81"/>
      <c r="CR878" s="81"/>
      <c r="CS878" s="81"/>
      <c r="CT878" s="81"/>
      <c r="CU878" s="81"/>
      <c r="CV878" s="81"/>
      <c r="CW878" s="81"/>
      <c r="CX878" s="81"/>
      <c r="CY878" s="81"/>
      <c r="CZ878" s="81"/>
      <c r="DA878" s="81"/>
      <c r="DB878" s="81"/>
      <c r="DC878" s="81"/>
      <c r="DD878" s="81"/>
      <c r="DE878" s="81"/>
      <c r="DF878" s="81"/>
      <c r="DG878" s="81"/>
      <c r="DH878" s="81"/>
      <c r="DI878" s="81"/>
      <c r="DJ878" s="81"/>
      <c r="DK878" s="81"/>
      <c r="DL878" s="81"/>
      <c r="DM878" s="81"/>
      <c r="DN878" s="81"/>
      <c r="DO878" s="81"/>
      <c r="DP878" s="81"/>
      <c r="DQ878" s="81"/>
      <c r="DR878" s="81"/>
      <c r="DS878" s="81"/>
      <c r="DT878" s="81"/>
      <c r="DU878" s="81"/>
      <c r="DV878" s="81"/>
      <c r="DW878" s="121"/>
    </row>
    <row r="879" spans="1:127" x14ac:dyDescent="0.25">
      <c r="A879" s="2">
        <f>COUNTIF($D$2:D879,'Reporte de Nomina'!$E$2)</f>
        <v>0</v>
      </c>
      <c r="B879" s="125">
        <f>Lista!A878</f>
        <v>0</v>
      </c>
      <c r="C879" s="125">
        <f>Lista!B878</f>
        <v>0</v>
      </c>
      <c r="D879" s="125">
        <f>Lista!C878</f>
        <v>0</v>
      </c>
      <c r="E879" s="125">
        <f>Lista!D878</f>
        <v>0</v>
      </c>
      <c r="F879" s="125">
        <f>Lista!E878</f>
        <v>0</v>
      </c>
      <c r="G879" s="125">
        <f>Lista!F878</f>
        <v>0</v>
      </c>
      <c r="H879" s="125">
        <f>Lista!G878</f>
        <v>0</v>
      </c>
      <c r="I879" s="125">
        <f>Lista!H878</f>
        <v>0</v>
      </c>
      <c r="J879" s="125">
        <f>Lista!I878</f>
        <v>0</v>
      </c>
      <c r="K879" s="125">
        <f>Lista!J878</f>
        <v>0</v>
      </c>
      <c r="L879" s="125">
        <f>Lista!K878</f>
        <v>0</v>
      </c>
      <c r="M879" s="125">
        <f>Lista!L878</f>
        <v>0</v>
      </c>
      <c r="N879" s="125">
        <f>Lista!M878</f>
        <v>0</v>
      </c>
      <c r="O879" s="125">
        <f>Lista!N878</f>
        <v>0</v>
      </c>
      <c r="P879" s="125">
        <f>Lista!O878</f>
        <v>0</v>
      </c>
      <c r="Q879" s="125">
        <f>Lista!P878</f>
        <v>0</v>
      </c>
      <c r="R879" s="125">
        <f>Lista!Q878</f>
        <v>0</v>
      </c>
      <c r="S879" s="125">
        <f>Lista!R878</f>
        <v>0</v>
      </c>
      <c r="T879" s="81"/>
      <c r="U879" s="81"/>
      <c r="V879" s="81"/>
      <c r="W879" s="81"/>
      <c r="X879" s="81"/>
      <c r="Y879" s="81"/>
      <c r="Z879" s="81"/>
      <c r="AA879" s="81"/>
      <c r="AB879" s="81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  <c r="BS879" s="81"/>
      <c r="BT879" s="81"/>
      <c r="BU879" s="81"/>
      <c r="BV879" s="81"/>
      <c r="BW879" s="81"/>
      <c r="BX879" s="81"/>
      <c r="BY879" s="81"/>
      <c r="BZ879" s="81"/>
      <c r="CA879" s="81"/>
      <c r="CB879" s="81"/>
      <c r="CC879" s="81"/>
      <c r="CD879" s="81"/>
      <c r="CE879" s="81"/>
      <c r="CF879" s="81"/>
      <c r="CG879" s="81"/>
      <c r="CH879" s="81"/>
      <c r="CI879" s="81"/>
      <c r="CJ879" s="81"/>
      <c r="CK879" s="81"/>
      <c r="CL879" s="81"/>
      <c r="CM879" s="81"/>
      <c r="CN879" s="81"/>
      <c r="CO879" s="81"/>
      <c r="CP879" s="81"/>
      <c r="CQ879" s="81"/>
      <c r="CR879" s="81"/>
      <c r="CS879" s="81"/>
      <c r="CT879" s="81"/>
      <c r="CU879" s="81"/>
      <c r="CV879" s="81"/>
      <c r="CW879" s="81"/>
      <c r="CX879" s="81"/>
      <c r="CY879" s="81"/>
      <c r="CZ879" s="81"/>
      <c r="DA879" s="81"/>
      <c r="DB879" s="81"/>
      <c r="DC879" s="81"/>
      <c r="DD879" s="81"/>
      <c r="DE879" s="81"/>
      <c r="DF879" s="81"/>
      <c r="DG879" s="81"/>
      <c r="DH879" s="81"/>
      <c r="DI879" s="81"/>
      <c r="DJ879" s="81"/>
      <c r="DK879" s="81"/>
      <c r="DL879" s="81"/>
      <c r="DM879" s="81"/>
      <c r="DN879" s="81"/>
      <c r="DO879" s="81"/>
      <c r="DP879" s="81"/>
      <c r="DQ879" s="81"/>
      <c r="DR879" s="81"/>
      <c r="DS879" s="81"/>
      <c r="DT879" s="81"/>
      <c r="DU879" s="81"/>
      <c r="DV879" s="81"/>
      <c r="DW879" s="121"/>
    </row>
    <row r="880" spans="1:127" x14ac:dyDescent="0.25">
      <c r="A880" s="2">
        <f>COUNTIF($D$2:D880,'Reporte de Nomina'!$E$2)</f>
        <v>0</v>
      </c>
      <c r="B880" s="125">
        <f>Lista!A879</f>
        <v>0</v>
      </c>
      <c r="C880" s="125">
        <f>Lista!B879</f>
        <v>0</v>
      </c>
      <c r="D880" s="125">
        <f>Lista!C879</f>
        <v>0</v>
      </c>
      <c r="E880" s="125">
        <f>Lista!D879</f>
        <v>0</v>
      </c>
      <c r="F880" s="125">
        <f>Lista!E879</f>
        <v>0</v>
      </c>
      <c r="G880" s="125">
        <f>Lista!F879</f>
        <v>0</v>
      </c>
      <c r="H880" s="125">
        <f>Lista!G879</f>
        <v>0</v>
      </c>
      <c r="I880" s="125">
        <f>Lista!H879</f>
        <v>0</v>
      </c>
      <c r="J880" s="125">
        <f>Lista!I879</f>
        <v>0</v>
      </c>
      <c r="K880" s="125">
        <f>Lista!J879</f>
        <v>0</v>
      </c>
      <c r="L880" s="125">
        <f>Lista!K879</f>
        <v>0</v>
      </c>
      <c r="M880" s="125">
        <f>Lista!L879</f>
        <v>0</v>
      </c>
      <c r="N880" s="125">
        <f>Lista!M879</f>
        <v>0</v>
      </c>
      <c r="O880" s="125">
        <f>Lista!N879</f>
        <v>0</v>
      </c>
      <c r="P880" s="125">
        <f>Lista!O879</f>
        <v>0</v>
      </c>
      <c r="Q880" s="125">
        <f>Lista!P879</f>
        <v>0</v>
      </c>
      <c r="R880" s="125">
        <f>Lista!Q879</f>
        <v>0</v>
      </c>
      <c r="S880" s="125">
        <f>Lista!R879</f>
        <v>0</v>
      </c>
      <c r="T880" s="81"/>
      <c r="U880" s="81"/>
      <c r="V880" s="81"/>
      <c r="W880" s="81"/>
      <c r="X880" s="81"/>
      <c r="Y880" s="81"/>
      <c r="Z880" s="81"/>
      <c r="AA880" s="81"/>
      <c r="AB880" s="81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  <c r="BS880" s="81"/>
      <c r="BT880" s="81"/>
      <c r="BU880" s="81"/>
      <c r="BV880" s="81"/>
      <c r="BW880" s="81"/>
      <c r="BX880" s="81"/>
      <c r="BY880" s="81"/>
      <c r="BZ880" s="81"/>
      <c r="CA880" s="81"/>
      <c r="CB880" s="81"/>
      <c r="CC880" s="81"/>
      <c r="CD880" s="81"/>
      <c r="CE880" s="81"/>
      <c r="CF880" s="81"/>
      <c r="CG880" s="81"/>
      <c r="CH880" s="81"/>
      <c r="CI880" s="81"/>
      <c r="CJ880" s="81"/>
      <c r="CK880" s="81"/>
      <c r="CL880" s="81"/>
      <c r="CM880" s="81"/>
      <c r="CN880" s="81"/>
      <c r="CO880" s="81"/>
      <c r="CP880" s="81"/>
      <c r="CQ880" s="81"/>
      <c r="CR880" s="81"/>
      <c r="CS880" s="81"/>
      <c r="CT880" s="81"/>
      <c r="CU880" s="81"/>
      <c r="CV880" s="81"/>
      <c r="CW880" s="81"/>
      <c r="CX880" s="81"/>
      <c r="CY880" s="81"/>
      <c r="CZ880" s="81"/>
      <c r="DA880" s="81"/>
      <c r="DB880" s="81"/>
      <c r="DC880" s="81"/>
      <c r="DD880" s="81"/>
      <c r="DE880" s="81"/>
      <c r="DF880" s="81"/>
      <c r="DG880" s="81"/>
      <c r="DH880" s="81"/>
      <c r="DI880" s="81"/>
      <c r="DJ880" s="81"/>
      <c r="DK880" s="81"/>
      <c r="DL880" s="81"/>
      <c r="DM880" s="81"/>
      <c r="DN880" s="81"/>
      <c r="DO880" s="81"/>
      <c r="DP880" s="81"/>
      <c r="DQ880" s="81"/>
      <c r="DR880" s="81"/>
      <c r="DS880" s="81"/>
      <c r="DT880" s="81"/>
      <c r="DU880" s="81"/>
      <c r="DV880" s="81"/>
      <c r="DW880" s="121"/>
    </row>
    <row r="881" spans="1:127" x14ac:dyDescent="0.25">
      <c r="A881" s="2">
        <f>COUNTIF($D$2:D881,'Reporte de Nomina'!$E$2)</f>
        <v>0</v>
      </c>
      <c r="B881" s="125">
        <f>Lista!A880</f>
        <v>0</v>
      </c>
      <c r="C881" s="125">
        <f>Lista!B880</f>
        <v>0</v>
      </c>
      <c r="D881" s="125">
        <f>Lista!C880</f>
        <v>0</v>
      </c>
      <c r="E881" s="125">
        <f>Lista!D880</f>
        <v>0</v>
      </c>
      <c r="F881" s="125">
        <f>Lista!E880</f>
        <v>0</v>
      </c>
      <c r="G881" s="125">
        <f>Lista!F880</f>
        <v>0</v>
      </c>
      <c r="H881" s="125">
        <f>Lista!G880</f>
        <v>0</v>
      </c>
      <c r="I881" s="125">
        <f>Lista!H880</f>
        <v>0</v>
      </c>
      <c r="J881" s="125">
        <f>Lista!I880</f>
        <v>0</v>
      </c>
      <c r="K881" s="125">
        <f>Lista!J880</f>
        <v>0</v>
      </c>
      <c r="L881" s="125">
        <f>Lista!K880</f>
        <v>0</v>
      </c>
      <c r="M881" s="125">
        <f>Lista!L880</f>
        <v>0</v>
      </c>
      <c r="N881" s="125">
        <f>Lista!M880</f>
        <v>0</v>
      </c>
      <c r="O881" s="125">
        <f>Lista!N880</f>
        <v>0</v>
      </c>
      <c r="P881" s="125">
        <f>Lista!O880</f>
        <v>0</v>
      </c>
      <c r="Q881" s="125">
        <f>Lista!P880</f>
        <v>0</v>
      </c>
      <c r="R881" s="125">
        <f>Lista!Q880</f>
        <v>0</v>
      </c>
      <c r="S881" s="125">
        <f>Lista!R880</f>
        <v>0</v>
      </c>
      <c r="T881" s="81"/>
      <c r="U881" s="81"/>
      <c r="V881" s="81"/>
      <c r="W881" s="81"/>
      <c r="X881" s="81"/>
      <c r="Y881" s="81"/>
      <c r="Z881" s="81"/>
      <c r="AA881" s="81"/>
      <c r="AB881" s="81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  <c r="BS881" s="81"/>
      <c r="BT881" s="81"/>
      <c r="BU881" s="81"/>
      <c r="BV881" s="81"/>
      <c r="BW881" s="81"/>
      <c r="BX881" s="81"/>
      <c r="BY881" s="81"/>
      <c r="BZ881" s="81"/>
      <c r="CA881" s="81"/>
      <c r="CB881" s="81"/>
      <c r="CC881" s="81"/>
      <c r="CD881" s="81"/>
      <c r="CE881" s="81"/>
      <c r="CF881" s="81"/>
      <c r="CG881" s="81"/>
      <c r="CH881" s="81"/>
      <c r="CI881" s="81"/>
      <c r="CJ881" s="81"/>
      <c r="CK881" s="81"/>
      <c r="CL881" s="81"/>
      <c r="CM881" s="81"/>
      <c r="CN881" s="81"/>
      <c r="CO881" s="81"/>
      <c r="CP881" s="81"/>
      <c r="CQ881" s="81"/>
      <c r="CR881" s="81"/>
      <c r="CS881" s="81"/>
      <c r="CT881" s="81"/>
      <c r="CU881" s="81"/>
      <c r="CV881" s="81"/>
      <c r="CW881" s="81"/>
      <c r="CX881" s="81"/>
      <c r="CY881" s="81"/>
      <c r="CZ881" s="81"/>
      <c r="DA881" s="81"/>
      <c r="DB881" s="81"/>
      <c r="DC881" s="81"/>
      <c r="DD881" s="81"/>
      <c r="DE881" s="81"/>
      <c r="DF881" s="81"/>
      <c r="DG881" s="81"/>
      <c r="DH881" s="81"/>
      <c r="DI881" s="81"/>
      <c r="DJ881" s="81"/>
      <c r="DK881" s="81"/>
      <c r="DL881" s="81"/>
      <c r="DM881" s="81"/>
      <c r="DN881" s="81"/>
      <c r="DO881" s="81"/>
      <c r="DP881" s="81"/>
      <c r="DQ881" s="81"/>
      <c r="DR881" s="81"/>
      <c r="DS881" s="81"/>
      <c r="DT881" s="81"/>
      <c r="DU881" s="81"/>
      <c r="DV881" s="81"/>
      <c r="DW881" s="121"/>
    </row>
    <row r="882" spans="1:127" x14ac:dyDescent="0.25">
      <c r="A882" s="2">
        <f>COUNTIF($D$2:D882,'Reporte de Nomina'!$E$2)</f>
        <v>0</v>
      </c>
      <c r="B882" s="125">
        <f>Lista!A881</f>
        <v>0</v>
      </c>
      <c r="C882" s="125">
        <f>Lista!B881</f>
        <v>0</v>
      </c>
      <c r="D882" s="125">
        <f>Lista!C881</f>
        <v>0</v>
      </c>
      <c r="E882" s="125">
        <f>Lista!D881</f>
        <v>0</v>
      </c>
      <c r="F882" s="125">
        <f>Lista!E881</f>
        <v>0</v>
      </c>
      <c r="G882" s="125">
        <f>Lista!F881</f>
        <v>0</v>
      </c>
      <c r="H882" s="125">
        <f>Lista!G881</f>
        <v>0</v>
      </c>
      <c r="I882" s="125">
        <f>Lista!H881</f>
        <v>0</v>
      </c>
      <c r="J882" s="125">
        <f>Lista!I881</f>
        <v>0</v>
      </c>
      <c r="K882" s="125">
        <f>Lista!J881</f>
        <v>0</v>
      </c>
      <c r="L882" s="125">
        <f>Lista!K881</f>
        <v>0</v>
      </c>
      <c r="M882" s="125">
        <f>Lista!L881</f>
        <v>0</v>
      </c>
      <c r="N882" s="125">
        <f>Lista!M881</f>
        <v>0</v>
      </c>
      <c r="O882" s="125">
        <f>Lista!N881</f>
        <v>0</v>
      </c>
      <c r="P882" s="125">
        <f>Lista!O881</f>
        <v>0</v>
      </c>
      <c r="Q882" s="125">
        <f>Lista!P881</f>
        <v>0</v>
      </c>
      <c r="R882" s="125">
        <f>Lista!Q881</f>
        <v>0</v>
      </c>
      <c r="S882" s="125">
        <f>Lista!R881</f>
        <v>0</v>
      </c>
      <c r="T882" s="81"/>
      <c r="U882" s="81"/>
      <c r="V882" s="81"/>
      <c r="W882" s="81"/>
      <c r="X882" s="81"/>
      <c r="Y882" s="81"/>
      <c r="Z882" s="81"/>
      <c r="AA882" s="81"/>
      <c r="AB882" s="81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  <c r="BS882" s="81"/>
      <c r="BT882" s="81"/>
      <c r="BU882" s="81"/>
      <c r="BV882" s="81"/>
      <c r="BW882" s="81"/>
      <c r="BX882" s="81"/>
      <c r="BY882" s="81"/>
      <c r="BZ882" s="81"/>
      <c r="CA882" s="81"/>
      <c r="CB882" s="81"/>
      <c r="CC882" s="81"/>
      <c r="CD882" s="81"/>
      <c r="CE882" s="81"/>
      <c r="CF882" s="81"/>
      <c r="CG882" s="81"/>
      <c r="CH882" s="81"/>
      <c r="CI882" s="81"/>
      <c r="CJ882" s="81"/>
      <c r="CK882" s="81"/>
      <c r="CL882" s="81"/>
      <c r="CM882" s="81"/>
      <c r="CN882" s="81"/>
      <c r="CO882" s="81"/>
      <c r="CP882" s="81"/>
      <c r="CQ882" s="81"/>
      <c r="CR882" s="81"/>
      <c r="CS882" s="81"/>
      <c r="CT882" s="81"/>
      <c r="CU882" s="81"/>
      <c r="CV882" s="81"/>
      <c r="CW882" s="81"/>
      <c r="CX882" s="81"/>
      <c r="CY882" s="81"/>
      <c r="CZ882" s="81"/>
      <c r="DA882" s="81"/>
      <c r="DB882" s="81"/>
      <c r="DC882" s="81"/>
      <c r="DD882" s="81"/>
      <c r="DE882" s="81"/>
      <c r="DF882" s="81"/>
      <c r="DG882" s="81"/>
      <c r="DH882" s="81"/>
      <c r="DI882" s="81"/>
      <c r="DJ882" s="81"/>
      <c r="DK882" s="81"/>
      <c r="DL882" s="81"/>
      <c r="DM882" s="81"/>
      <c r="DN882" s="81"/>
      <c r="DO882" s="81"/>
      <c r="DP882" s="81"/>
      <c r="DQ882" s="81"/>
      <c r="DR882" s="81"/>
      <c r="DS882" s="81"/>
      <c r="DT882" s="81"/>
      <c r="DU882" s="81"/>
      <c r="DV882" s="81"/>
      <c r="DW882" s="121"/>
    </row>
    <row r="883" spans="1:127" x14ac:dyDescent="0.25">
      <c r="A883" s="2">
        <f>COUNTIF($D$2:D883,'Reporte de Nomina'!$E$2)</f>
        <v>0</v>
      </c>
      <c r="B883" s="125">
        <f>Lista!A882</f>
        <v>0</v>
      </c>
      <c r="C883" s="125">
        <f>Lista!B882</f>
        <v>0</v>
      </c>
      <c r="D883" s="125">
        <f>Lista!C882</f>
        <v>0</v>
      </c>
      <c r="E883" s="125">
        <f>Lista!D882</f>
        <v>0</v>
      </c>
      <c r="F883" s="125">
        <f>Lista!E882</f>
        <v>0</v>
      </c>
      <c r="G883" s="125">
        <f>Lista!F882</f>
        <v>0</v>
      </c>
      <c r="H883" s="125">
        <f>Lista!G882</f>
        <v>0</v>
      </c>
      <c r="I883" s="125">
        <f>Lista!H882</f>
        <v>0</v>
      </c>
      <c r="J883" s="125">
        <f>Lista!I882</f>
        <v>0</v>
      </c>
      <c r="K883" s="125">
        <f>Lista!J882</f>
        <v>0</v>
      </c>
      <c r="L883" s="125">
        <f>Lista!K882</f>
        <v>0</v>
      </c>
      <c r="M883" s="125">
        <f>Lista!L882</f>
        <v>0</v>
      </c>
      <c r="N883" s="125">
        <f>Lista!M882</f>
        <v>0</v>
      </c>
      <c r="O883" s="125">
        <f>Lista!N882</f>
        <v>0</v>
      </c>
      <c r="P883" s="125">
        <f>Lista!O882</f>
        <v>0</v>
      </c>
      <c r="Q883" s="125">
        <f>Lista!P882</f>
        <v>0</v>
      </c>
      <c r="R883" s="125">
        <f>Lista!Q882</f>
        <v>0</v>
      </c>
      <c r="S883" s="125">
        <f>Lista!R882</f>
        <v>0</v>
      </c>
      <c r="T883" s="81"/>
      <c r="U883" s="81"/>
      <c r="V883" s="81"/>
      <c r="W883" s="81"/>
      <c r="X883" s="81"/>
      <c r="Y883" s="81"/>
      <c r="Z883" s="81"/>
      <c r="AA883" s="81"/>
      <c r="AB883" s="81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  <c r="BS883" s="81"/>
      <c r="BT883" s="81"/>
      <c r="BU883" s="81"/>
      <c r="BV883" s="81"/>
      <c r="BW883" s="81"/>
      <c r="BX883" s="81"/>
      <c r="BY883" s="81"/>
      <c r="BZ883" s="81"/>
      <c r="CA883" s="81"/>
      <c r="CB883" s="81"/>
      <c r="CC883" s="81"/>
      <c r="CD883" s="81"/>
      <c r="CE883" s="81"/>
      <c r="CF883" s="81"/>
      <c r="CG883" s="81"/>
      <c r="CH883" s="81"/>
      <c r="CI883" s="81"/>
      <c r="CJ883" s="81"/>
      <c r="CK883" s="81"/>
      <c r="CL883" s="81"/>
      <c r="CM883" s="81"/>
      <c r="CN883" s="81"/>
      <c r="CO883" s="81"/>
      <c r="CP883" s="81"/>
      <c r="CQ883" s="81"/>
      <c r="CR883" s="81"/>
      <c r="CS883" s="81"/>
      <c r="CT883" s="81"/>
      <c r="CU883" s="81"/>
      <c r="CV883" s="81"/>
      <c r="CW883" s="81"/>
      <c r="CX883" s="81"/>
      <c r="CY883" s="81"/>
      <c r="CZ883" s="81"/>
      <c r="DA883" s="81"/>
      <c r="DB883" s="81"/>
      <c r="DC883" s="81"/>
      <c r="DD883" s="81"/>
      <c r="DE883" s="81"/>
      <c r="DF883" s="81"/>
      <c r="DG883" s="81"/>
      <c r="DH883" s="81"/>
      <c r="DI883" s="81"/>
      <c r="DJ883" s="81"/>
      <c r="DK883" s="81"/>
      <c r="DL883" s="81"/>
      <c r="DM883" s="81"/>
      <c r="DN883" s="81"/>
      <c r="DO883" s="81"/>
      <c r="DP883" s="81"/>
      <c r="DQ883" s="81"/>
      <c r="DR883" s="81"/>
      <c r="DS883" s="81"/>
      <c r="DT883" s="81"/>
      <c r="DU883" s="81"/>
      <c r="DV883" s="81"/>
      <c r="DW883" s="121"/>
    </row>
    <row r="884" spans="1:127" x14ac:dyDescent="0.25">
      <c r="A884" s="2">
        <f>COUNTIF($D$2:D884,'Reporte de Nomina'!$E$2)</f>
        <v>0</v>
      </c>
      <c r="B884" s="125">
        <f>Lista!A883</f>
        <v>0</v>
      </c>
      <c r="C884" s="125">
        <f>Lista!B883</f>
        <v>0</v>
      </c>
      <c r="D884" s="125">
        <f>Lista!C883</f>
        <v>0</v>
      </c>
      <c r="E884" s="125">
        <f>Lista!D883</f>
        <v>0</v>
      </c>
      <c r="F884" s="125">
        <f>Lista!E883</f>
        <v>0</v>
      </c>
      <c r="G884" s="125">
        <f>Lista!F883</f>
        <v>0</v>
      </c>
      <c r="H884" s="125">
        <f>Lista!G883</f>
        <v>0</v>
      </c>
      <c r="I884" s="125">
        <f>Lista!H883</f>
        <v>0</v>
      </c>
      <c r="J884" s="125">
        <f>Lista!I883</f>
        <v>0</v>
      </c>
      <c r="K884" s="125">
        <f>Lista!J883</f>
        <v>0</v>
      </c>
      <c r="L884" s="125">
        <f>Lista!K883</f>
        <v>0</v>
      </c>
      <c r="M884" s="125">
        <f>Lista!L883</f>
        <v>0</v>
      </c>
      <c r="N884" s="125">
        <f>Lista!M883</f>
        <v>0</v>
      </c>
      <c r="O884" s="125">
        <f>Lista!N883</f>
        <v>0</v>
      </c>
      <c r="P884" s="125">
        <f>Lista!O883</f>
        <v>0</v>
      </c>
      <c r="Q884" s="125">
        <f>Lista!P883</f>
        <v>0</v>
      </c>
      <c r="R884" s="125">
        <f>Lista!Q883</f>
        <v>0</v>
      </c>
      <c r="S884" s="125">
        <f>Lista!R883</f>
        <v>0</v>
      </c>
      <c r="T884" s="81"/>
      <c r="U884" s="81"/>
      <c r="V884" s="81"/>
      <c r="W884" s="81"/>
      <c r="X884" s="81"/>
      <c r="Y884" s="81"/>
      <c r="Z884" s="81"/>
      <c r="AA884" s="81"/>
      <c r="AB884" s="81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  <c r="BS884" s="81"/>
      <c r="BT884" s="81"/>
      <c r="BU884" s="81"/>
      <c r="BV884" s="81"/>
      <c r="BW884" s="81"/>
      <c r="BX884" s="81"/>
      <c r="BY884" s="81"/>
      <c r="BZ884" s="81"/>
      <c r="CA884" s="81"/>
      <c r="CB884" s="81"/>
      <c r="CC884" s="81"/>
      <c r="CD884" s="81"/>
      <c r="CE884" s="81"/>
      <c r="CF884" s="81"/>
      <c r="CG884" s="81"/>
      <c r="CH884" s="81"/>
      <c r="CI884" s="81"/>
      <c r="CJ884" s="81"/>
      <c r="CK884" s="81"/>
      <c r="CL884" s="81"/>
      <c r="CM884" s="81"/>
      <c r="CN884" s="81"/>
      <c r="CO884" s="81"/>
      <c r="CP884" s="81"/>
      <c r="CQ884" s="81"/>
      <c r="CR884" s="81"/>
      <c r="CS884" s="81"/>
      <c r="CT884" s="81"/>
      <c r="CU884" s="81"/>
      <c r="CV884" s="81"/>
      <c r="CW884" s="81"/>
      <c r="CX884" s="81"/>
      <c r="CY884" s="81"/>
      <c r="CZ884" s="81"/>
      <c r="DA884" s="81"/>
      <c r="DB884" s="81"/>
      <c r="DC884" s="81"/>
      <c r="DD884" s="81"/>
      <c r="DE884" s="81"/>
      <c r="DF884" s="81"/>
      <c r="DG884" s="81"/>
      <c r="DH884" s="81"/>
      <c r="DI884" s="81"/>
      <c r="DJ884" s="81"/>
      <c r="DK884" s="81"/>
      <c r="DL884" s="81"/>
      <c r="DM884" s="81"/>
      <c r="DN884" s="81"/>
      <c r="DO884" s="81"/>
      <c r="DP884" s="81"/>
      <c r="DQ884" s="81"/>
      <c r="DR884" s="81"/>
      <c r="DS884" s="81"/>
      <c r="DT884" s="81"/>
      <c r="DU884" s="81"/>
      <c r="DV884" s="81"/>
      <c r="DW884" s="121"/>
    </row>
    <row r="885" spans="1:127" x14ac:dyDescent="0.25">
      <c r="A885" s="2">
        <f>COUNTIF($D$2:D885,'Reporte de Nomina'!$E$2)</f>
        <v>0</v>
      </c>
      <c r="B885" s="125">
        <f>Lista!A884</f>
        <v>0</v>
      </c>
      <c r="C885" s="125">
        <f>Lista!B884</f>
        <v>0</v>
      </c>
      <c r="D885" s="125">
        <f>Lista!C884</f>
        <v>0</v>
      </c>
      <c r="E885" s="125">
        <f>Lista!D884</f>
        <v>0</v>
      </c>
      <c r="F885" s="125">
        <f>Lista!E884</f>
        <v>0</v>
      </c>
      <c r="G885" s="125">
        <f>Lista!F884</f>
        <v>0</v>
      </c>
      <c r="H885" s="125">
        <f>Lista!G884</f>
        <v>0</v>
      </c>
      <c r="I885" s="125">
        <f>Lista!H884</f>
        <v>0</v>
      </c>
      <c r="J885" s="125">
        <f>Lista!I884</f>
        <v>0</v>
      </c>
      <c r="K885" s="125">
        <f>Lista!J884</f>
        <v>0</v>
      </c>
      <c r="L885" s="125">
        <f>Lista!K884</f>
        <v>0</v>
      </c>
      <c r="M885" s="125">
        <f>Lista!L884</f>
        <v>0</v>
      </c>
      <c r="N885" s="125">
        <f>Lista!M884</f>
        <v>0</v>
      </c>
      <c r="O885" s="125">
        <f>Lista!N884</f>
        <v>0</v>
      </c>
      <c r="P885" s="125">
        <f>Lista!O884</f>
        <v>0</v>
      </c>
      <c r="Q885" s="125">
        <f>Lista!P884</f>
        <v>0</v>
      </c>
      <c r="R885" s="125">
        <f>Lista!Q884</f>
        <v>0</v>
      </c>
      <c r="S885" s="125">
        <f>Lista!R884</f>
        <v>0</v>
      </c>
      <c r="T885" s="81"/>
      <c r="U885" s="81"/>
      <c r="V885" s="81"/>
      <c r="W885" s="81"/>
      <c r="X885" s="81"/>
      <c r="Y885" s="81"/>
      <c r="Z885" s="81"/>
      <c r="AA885" s="81"/>
      <c r="AB885" s="81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  <c r="BS885" s="81"/>
      <c r="BT885" s="81"/>
      <c r="BU885" s="81"/>
      <c r="BV885" s="81"/>
      <c r="BW885" s="81"/>
      <c r="BX885" s="81"/>
      <c r="BY885" s="81"/>
      <c r="BZ885" s="81"/>
      <c r="CA885" s="81"/>
      <c r="CB885" s="81"/>
      <c r="CC885" s="81"/>
      <c r="CD885" s="81"/>
      <c r="CE885" s="81"/>
      <c r="CF885" s="81"/>
      <c r="CG885" s="81"/>
      <c r="CH885" s="81"/>
      <c r="CI885" s="81"/>
      <c r="CJ885" s="81"/>
      <c r="CK885" s="81"/>
      <c r="CL885" s="81"/>
      <c r="CM885" s="81"/>
      <c r="CN885" s="81"/>
      <c r="CO885" s="81"/>
      <c r="CP885" s="81"/>
      <c r="CQ885" s="81"/>
      <c r="CR885" s="81"/>
      <c r="CS885" s="81"/>
      <c r="CT885" s="81"/>
      <c r="CU885" s="81"/>
      <c r="CV885" s="81"/>
      <c r="CW885" s="81"/>
      <c r="CX885" s="81"/>
      <c r="CY885" s="81"/>
      <c r="CZ885" s="81"/>
      <c r="DA885" s="81"/>
      <c r="DB885" s="81"/>
      <c r="DC885" s="81"/>
      <c r="DD885" s="81"/>
      <c r="DE885" s="81"/>
      <c r="DF885" s="81"/>
      <c r="DG885" s="81"/>
      <c r="DH885" s="81"/>
      <c r="DI885" s="81"/>
      <c r="DJ885" s="81"/>
      <c r="DK885" s="81"/>
      <c r="DL885" s="81"/>
      <c r="DM885" s="81"/>
      <c r="DN885" s="81"/>
      <c r="DO885" s="81"/>
      <c r="DP885" s="81"/>
      <c r="DQ885" s="81"/>
      <c r="DR885" s="81"/>
      <c r="DS885" s="81"/>
      <c r="DT885" s="81"/>
      <c r="DU885" s="81"/>
      <c r="DV885" s="81"/>
      <c r="DW885" s="121"/>
    </row>
    <row r="886" spans="1:127" x14ac:dyDescent="0.25">
      <c r="A886" s="2">
        <f>COUNTIF($D$2:D886,'Reporte de Nomina'!$E$2)</f>
        <v>0</v>
      </c>
      <c r="B886" s="125">
        <f>Lista!A885</f>
        <v>0</v>
      </c>
      <c r="C886" s="125">
        <f>Lista!B885</f>
        <v>0</v>
      </c>
      <c r="D886" s="125">
        <f>Lista!C885</f>
        <v>0</v>
      </c>
      <c r="E886" s="125">
        <f>Lista!D885</f>
        <v>0</v>
      </c>
      <c r="F886" s="125">
        <f>Lista!E885</f>
        <v>0</v>
      </c>
      <c r="G886" s="125">
        <f>Lista!F885</f>
        <v>0</v>
      </c>
      <c r="H886" s="125">
        <f>Lista!G885</f>
        <v>0</v>
      </c>
      <c r="I886" s="125">
        <f>Lista!H885</f>
        <v>0</v>
      </c>
      <c r="J886" s="125">
        <f>Lista!I885</f>
        <v>0</v>
      </c>
      <c r="K886" s="125">
        <f>Lista!J885</f>
        <v>0</v>
      </c>
      <c r="L886" s="125">
        <f>Lista!K885</f>
        <v>0</v>
      </c>
      <c r="M886" s="125">
        <f>Lista!L885</f>
        <v>0</v>
      </c>
      <c r="N886" s="125">
        <f>Lista!M885</f>
        <v>0</v>
      </c>
      <c r="O886" s="125">
        <f>Lista!N885</f>
        <v>0</v>
      </c>
      <c r="P886" s="125">
        <f>Lista!O885</f>
        <v>0</v>
      </c>
      <c r="Q886" s="125">
        <f>Lista!P885</f>
        <v>0</v>
      </c>
      <c r="R886" s="125">
        <f>Lista!Q885</f>
        <v>0</v>
      </c>
      <c r="S886" s="125">
        <f>Lista!R885</f>
        <v>0</v>
      </c>
      <c r="T886" s="81"/>
      <c r="U886" s="81"/>
      <c r="V886" s="81"/>
      <c r="W886" s="81"/>
      <c r="X886" s="81"/>
      <c r="Y886" s="81"/>
      <c r="Z886" s="81"/>
      <c r="AA886" s="81"/>
      <c r="AB886" s="81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  <c r="BS886" s="81"/>
      <c r="BT886" s="81"/>
      <c r="BU886" s="81"/>
      <c r="BV886" s="81"/>
      <c r="BW886" s="81"/>
      <c r="BX886" s="81"/>
      <c r="BY886" s="81"/>
      <c r="BZ886" s="81"/>
      <c r="CA886" s="81"/>
      <c r="CB886" s="81"/>
      <c r="CC886" s="81"/>
      <c r="CD886" s="81"/>
      <c r="CE886" s="81"/>
      <c r="CF886" s="81"/>
      <c r="CG886" s="81"/>
      <c r="CH886" s="81"/>
      <c r="CI886" s="81"/>
      <c r="CJ886" s="81"/>
      <c r="CK886" s="81"/>
      <c r="CL886" s="81"/>
      <c r="CM886" s="81"/>
      <c r="CN886" s="81"/>
      <c r="CO886" s="81"/>
      <c r="CP886" s="81"/>
      <c r="CQ886" s="81"/>
      <c r="CR886" s="81"/>
      <c r="CS886" s="81"/>
      <c r="CT886" s="81"/>
      <c r="CU886" s="81"/>
      <c r="CV886" s="81"/>
      <c r="CW886" s="81"/>
      <c r="CX886" s="81"/>
      <c r="CY886" s="81"/>
      <c r="CZ886" s="81"/>
      <c r="DA886" s="81"/>
      <c r="DB886" s="81"/>
      <c r="DC886" s="81"/>
      <c r="DD886" s="81"/>
      <c r="DE886" s="81"/>
      <c r="DF886" s="81"/>
      <c r="DG886" s="81"/>
      <c r="DH886" s="81"/>
      <c r="DI886" s="81"/>
      <c r="DJ886" s="81"/>
      <c r="DK886" s="81"/>
      <c r="DL886" s="81"/>
      <c r="DM886" s="81"/>
      <c r="DN886" s="81"/>
      <c r="DO886" s="81"/>
      <c r="DP886" s="81"/>
      <c r="DQ886" s="81"/>
      <c r="DR886" s="81"/>
      <c r="DS886" s="81"/>
      <c r="DT886" s="81"/>
      <c r="DU886" s="81"/>
      <c r="DV886" s="81"/>
      <c r="DW886" s="121"/>
    </row>
    <row r="887" spans="1:127" x14ac:dyDescent="0.25">
      <c r="A887" s="2">
        <f>COUNTIF($D$2:D887,'Reporte de Nomina'!$E$2)</f>
        <v>0</v>
      </c>
      <c r="B887" s="125">
        <f>Lista!A886</f>
        <v>0</v>
      </c>
      <c r="C887" s="125">
        <f>Lista!B886</f>
        <v>0</v>
      </c>
      <c r="D887" s="125">
        <f>Lista!C886</f>
        <v>0</v>
      </c>
      <c r="E887" s="125">
        <f>Lista!D886</f>
        <v>0</v>
      </c>
      <c r="F887" s="125">
        <f>Lista!E886</f>
        <v>0</v>
      </c>
      <c r="G887" s="125">
        <f>Lista!F886</f>
        <v>0</v>
      </c>
      <c r="H887" s="125">
        <f>Lista!G886</f>
        <v>0</v>
      </c>
      <c r="I887" s="125">
        <f>Lista!H886</f>
        <v>0</v>
      </c>
      <c r="J887" s="125">
        <f>Lista!I886</f>
        <v>0</v>
      </c>
      <c r="K887" s="125">
        <f>Lista!J886</f>
        <v>0</v>
      </c>
      <c r="L887" s="125">
        <f>Lista!K886</f>
        <v>0</v>
      </c>
      <c r="M887" s="125">
        <f>Lista!L886</f>
        <v>0</v>
      </c>
      <c r="N887" s="125">
        <f>Lista!M886</f>
        <v>0</v>
      </c>
      <c r="O887" s="125">
        <f>Lista!N886</f>
        <v>0</v>
      </c>
      <c r="P887" s="125">
        <f>Lista!O886</f>
        <v>0</v>
      </c>
      <c r="Q887" s="125">
        <f>Lista!P886</f>
        <v>0</v>
      </c>
      <c r="R887" s="125">
        <f>Lista!Q886</f>
        <v>0</v>
      </c>
      <c r="S887" s="125">
        <f>Lista!R886</f>
        <v>0</v>
      </c>
      <c r="T887" s="81"/>
      <c r="U887" s="81"/>
      <c r="V887" s="81"/>
      <c r="W887" s="81"/>
      <c r="X887" s="81"/>
      <c r="Y887" s="81"/>
      <c r="Z887" s="81"/>
      <c r="AA887" s="81"/>
      <c r="AB887" s="81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  <c r="BS887" s="81"/>
      <c r="BT887" s="81"/>
      <c r="BU887" s="81"/>
      <c r="BV887" s="81"/>
      <c r="BW887" s="81"/>
      <c r="BX887" s="81"/>
      <c r="BY887" s="81"/>
      <c r="BZ887" s="81"/>
      <c r="CA887" s="81"/>
      <c r="CB887" s="81"/>
      <c r="CC887" s="81"/>
      <c r="CD887" s="81"/>
      <c r="CE887" s="81"/>
      <c r="CF887" s="81"/>
      <c r="CG887" s="81"/>
      <c r="CH887" s="81"/>
      <c r="CI887" s="81"/>
      <c r="CJ887" s="81"/>
      <c r="CK887" s="81"/>
      <c r="CL887" s="81"/>
      <c r="CM887" s="81"/>
      <c r="CN887" s="81"/>
      <c r="CO887" s="81"/>
      <c r="CP887" s="81"/>
      <c r="CQ887" s="81"/>
      <c r="CR887" s="81"/>
      <c r="CS887" s="81"/>
      <c r="CT887" s="81"/>
      <c r="CU887" s="81"/>
      <c r="CV887" s="81"/>
      <c r="CW887" s="81"/>
      <c r="CX887" s="81"/>
      <c r="CY887" s="81"/>
      <c r="CZ887" s="81"/>
      <c r="DA887" s="81"/>
      <c r="DB887" s="81"/>
      <c r="DC887" s="81"/>
      <c r="DD887" s="81"/>
      <c r="DE887" s="81"/>
      <c r="DF887" s="81"/>
      <c r="DG887" s="81"/>
      <c r="DH887" s="81"/>
      <c r="DI887" s="81"/>
      <c r="DJ887" s="81"/>
      <c r="DK887" s="81"/>
      <c r="DL887" s="81"/>
      <c r="DM887" s="81"/>
      <c r="DN887" s="81"/>
      <c r="DO887" s="81"/>
      <c r="DP887" s="81"/>
      <c r="DQ887" s="81"/>
      <c r="DR887" s="81"/>
      <c r="DS887" s="81"/>
      <c r="DT887" s="81"/>
      <c r="DU887" s="81"/>
      <c r="DV887" s="81"/>
      <c r="DW887" s="121"/>
    </row>
    <row r="888" spans="1:127" x14ac:dyDescent="0.25">
      <c r="A888" s="2">
        <f>COUNTIF($D$2:D888,'Reporte de Nomina'!$E$2)</f>
        <v>0</v>
      </c>
      <c r="B888" s="125">
        <f>Lista!A887</f>
        <v>0</v>
      </c>
      <c r="C888" s="125">
        <f>Lista!B887</f>
        <v>0</v>
      </c>
      <c r="D888" s="125">
        <f>Lista!C887</f>
        <v>0</v>
      </c>
      <c r="E888" s="125">
        <f>Lista!D887</f>
        <v>0</v>
      </c>
      <c r="F888" s="125">
        <f>Lista!E887</f>
        <v>0</v>
      </c>
      <c r="G888" s="125">
        <f>Lista!F887</f>
        <v>0</v>
      </c>
      <c r="H888" s="125">
        <f>Lista!G887</f>
        <v>0</v>
      </c>
      <c r="I888" s="125">
        <f>Lista!H887</f>
        <v>0</v>
      </c>
      <c r="J888" s="125">
        <f>Lista!I887</f>
        <v>0</v>
      </c>
      <c r="K888" s="125">
        <f>Lista!J887</f>
        <v>0</v>
      </c>
      <c r="L888" s="125">
        <f>Lista!K887</f>
        <v>0</v>
      </c>
      <c r="M888" s="125">
        <f>Lista!L887</f>
        <v>0</v>
      </c>
      <c r="N888" s="125">
        <f>Lista!M887</f>
        <v>0</v>
      </c>
      <c r="O888" s="125">
        <f>Lista!N887</f>
        <v>0</v>
      </c>
      <c r="P888" s="125">
        <f>Lista!O887</f>
        <v>0</v>
      </c>
      <c r="Q888" s="125">
        <f>Lista!P887</f>
        <v>0</v>
      </c>
      <c r="R888" s="125">
        <f>Lista!Q887</f>
        <v>0</v>
      </c>
      <c r="S888" s="125">
        <f>Lista!R887</f>
        <v>0</v>
      </c>
      <c r="T888" s="81"/>
      <c r="U888" s="81"/>
      <c r="V888" s="81"/>
      <c r="W888" s="81"/>
      <c r="X888" s="81"/>
      <c r="Y888" s="81"/>
      <c r="Z888" s="81"/>
      <c r="AA888" s="81"/>
      <c r="AB888" s="81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  <c r="BS888" s="81"/>
      <c r="BT888" s="81"/>
      <c r="BU888" s="81"/>
      <c r="BV888" s="81"/>
      <c r="BW888" s="81"/>
      <c r="BX888" s="81"/>
      <c r="BY888" s="81"/>
      <c r="BZ888" s="81"/>
      <c r="CA888" s="81"/>
      <c r="CB888" s="81"/>
      <c r="CC888" s="81"/>
      <c r="CD888" s="81"/>
      <c r="CE888" s="81"/>
      <c r="CF888" s="81"/>
      <c r="CG888" s="81"/>
      <c r="CH888" s="81"/>
      <c r="CI888" s="81"/>
      <c r="CJ888" s="81"/>
      <c r="CK888" s="81"/>
      <c r="CL888" s="81"/>
      <c r="CM888" s="81"/>
      <c r="CN888" s="81"/>
      <c r="CO888" s="81"/>
      <c r="CP888" s="81"/>
      <c r="CQ888" s="81"/>
      <c r="CR888" s="81"/>
      <c r="CS888" s="81"/>
      <c r="CT888" s="81"/>
      <c r="CU888" s="81"/>
      <c r="CV888" s="81"/>
      <c r="CW888" s="81"/>
      <c r="CX888" s="81"/>
      <c r="CY888" s="81"/>
      <c r="CZ888" s="81"/>
      <c r="DA888" s="81"/>
      <c r="DB888" s="81"/>
      <c r="DC888" s="81"/>
      <c r="DD888" s="81"/>
      <c r="DE888" s="81"/>
      <c r="DF888" s="81"/>
      <c r="DG888" s="81"/>
      <c r="DH888" s="81"/>
      <c r="DI888" s="81"/>
      <c r="DJ888" s="81"/>
      <c r="DK888" s="81"/>
      <c r="DL888" s="81"/>
      <c r="DM888" s="81"/>
      <c r="DN888" s="81"/>
      <c r="DO888" s="81"/>
      <c r="DP888" s="81"/>
      <c r="DQ888" s="81"/>
      <c r="DR888" s="81"/>
      <c r="DS888" s="81"/>
      <c r="DT888" s="81"/>
      <c r="DU888" s="81"/>
      <c r="DV888" s="81"/>
      <c r="DW888" s="121"/>
    </row>
    <row r="889" spans="1:127" x14ac:dyDescent="0.25">
      <c r="A889" s="2">
        <f>COUNTIF($D$2:D889,'Reporte de Nomina'!$E$2)</f>
        <v>0</v>
      </c>
      <c r="B889" s="125">
        <f>Lista!A888</f>
        <v>0</v>
      </c>
      <c r="C889" s="125">
        <f>Lista!B888</f>
        <v>0</v>
      </c>
      <c r="D889" s="125">
        <f>Lista!C888</f>
        <v>0</v>
      </c>
      <c r="E889" s="125">
        <f>Lista!D888</f>
        <v>0</v>
      </c>
      <c r="F889" s="125">
        <f>Lista!E888</f>
        <v>0</v>
      </c>
      <c r="G889" s="125">
        <f>Lista!F888</f>
        <v>0</v>
      </c>
      <c r="H889" s="125">
        <f>Lista!G888</f>
        <v>0</v>
      </c>
      <c r="I889" s="125">
        <f>Lista!H888</f>
        <v>0</v>
      </c>
      <c r="J889" s="125">
        <f>Lista!I888</f>
        <v>0</v>
      </c>
      <c r="K889" s="125">
        <f>Lista!J888</f>
        <v>0</v>
      </c>
      <c r="L889" s="125">
        <f>Lista!K888</f>
        <v>0</v>
      </c>
      <c r="M889" s="125">
        <f>Lista!L888</f>
        <v>0</v>
      </c>
      <c r="N889" s="125">
        <f>Lista!M888</f>
        <v>0</v>
      </c>
      <c r="O889" s="125">
        <f>Lista!N888</f>
        <v>0</v>
      </c>
      <c r="P889" s="125">
        <f>Lista!O888</f>
        <v>0</v>
      </c>
      <c r="Q889" s="125">
        <f>Lista!P888</f>
        <v>0</v>
      </c>
      <c r="R889" s="125">
        <f>Lista!Q888</f>
        <v>0</v>
      </c>
      <c r="S889" s="125">
        <f>Lista!R888</f>
        <v>0</v>
      </c>
      <c r="T889" s="81"/>
      <c r="U889" s="81"/>
      <c r="V889" s="81"/>
      <c r="W889" s="81"/>
      <c r="X889" s="81"/>
      <c r="Y889" s="81"/>
      <c r="Z889" s="81"/>
      <c r="AA889" s="81"/>
      <c r="AB889" s="81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  <c r="BS889" s="81"/>
      <c r="BT889" s="81"/>
      <c r="BU889" s="81"/>
      <c r="BV889" s="81"/>
      <c r="BW889" s="81"/>
      <c r="BX889" s="81"/>
      <c r="BY889" s="81"/>
      <c r="BZ889" s="81"/>
      <c r="CA889" s="81"/>
      <c r="CB889" s="81"/>
      <c r="CC889" s="81"/>
      <c r="CD889" s="81"/>
      <c r="CE889" s="81"/>
      <c r="CF889" s="81"/>
      <c r="CG889" s="81"/>
      <c r="CH889" s="81"/>
      <c r="CI889" s="81"/>
      <c r="CJ889" s="81"/>
      <c r="CK889" s="81"/>
      <c r="CL889" s="81"/>
      <c r="CM889" s="81"/>
      <c r="CN889" s="81"/>
      <c r="CO889" s="81"/>
      <c r="CP889" s="81"/>
      <c r="CQ889" s="81"/>
      <c r="CR889" s="81"/>
      <c r="CS889" s="81"/>
      <c r="CT889" s="81"/>
      <c r="CU889" s="81"/>
      <c r="CV889" s="81"/>
      <c r="CW889" s="81"/>
      <c r="CX889" s="81"/>
      <c r="CY889" s="81"/>
      <c r="CZ889" s="81"/>
      <c r="DA889" s="81"/>
      <c r="DB889" s="81"/>
      <c r="DC889" s="81"/>
      <c r="DD889" s="81"/>
      <c r="DE889" s="81"/>
      <c r="DF889" s="81"/>
      <c r="DG889" s="81"/>
      <c r="DH889" s="81"/>
      <c r="DI889" s="81"/>
      <c r="DJ889" s="81"/>
      <c r="DK889" s="81"/>
      <c r="DL889" s="81"/>
      <c r="DM889" s="81"/>
      <c r="DN889" s="81"/>
      <c r="DO889" s="81"/>
      <c r="DP889" s="81"/>
      <c r="DQ889" s="81"/>
      <c r="DR889" s="81"/>
      <c r="DS889" s="81"/>
      <c r="DT889" s="81"/>
      <c r="DU889" s="81"/>
      <c r="DV889" s="81"/>
      <c r="DW889" s="121"/>
    </row>
    <row r="890" spans="1:127" x14ac:dyDescent="0.25">
      <c r="A890" s="2">
        <f>COUNTIF($D$2:D890,'Reporte de Nomina'!$E$2)</f>
        <v>0</v>
      </c>
      <c r="B890" s="125">
        <f>Lista!A889</f>
        <v>0</v>
      </c>
      <c r="C890" s="125">
        <f>Lista!B889</f>
        <v>0</v>
      </c>
      <c r="D890" s="125">
        <f>Lista!C889</f>
        <v>0</v>
      </c>
      <c r="E890" s="125">
        <f>Lista!D889</f>
        <v>0</v>
      </c>
      <c r="F890" s="125">
        <f>Lista!E889</f>
        <v>0</v>
      </c>
      <c r="G890" s="125">
        <f>Lista!F889</f>
        <v>0</v>
      </c>
      <c r="H890" s="125">
        <f>Lista!G889</f>
        <v>0</v>
      </c>
      <c r="I890" s="125">
        <f>Lista!H889</f>
        <v>0</v>
      </c>
      <c r="J890" s="125">
        <f>Lista!I889</f>
        <v>0</v>
      </c>
      <c r="K890" s="125">
        <f>Lista!J889</f>
        <v>0</v>
      </c>
      <c r="L890" s="125">
        <f>Lista!K889</f>
        <v>0</v>
      </c>
      <c r="M890" s="125">
        <f>Lista!L889</f>
        <v>0</v>
      </c>
      <c r="N890" s="125">
        <f>Lista!M889</f>
        <v>0</v>
      </c>
      <c r="O890" s="125">
        <f>Lista!N889</f>
        <v>0</v>
      </c>
      <c r="P890" s="125">
        <f>Lista!O889</f>
        <v>0</v>
      </c>
      <c r="Q890" s="125">
        <f>Lista!P889</f>
        <v>0</v>
      </c>
      <c r="R890" s="125">
        <f>Lista!Q889</f>
        <v>0</v>
      </c>
      <c r="S890" s="125">
        <f>Lista!R889</f>
        <v>0</v>
      </c>
      <c r="T890" s="81"/>
      <c r="U890" s="81"/>
      <c r="V890" s="81"/>
      <c r="W890" s="81"/>
      <c r="X890" s="81"/>
      <c r="Y890" s="81"/>
      <c r="Z890" s="81"/>
      <c r="AA890" s="81"/>
      <c r="AB890" s="81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  <c r="BS890" s="81"/>
      <c r="BT890" s="81"/>
      <c r="BU890" s="81"/>
      <c r="BV890" s="81"/>
      <c r="BW890" s="81"/>
      <c r="BX890" s="81"/>
      <c r="BY890" s="81"/>
      <c r="BZ890" s="81"/>
      <c r="CA890" s="81"/>
      <c r="CB890" s="81"/>
      <c r="CC890" s="81"/>
      <c r="CD890" s="81"/>
      <c r="CE890" s="81"/>
      <c r="CF890" s="81"/>
      <c r="CG890" s="81"/>
      <c r="CH890" s="81"/>
      <c r="CI890" s="81"/>
      <c r="CJ890" s="81"/>
      <c r="CK890" s="81"/>
      <c r="CL890" s="81"/>
      <c r="CM890" s="81"/>
      <c r="CN890" s="81"/>
      <c r="CO890" s="81"/>
      <c r="CP890" s="81"/>
      <c r="CQ890" s="81"/>
      <c r="CR890" s="81"/>
      <c r="CS890" s="81"/>
      <c r="CT890" s="81"/>
      <c r="CU890" s="81"/>
      <c r="CV890" s="81"/>
      <c r="CW890" s="81"/>
      <c r="CX890" s="81"/>
      <c r="CY890" s="81"/>
      <c r="CZ890" s="81"/>
      <c r="DA890" s="81"/>
      <c r="DB890" s="81"/>
      <c r="DC890" s="81"/>
      <c r="DD890" s="81"/>
      <c r="DE890" s="81"/>
      <c r="DF890" s="81"/>
      <c r="DG890" s="81"/>
      <c r="DH890" s="81"/>
      <c r="DI890" s="81"/>
      <c r="DJ890" s="81"/>
      <c r="DK890" s="81"/>
      <c r="DL890" s="81"/>
      <c r="DM890" s="81"/>
      <c r="DN890" s="81"/>
      <c r="DO890" s="81"/>
      <c r="DP890" s="81"/>
      <c r="DQ890" s="81"/>
      <c r="DR890" s="81"/>
      <c r="DS890" s="81"/>
      <c r="DT890" s="81"/>
      <c r="DU890" s="81"/>
      <c r="DV890" s="81"/>
      <c r="DW890" s="121"/>
    </row>
    <row r="891" spans="1:127" x14ac:dyDescent="0.25">
      <c r="A891" s="2">
        <f>COUNTIF($D$2:D891,'Reporte de Nomina'!$E$2)</f>
        <v>0</v>
      </c>
      <c r="B891" s="125">
        <f>Lista!A890</f>
        <v>0</v>
      </c>
      <c r="C891" s="125">
        <f>Lista!B890</f>
        <v>0</v>
      </c>
      <c r="D891" s="125">
        <f>Lista!C890</f>
        <v>0</v>
      </c>
      <c r="E891" s="125">
        <f>Lista!D890</f>
        <v>0</v>
      </c>
      <c r="F891" s="125">
        <f>Lista!E890</f>
        <v>0</v>
      </c>
      <c r="G891" s="125">
        <f>Lista!F890</f>
        <v>0</v>
      </c>
      <c r="H891" s="125">
        <f>Lista!G890</f>
        <v>0</v>
      </c>
      <c r="I891" s="125">
        <f>Lista!H890</f>
        <v>0</v>
      </c>
      <c r="J891" s="125">
        <f>Lista!I890</f>
        <v>0</v>
      </c>
      <c r="K891" s="125">
        <f>Lista!J890</f>
        <v>0</v>
      </c>
      <c r="L891" s="125">
        <f>Lista!K890</f>
        <v>0</v>
      </c>
      <c r="M891" s="125">
        <f>Lista!L890</f>
        <v>0</v>
      </c>
      <c r="N891" s="125">
        <f>Lista!M890</f>
        <v>0</v>
      </c>
      <c r="O891" s="125">
        <f>Lista!N890</f>
        <v>0</v>
      </c>
      <c r="P891" s="125">
        <f>Lista!O890</f>
        <v>0</v>
      </c>
      <c r="Q891" s="125">
        <f>Lista!P890</f>
        <v>0</v>
      </c>
      <c r="R891" s="125">
        <f>Lista!Q890</f>
        <v>0</v>
      </c>
      <c r="S891" s="125">
        <f>Lista!R890</f>
        <v>0</v>
      </c>
      <c r="T891" s="81"/>
      <c r="U891" s="81"/>
      <c r="V891" s="81"/>
      <c r="W891" s="81"/>
      <c r="X891" s="81"/>
      <c r="Y891" s="81"/>
      <c r="Z891" s="81"/>
      <c r="AA891" s="81"/>
      <c r="AB891" s="81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  <c r="BS891" s="81"/>
      <c r="BT891" s="81"/>
      <c r="BU891" s="81"/>
      <c r="BV891" s="81"/>
      <c r="BW891" s="81"/>
      <c r="BX891" s="81"/>
      <c r="BY891" s="81"/>
      <c r="BZ891" s="81"/>
      <c r="CA891" s="81"/>
      <c r="CB891" s="81"/>
      <c r="CC891" s="81"/>
      <c r="CD891" s="81"/>
      <c r="CE891" s="81"/>
      <c r="CF891" s="81"/>
      <c r="CG891" s="81"/>
      <c r="CH891" s="81"/>
      <c r="CI891" s="81"/>
      <c r="CJ891" s="81"/>
      <c r="CK891" s="81"/>
      <c r="CL891" s="81"/>
      <c r="CM891" s="81"/>
      <c r="CN891" s="81"/>
      <c r="CO891" s="81"/>
      <c r="CP891" s="81"/>
      <c r="CQ891" s="81"/>
      <c r="CR891" s="81"/>
      <c r="CS891" s="81"/>
      <c r="CT891" s="81"/>
      <c r="CU891" s="81"/>
      <c r="CV891" s="81"/>
      <c r="CW891" s="81"/>
      <c r="CX891" s="81"/>
      <c r="CY891" s="81"/>
      <c r="CZ891" s="81"/>
      <c r="DA891" s="81"/>
      <c r="DB891" s="81"/>
      <c r="DC891" s="81"/>
      <c r="DD891" s="81"/>
      <c r="DE891" s="81"/>
      <c r="DF891" s="81"/>
      <c r="DG891" s="81"/>
      <c r="DH891" s="81"/>
      <c r="DI891" s="81"/>
      <c r="DJ891" s="81"/>
      <c r="DK891" s="81"/>
      <c r="DL891" s="81"/>
      <c r="DM891" s="81"/>
      <c r="DN891" s="81"/>
      <c r="DO891" s="81"/>
      <c r="DP891" s="81"/>
      <c r="DQ891" s="81"/>
      <c r="DR891" s="81"/>
      <c r="DS891" s="81"/>
      <c r="DT891" s="81"/>
      <c r="DU891" s="81"/>
      <c r="DV891" s="81"/>
      <c r="DW891" s="121"/>
    </row>
    <row r="892" spans="1:127" x14ac:dyDescent="0.25">
      <c r="A892" s="2">
        <f>COUNTIF($D$2:D892,'Reporte de Nomina'!$E$2)</f>
        <v>0</v>
      </c>
      <c r="B892" s="125">
        <f>Lista!A891</f>
        <v>0</v>
      </c>
      <c r="C892" s="125">
        <f>Lista!B891</f>
        <v>0</v>
      </c>
      <c r="D892" s="125">
        <f>Lista!C891</f>
        <v>0</v>
      </c>
      <c r="E892" s="125">
        <f>Lista!D891</f>
        <v>0</v>
      </c>
      <c r="F892" s="125">
        <f>Lista!E891</f>
        <v>0</v>
      </c>
      <c r="G892" s="125">
        <f>Lista!F891</f>
        <v>0</v>
      </c>
      <c r="H892" s="125">
        <f>Lista!G891</f>
        <v>0</v>
      </c>
      <c r="I892" s="125">
        <f>Lista!H891</f>
        <v>0</v>
      </c>
      <c r="J892" s="125">
        <f>Lista!I891</f>
        <v>0</v>
      </c>
      <c r="K892" s="125">
        <f>Lista!J891</f>
        <v>0</v>
      </c>
      <c r="L892" s="125">
        <f>Lista!K891</f>
        <v>0</v>
      </c>
      <c r="M892" s="125">
        <f>Lista!L891</f>
        <v>0</v>
      </c>
      <c r="N892" s="125">
        <f>Lista!M891</f>
        <v>0</v>
      </c>
      <c r="O892" s="125">
        <f>Lista!N891</f>
        <v>0</v>
      </c>
      <c r="P892" s="125">
        <f>Lista!O891</f>
        <v>0</v>
      </c>
      <c r="Q892" s="125">
        <f>Lista!P891</f>
        <v>0</v>
      </c>
      <c r="R892" s="125">
        <f>Lista!Q891</f>
        <v>0</v>
      </c>
      <c r="S892" s="125">
        <f>Lista!R891</f>
        <v>0</v>
      </c>
      <c r="T892" s="81"/>
      <c r="U892" s="81"/>
      <c r="V892" s="81"/>
      <c r="W892" s="81"/>
      <c r="X892" s="81"/>
      <c r="Y892" s="81"/>
      <c r="Z892" s="81"/>
      <c r="AA892" s="81"/>
      <c r="AB892" s="81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  <c r="BS892" s="81"/>
      <c r="BT892" s="81"/>
      <c r="BU892" s="81"/>
      <c r="BV892" s="81"/>
      <c r="BW892" s="81"/>
      <c r="BX892" s="81"/>
      <c r="BY892" s="81"/>
      <c r="BZ892" s="81"/>
      <c r="CA892" s="81"/>
      <c r="CB892" s="81"/>
      <c r="CC892" s="81"/>
      <c r="CD892" s="81"/>
      <c r="CE892" s="81"/>
      <c r="CF892" s="81"/>
      <c r="CG892" s="81"/>
      <c r="CH892" s="81"/>
      <c r="CI892" s="81"/>
      <c r="CJ892" s="81"/>
      <c r="CK892" s="81"/>
      <c r="CL892" s="81"/>
      <c r="CM892" s="81"/>
      <c r="CN892" s="81"/>
      <c r="CO892" s="81"/>
      <c r="CP892" s="81"/>
      <c r="CQ892" s="81"/>
      <c r="CR892" s="81"/>
      <c r="CS892" s="81"/>
      <c r="CT892" s="81"/>
      <c r="CU892" s="81"/>
      <c r="CV892" s="81"/>
      <c r="CW892" s="81"/>
      <c r="CX892" s="81"/>
      <c r="CY892" s="81"/>
      <c r="CZ892" s="81"/>
      <c r="DA892" s="81"/>
      <c r="DB892" s="81"/>
      <c r="DC892" s="81"/>
      <c r="DD892" s="81"/>
      <c r="DE892" s="81"/>
      <c r="DF892" s="81"/>
      <c r="DG892" s="81"/>
      <c r="DH892" s="81"/>
      <c r="DI892" s="81"/>
      <c r="DJ892" s="81"/>
      <c r="DK892" s="81"/>
      <c r="DL892" s="81"/>
      <c r="DM892" s="81"/>
      <c r="DN892" s="81"/>
      <c r="DO892" s="81"/>
      <c r="DP892" s="81"/>
      <c r="DQ892" s="81"/>
      <c r="DR892" s="81"/>
      <c r="DS892" s="81"/>
      <c r="DT892" s="81"/>
      <c r="DU892" s="81"/>
      <c r="DV892" s="81"/>
      <c r="DW892" s="121"/>
    </row>
    <row r="893" spans="1:127" x14ac:dyDescent="0.25">
      <c r="A893" s="2">
        <f>COUNTIF($D$2:D893,'Reporte de Nomina'!$E$2)</f>
        <v>0</v>
      </c>
      <c r="B893" s="125">
        <f>Lista!A892</f>
        <v>0</v>
      </c>
      <c r="C893" s="125">
        <f>Lista!B892</f>
        <v>0</v>
      </c>
      <c r="D893" s="125">
        <f>Lista!C892</f>
        <v>0</v>
      </c>
      <c r="E893" s="125">
        <f>Lista!D892</f>
        <v>0</v>
      </c>
      <c r="F893" s="125">
        <f>Lista!E892</f>
        <v>0</v>
      </c>
      <c r="G893" s="125">
        <f>Lista!F892</f>
        <v>0</v>
      </c>
      <c r="H893" s="125">
        <f>Lista!G892</f>
        <v>0</v>
      </c>
      <c r="I893" s="125">
        <f>Lista!H892</f>
        <v>0</v>
      </c>
      <c r="J893" s="125">
        <f>Lista!I892</f>
        <v>0</v>
      </c>
      <c r="K893" s="125">
        <f>Lista!J892</f>
        <v>0</v>
      </c>
      <c r="L893" s="125">
        <f>Lista!K892</f>
        <v>0</v>
      </c>
      <c r="M893" s="125">
        <f>Lista!L892</f>
        <v>0</v>
      </c>
      <c r="N893" s="125">
        <f>Lista!M892</f>
        <v>0</v>
      </c>
      <c r="O893" s="125">
        <f>Lista!N892</f>
        <v>0</v>
      </c>
      <c r="P893" s="125">
        <f>Lista!O892</f>
        <v>0</v>
      </c>
      <c r="Q893" s="125">
        <f>Lista!P892</f>
        <v>0</v>
      </c>
      <c r="R893" s="125">
        <f>Lista!Q892</f>
        <v>0</v>
      </c>
      <c r="S893" s="125">
        <f>Lista!R892</f>
        <v>0</v>
      </c>
      <c r="T893" s="81"/>
      <c r="U893" s="81"/>
      <c r="V893" s="81"/>
      <c r="W893" s="81"/>
      <c r="X893" s="81"/>
      <c r="Y893" s="81"/>
      <c r="Z893" s="81"/>
      <c r="AA893" s="81"/>
      <c r="AB893" s="81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  <c r="BS893" s="81"/>
      <c r="BT893" s="81"/>
      <c r="BU893" s="81"/>
      <c r="BV893" s="81"/>
      <c r="BW893" s="81"/>
      <c r="BX893" s="81"/>
      <c r="BY893" s="81"/>
      <c r="BZ893" s="81"/>
      <c r="CA893" s="81"/>
      <c r="CB893" s="81"/>
      <c r="CC893" s="81"/>
      <c r="CD893" s="81"/>
      <c r="CE893" s="81"/>
      <c r="CF893" s="81"/>
      <c r="CG893" s="81"/>
      <c r="CH893" s="81"/>
      <c r="CI893" s="81"/>
      <c r="CJ893" s="81"/>
      <c r="CK893" s="81"/>
      <c r="CL893" s="81"/>
      <c r="CM893" s="81"/>
      <c r="CN893" s="81"/>
      <c r="CO893" s="81"/>
      <c r="CP893" s="81"/>
      <c r="CQ893" s="81"/>
      <c r="CR893" s="81"/>
      <c r="CS893" s="81"/>
      <c r="CT893" s="81"/>
      <c r="CU893" s="81"/>
      <c r="CV893" s="81"/>
      <c r="CW893" s="81"/>
      <c r="CX893" s="81"/>
      <c r="CY893" s="81"/>
      <c r="CZ893" s="81"/>
      <c r="DA893" s="81"/>
      <c r="DB893" s="81"/>
      <c r="DC893" s="81"/>
      <c r="DD893" s="81"/>
      <c r="DE893" s="81"/>
      <c r="DF893" s="81"/>
      <c r="DG893" s="81"/>
      <c r="DH893" s="81"/>
      <c r="DI893" s="81"/>
      <c r="DJ893" s="81"/>
      <c r="DK893" s="81"/>
      <c r="DL893" s="81"/>
      <c r="DM893" s="81"/>
      <c r="DN893" s="81"/>
      <c r="DO893" s="81"/>
      <c r="DP893" s="81"/>
      <c r="DQ893" s="81"/>
      <c r="DR893" s="81"/>
      <c r="DS893" s="81"/>
      <c r="DT893" s="81"/>
      <c r="DU893" s="81"/>
      <c r="DV893" s="81"/>
      <c r="DW893" s="121"/>
    </row>
    <row r="894" spans="1:127" x14ac:dyDescent="0.25">
      <c r="A894" s="2">
        <f>COUNTIF($D$2:D894,'Reporte de Nomina'!$E$2)</f>
        <v>0</v>
      </c>
      <c r="B894" s="125">
        <f>Lista!A893</f>
        <v>0</v>
      </c>
      <c r="C894" s="125">
        <f>Lista!B893</f>
        <v>0</v>
      </c>
      <c r="D894" s="125">
        <f>Lista!C893</f>
        <v>0</v>
      </c>
      <c r="E894" s="125">
        <f>Lista!D893</f>
        <v>0</v>
      </c>
      <c r="F894" s="125">
        <f>Lista!E893</f>
        <v>0</v>
      </c>
      <c r="G894" s="125">
        <f>Lista!F893</f>
        <v>0</v>
      </c>
      <c r="H894" s="125">
        <f>Lista!G893</f>
        <v>0</v>
      </c>
      <c r="I894" s="125">
        <f>Lista!H893</f>
        <v>0</v>
      </c>
      <c r="J894" s="125">
        <f>Lista!I893</f>
        <v>0</v>
      </c>
      <c r="K894" s="125">
        <f>Lista!J893</f>
        <v>0</v>
      </c>
      <c r="L894" s="125">
        <f>Lista!K893</f>
        <v>0</v>
      </c>
      <c r="M894" s="125">
        <f>Lista!L893</f>
        <v>0</v>
      </c>
      <c r="N894" s="125">
        <f>Lista!M893</f>
        <v>0</v>
      </c>
      <c r="O894" s="125">
        <f>Lista!N893</f>
        <v>0</v>
      </c>
      <c r="P894" s="125">
        <f>Lista!O893</f>
        <v>0</v>
      </c>
      <c r="Q894" s="125">
        <f>Lista!P893</f>
        <v>0</v>
      </c>
      <c r="R894" s="125">
        <f>Lista!Q893</f>
        <v>0</v>
      </c>
      <c r="S894" s="125">
        <f>Lista!R893</f>
        <v>0</v>
      </c>
      <c r="T894" s="81"/>
      <c r="U894" s="81"/>
      <c r="V894" s="81"/>
      <c r="W894" s="81"/>
      <c r="X894" s="81"/>
      <c r="Y894" s="81"/>
      <c r="Z894" s="81"/>
      <c r="AA894" s="81"/>
      <c r="AB894" s="81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  <c r="BS894" s="81"/>
      <c r="BT894" s="81"/>
      <c r="BU894" s="81"/>
      <c r="BV894" s="81"/>
      <c r="BW894" s="81"/>
      <c r="BX894" s="81"/>
      <c r="BY894" s="81"/>
      <c r="BZ894" s="81"/>
      <c r="CA894" s="81"/>
      <c r="CB894" s="81"/>
      <c r="CC894" s="81"/>
      <c r="CD894" s="81"/>
      <c r="CE894" s="81"/>
      <c r="CF894" s="81"/>
      <c r="CG894" s="81"/>
      <c r="CH894" s="81"/>
      <c r="CI894" s="81"/>
      <c r="CJ894" s="81"/>
      <c r="CK894" s="81"/>
      <c r="CL894" s="81"/>
      <c r="CM894" s="81"/>
      <c r="CN894" s="81"/>
      <c r="CO894" s="81"/>
      <c r="CP894" s="81"/>
      <c r="CQ894" s="81"/>
      <c r="CR894" s="81"/>
      <c r="CS894" s="81"/>
      <c r="CT894" s="81"/>
      <c r="CU894" s="81"/>
      <c r="CV894" s="81"/>
      <c r="CW894" s="81"/>
      <c r="CX894" s="81"/>
      <c r="CY894" s="81"/>
      <c r="CZ894" s="81"/>
      <c r="DA894" s="81"/>
      <c r="DB894" s="81"/>
      <c r="DC894" s="81"/>
      <c r="DD894" s="81"/>
      <c r="DE894" s="81"/>
      <c r="DF894" s="81"/>
      <c r="DG894" s="81"/>
      <c r="DH894" s="81"/>
      <c r="DI894" s="81"/>
      <c r="DJ894" s="81"/>
      <c r="DK894" s="81"/>
      <c r="DL894" s="81"/>
      <c r="DM894" s="81"/>
      <c r="DN894" s="81"/>
      <c r="DO894" s="81"/>
      <c r="DP894" s="81"/>
      <c r="DQ894" s="81"/>
      <c r="DR894" s="81"/>
      <c r="DS894" s="81"/>
      <c r="DT894" s="81"/>
      <c r="DU894" s="81"/>
      <c r="DV894" s="81"/>
      <c r="DW894" s="121"/>
    </row>
    <row r="895" spans="1:127" x14ac:dyDescent="0.25">
      <c r="A895" s="2">
        <f>COUNTIF($D$2:D895,'Reporte de Nomina'!$E$2)</f>
        <v>0</v>
      </c>
      <c r="B895" s="125">
        <f>Lista!A894</f>
        <v>0</v>
      </c>
      <c r="C895" s="125">
        <f>Lista!B894</f>
        <v>0</v>
      </c>
      <c r="D895" s="125">
        <f>Lista!C894</f>
        <v>0</v>
      </c>
      <c r="E895" s="125">
        <f>Lista!D894</f>
        <v>0</v>
      </c>
      <c r="F895" s="125">
        <f>Lista!E894</f>
        <v>0</v>
      </c>
      <c r="G895" s="125">
        <f>Lista!F894</f>
        <v>0</v>
      </c>
      <c r="H895" s="125">
        <f>Lista!G894</f>
        <v>0</v>
      </c>
      <c r="I895" s="125">
        <f>Lista!H894</f>
        <v>0</v>
      </c>
      <c r="J895" s="125">
        <f>Lista!I894</f>
        <v>0</v>
      </c>
      <c r="K895" s="125">
        <f>Lista!J894</f>
        <v>0</v>
      </c>
      <c r="L895" s="125">
        <f>Lista!K894</f>
        <v>0</v>
      </c>
      <c r="M895" s="125">
        <f>Lista!L894</f>
        <v>0</v>
      </c>
      <c r="N895" s="125">
        <f>Lista!M894</f>
        <v>0</v>
      </c>
      <c r="O895" s="125">
        <f>Lista!N894</f>
        <v>0</v>
      </c>
      <c r="P895" s="125">
        <f>Lista!O894</f>
        <v>0</v>
      </c>
      <c r="Q895" s="125">
        <f>Lista!P894</f>
        <v>0</v>
      </c>
      <c r="R895" s="125">
        <f>Lista!Q894</f>
        <v>0</v>
      </c>
      <c r="S895" s="125">
        <f>Lista!R894</f>
        <v>0</v>
      </c>
      <c r="T895" s="81"/>
      <c r="U895" s="81"/>
      <c r="V895" s="81"/>
      <c r="W895" s="81"/>
      <c r="X895" s="81"/>
      <c r="Y895" s="81"/>
      <c r="Z895" s="81"/>
      <c r="AA895" s="81"/>
      <c r="AB895" s="81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  <c r="BS895" s="81"/>
      <c r="BT895" s="81"/>
      <c r="BU895" s="81"/>
      <c r="BV895" s="81"/>
      <c r="BW895" s="81"/>
      <c r="BX895" s="81"/>
      <c r="BY895" s="81"/>
      <c r="BZ895" s="81"/>
      <c r="CA895" s="81"/>
      <c r="CB895" s="81"/>
      <c r="CC895" s="81"/>
      <c r="CD895" s="81"/>
      <c r="CE895" s="81"/>
      <c r="CF895" s="81"/>
      <c r="CG895" s="81"/>
      <c r="CH895" s="81"/>
      <c r="CI895" s="81"/>
      <c r="CJ895" s="81"/>
      <c r="CK895" s="81"/>
      <c r="CL895" s="81"/>
      <c r="CM895" s="81"/>
      <c r="CN895" s="81"/>
      <c r="CO895" s="81"/>
      <c r="CP895" s="81"/>
      <c r="CQ895" s="81"/>
      <c r="CR895" s="81"/>
      <c r="CS895" s="81"/>
      <c r="CT895" s="81"/>
      <c r="CU895" s="81"/>
      <c r="CV895" s="81"/>
      <c r="CW895" s="81"/>
      <c r="CX895" s="81"/>
      <c r="CY895" s="81"/>
      <c r="CZ895" s="81"/>
      <c r="DA895" s="81"/>
      <c r="DB895" s="81"/>
      <c r="DC895" s="81"/>
      <c r="DD895" s="81"/>
      <c r="DE895" s="81"/>
      <c r="DF895" s="81"/>
      <c r="DG895" s="81"/>
      <c r="DH895" s="81"/>
      <c r="DI895" s="81"/>
      <c r="DJ895" s="81"/>
      <c r="DK895" s="81"/>
      <c r="DL895" s="81"/>
      <c r="DM895" s="81"/>
      <c r="DN895" s="81"/>
      <c r="DO895" s="81"/>
      <c r="DP895" s="81"/>
      <c r="DQ895" s="81"/>
      <c r="DR895" s="81"/>
      <c r="DS895" s="81"/>
      <c r="DT895" s="81"/>
      <c r="DU895" s="81"/>
      <c r="DV895" s="81"/>
      <c r="DW895" s="121"/>
    </row>
    <row r="896" spans="1:127" x14ac:dyDescent="0.25">
      <c r="A896" s="2">
        <f>COUNTIF($D$2:D896,'Reporte de Nomina'!$E$2)</f>
        <v>0</v>
      </c>
      <c r="B896" s="125">
        <f>Lista!A895</f>
        <v>0</v>
      </c>
      <c r="C896" s="125">
        <f>Lista!B895</f>
        <v>0</v>
      </c>
      <c r="D896" s="125">
        <f>Lista!C895</f>
        <v>0</v>
      </c>
      <c r="E896" s="125">
        <f>Lista!D895</f>
        <v>0</v>
      </c>
      <c r="F896" s="125">
        <f>Lista!E895</f>
        <v>0</v>
      </c>
      <c r="G896" s="125">
        <f>Lista!F895</f>
        <v>0</v>
      </c>
      <c r="H896" s="125">
        <f>Lista!G895</f>
        <v>0</v>
      </c>
      <c r="I896" s="125">
        <f>Lista!H895</f>
        <v>0</v>
      </c>
      <c r="J896" s="125">
        <f>Lista!I895</f>
        <v>0</v>
      </c>
      <c r="K896" s="125">
        <f>Lista!J895</f>
        <v>0</v>
      </c>
      <c r="L896" s="125">
        <f>Lista!K895</f>
        <v>0</v>
      </c>
      <c r="M896" s="125">
        <f>Lista!L895</f>
        <v>0</v>
      </c>
      <c r="N896" s="125">
        <f>Lista!M895</f>
        <v>0</v>
      </c>
      <c r="O896" s="125">
        <f>Lista!N895</f>
        <v>0</v>
      </c>
      <c r="P896" s="125">
        <f>Lista!O895</f>
        <v>0</v>
      </c>
      <c r="Q896" s="125">
        <f>Lista!P895</f>
        <v>0</v>
      </c>
      <c r="R896" s="125">
        <f>Lista!Q895</f>
        <v>0</v>
      </c>
      <c r="S896" s="125">
        <f>Lista!R895</f>
        <v>0</v>
      </c>
      <c r="T896" s="81"/>
      <c r="U896" s="81"/>
      <c r="V896" s="81"/>
      <c r="W896" s="81"/>
      <c r="X896" s="81"/>
      <c r="Y896" s="81"/>
      <c r="Z896" s="81"/>
      <c r="AA896" s="81"/>
      <c r="AB896" s="81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  <c r="BS896" s="81"/>
      <c r="BT896" s="81"/>
      <c r="BU896" s="81"/>
      <c r="BV896" s="81"/>
      <c r="BW896" s="81"/>
      <c r="BX896" s="81"/>
      <c r="BY896" s="81"/>
      <c r="BZ896" s="81"/>
      <c r="CA896" s="81"/>
      <c r="CB896" s="81"/>
      <c r="CC896" s="81"/>
      <c r="CD896" s="81"/>
      <c r="CE896" s="81"/>
      <c r="CF896" s="81"/>
      <c r="CG896" s="81"/>
      <c r="CH896" s="81"/>
      <c r="CI896" s="81"/>
      <c r="CJ896" s="81"/>
      <c r="CK896" s="81"/>
      <c r="CL896" s="81"/>
      <c r="CM896" s="81"/>
      <c r="CN896" s="81"/>
      <c r="CO896" s="81"/>
      <c r="CP896" s="81"/>
      <c r="CQ896" s="81"/>
      <c r="CR896" s="81"/>
      <c r="CS896" s="81"/>
      <c r="CT896" s="81"/>
      <c r="CU896" s="81"/>
      <c r="CV896" s="81"/>
      <c r="CW896" s="81"/>
      <c r="CX896" s="81"/>
      <c r="CY896" s="81"/>
      <c r="CZ896" s="81"/>
      <c r="DA896" s="81"/>
      <c r="DB896" s="81"/>
      <c r="DC896" s="81"/>
      <c r="DD896" s="81"/>
      <c r="DE896" s="81"/>
      <c r="DF896" s="81"/>
      <c r="DG896" s="81"/>
      <c r="DH896" s="81"/>
      <c r="DI896" s="81"/>
      <c r="DJ896" s="81"/>
      <c r="DK896" s="81"/>
      <c r="DL896" s="81"/>
      <c r="DM896" s="81"/>
      <c r="DN896" s="81"/>
      <c r="DO896" s="81"/>
      <c r="DP896" s="81"/>
      <c r="DQ896" s="81"/>
      <c r="DR896" s="81"/>
      <c r="DS896" s="81"/>
      <c r="DT896" s="81"/>
      <c r="DU896" s="81"/>
      <c r="DV896" s="81"/>
      <c r="DW896" s="121"/>
    </row>
    <row r="897" spans="1:127" x14ac:dyDescent="0.25">
      <c r="A897" s="2">
        <f>COUNTIF($D$2:D897,'Reporte de Nomina'!$E$2)</f>
        <v>0</v>
      </c>
      <c r="B897" s="125">
        <f>Lista!A896</f>
        <v>0</v>
      </c>
      <c r="C897" s="125">
        <f>Lista!B896</f>
        <v>0</v>
      </c>
      <c r="D897" s="125">
        <f>Lista!C896</f>
        <v>0</v>
      </c>
      <c r="E897" s="125">
        <f>Lista!D896</f>
        <v>0</v>
      </c>
      <c r="F897" s="125">
        <f>Lista!E896</f>
        <v>0</v>
      </c>
      <c r="G897" s="125">
        <f>Lista!F896</f>
        <v>0</v>
      </c>
      <c r="H897" s="125">
        <f>Lista!G896</f>
        <v>0</v>
      </c>
      <c r="I897" s="125">
        <f>Lista!H896</f>
        <v>0</v>
      </c>
      <c r="J897" s="125">
        <f>Lista!I896</f>
        <v>0</v>
      </c>
      <c r="K897" s="125">
        <f>Lista!J896</f>
        <v>0</v>
      </c>
      <c r="L897" s="125">
        <f>Lista!K896</f>
        <v>0</v>
      </c>
      <c r="M897" s="125">
        <f>Lista!L896</f>
        <v>0</v>
      </c>
      <c r="N897" s="125">
        <f>Lista!M896</f>
        <v>0</v>
      </c>
      <c r="O897" s="125">
        <f>Lista!N896</f>
        <v>0</v>
      </c>
      <c r="P897" s="125">
        <f>Lista!O896</f>
        <v>0</v>
      </c>
      <c r="Q897" s="125">
        <f>Lista!P896</f>
        <v>0</v>
      </c>
      <c r="R897" s="125">
        <f>Lista!Q896</f>
        <v>0</v>
      </c>
      <c r="S897" s="125">
        <f>Lista!R896</f>
        <v>0</v>
      </c>
      <c r="T897" s="81"/>
      <c r="U897" s="81"/>
      <c r="V897" s="81"/>
      <c r="W897" s="81"/>
      <c r="X897" s="81"/>
      <c r="Y897" s="81"/>
      <c r="Z897" s="81"/>
      <c r="AA897" s="81"/>
      <c r="AB897" s="81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  <c r="BS897" s="81"/>
      <c r="BT897" s="81"/>
      <c r="BU897" s="81"/>
      <c r="BV897" s="81"/>
      <c r="BW897" s="81"/>
      <c r="BX897" s="81"/>
      <c r="BY897" s="81"/>
      <c r="BZ897" s="81"/>
      <c r="CA897" s="81"/>
      <c r="CB897" s="81"/>
      <c r="CC897" s="81"/>
      <c r="CD897" s="81"/>
      <c r="CE897" s="81"/>
      <c r="CF897" s="81"/>
      <c r="CG897" s="81"/>
      <c r="CH897" s="81"/>
      <c r="CI897" s="81"/>
      <c r="CJ897" s="81"/>
      <c r="CK897" s="81"/>
      <c r="CL897" s="81"/>
      <c r="CM897" s="81"/>
      <c r="CN897" s="81"/>
      <c r="CO897" s="81"/>
      <c r="CP897" s="81"/>
      <c r="CQ897" s="81"/>
      <c r="CR897" s="81"/>
      <c r="CS897" s="81"/>
      <c r="CT897" s="81"/>
      <c r="CU897" s="81"/>
      <c r="CV897" s="81"/>
      <c r="CW897" s="81"/>
      <c r="CX897" s="81"/>
      <c r="CY897" s="81"/>
      <c r="CZ897" s="81"/>
      <c r="DA897" s="81"/>
      <c r="DB897" s="81"/>
      <c r="DC897" s="81"/>
      <c r="DD897" s="81"/>
      <c r="DE897" s="81"/>
      <c r="DF897" s="81"/>
      <c r="DG897" s="81"/>
      <c r="DH897" s="81"/>
      <c r="DI897" s="81"/>
      <c r="DJ897" s="81"/>
      <c r="DK897" s="81"/>
      <c r="DL897" s="81"/>
      <c r="DM897" s="81"/>
      <c r="DN897" s="81"/>
      <c r="DO897" s="81"/>
      <c r="DP897" s="81"/>
      <c r="DQ897" s="81"/>
      <c r="DR897" s="81"/>
      <c r="DS897" s="81"/>
      <c r="DT897" s="81"/>
      <c r="DU897" s="81"/>
      <c r="DV897" s="81"/>
      <c r="DW897" s="121"/>
    </row>
    <row r="898" spans="1:127" x14ac:dyDescent="0.25">
      <c r="A898" s="2">
        <f>COUNTIF($D$2:D898,'Reporte de Nomina'!$E$2)</f>
        <v>0</v>
      </c>
      <c r="B898" s="125">
        <f>Lista!A897</f>
        <v>0</v>
      </c>
      <c r="C898" s="125">
        <f>Lista!B897</f>
        <v>0</v>
      </c>
      <c r="D898" s="125">
        <f>Lista!C897</f>
        <v>0</v>
      </c>
      <c r="E898" s="125">
        <f>Lista!D897</f>
        <v>0</v>
      </c>
      <c r="F898" s="125">
        <f>Lista!E897</f>
        <v>0</v>
      </c>
      <c r="G898" s="125">
        <f>Lista!F897</f>
        <v>0</v>
      </c>
      <c r="H898" s="125">
        <f>Lista!G897</f>
        <v>0</v>
      </c>
      <c r="I898" s="125">
        <f>Lista!H897</f>
        <v>0</v>
      </c>
      <c r="J898" s="125">
        <f>Lista!I897</f>
        <v>0</v>
      </c>
      <c r="K898" s="125">
        <f>Lista!J897</f>
        <v>0</v>
      </c>
      <c r="L898" s="125">
        <f>Lista!K897</f>
        <v>0</v>
      </c>
      <c r="M898" s="125">
        <f>Lista!L897</f>
        <v>0</v>
      </c>
      <c r="N898" s="125">
        <f>Lista!M897</f>
        <v>0</v>
      </c>
      <c r="O898" s="125">
        <f>Lista!N897</f>
        <v>0</v>
      </c>
      <c r="P898" s="125">
        <f>Lista!O897</f>
        <v>0</v>
      </c>
      <c r="Q898" s="125">
        <f>Lista!P897</f>
        <v>0</v>
      </c>
      <c r="R898" s="125">
        <f>Lista!Q897</f>
        <v>0</v>
      </c>
      <c r="S898" s="125">
        <f>Lista!R897</f>
        <v>0</v>
      </c>
      <c r="T898" s="81"/>
      <c r="U898" s="81"/>
      <c r="V898" s="81"/>
      <c r="W898" s="81"/>
      <c r="X898" s="81"/>
      <c r="Y898" s="81"/>
      <c r="Z898" s="81"/>
      <c r="AA898" s="81"/>
      <c r="AB898" s="81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  <c r="BS898" s="81"/>
      <c r="BT898" s="81"/>
      <c r="BU898" s="81"/>
      <c r="BV898" s="81"/>
      <c r="BW898" s="81"/>
      <c r="BX898" s="81"/>
      <c r="BY898" s="81"/>
      <c r="BZ898" s="81"/>
      <c r="CA898" s="81"/>
      <c r="CB898" s="81"/>
      <c r="CC898" s="81"/>
      <c r="CD898" s="81"/>
      <c r="CE898" s="81"/>
      <c r="CF898" s="81"/>
      <c r="CG898" s="81"/>
      <c r="CH898" s="81"/>
      <c r="CI898" s="81"/>
      <c r="CJ898" s="81"/>
      <c r="CK898" s="81"/>
      <c r="CL898" s="81"/>
      <c r="CM898" s="81"/>
      <c r="CN898" s="81"/>
      <c r="CO898" s="81"/>
      <c r="CP898" s="81"/>
      <c r="CQ898" s="81"/>
      <c r="CR898" s="81"/>
      <c r="CS898" s="81"/>
      <c r="CT898" s="81"/>
      <c r="CU898" s="81"/>
      <c r="CV898" s="81"/>
      <c r="CW898" s="81"/>
      <c r="CX898" s="81"/>
      <c r="CY898" s="81"/>
      <c r="CZ898" s="81"/>
      <c r="DA898" s="81"/>
      <c r="DB898" s="81"/>
      <c r="DC898" s="81"/>
      <c r="DD898" s="81"/>
      <c r="DE898" s="81"/>
      <c r="DF898" s="81"/>
      <c r="DG898" s="81"/>
      <c r="DH898" s="81"/>
      <c r="DI898" s="81"/>
      <c r="DJ898" s="81"/>
      <c r="DK898" s="81"/>
      <c r="DL898" s="81"/>
      <c r="DM898" s="81"/>
      <c r="DN898" s="81"/>
      <c r="DO898" s="81"/>
      <c r="DP898" s="81"/>
      <c r="DQ898" s="81"/>
      <c r="DR898" s="81"/>
      <c r="DS898" s="81"/>
      <c r="DT898" s="81"/>
      <c r="DU898" s="81"/>
      <c r="DV898" s="81"/>
      <c r="DW898" s="121"/>
    </row>
    <row r="899" spans="1:127" x14ac:dyDescent="0.25">
      <c r="A899" s="2">
        <f>COUNTIF($D$2:D899,'Reporte de Nomina'!$E$2)</f>
        <v>0</v>
      </c>
      <c r="B899" s="125">
        <f>Lista!A898</f>
        <v>0</v>
      </c>
      <c r="C899" s="125">
        <f>Lista!B898</f>
        <v>0</v>
      </c>
      <c r="D899" s="125">
        <f>Lista!C898</f>
        <v>0</v>
      </c>
      <c r="E899" s="125">
        <f>Lista!D898</f>
        <v>0</v>
      </c>
      <c r="F899" s="125">
        <f>Lista!E898</f>
        <v>0</v>
      </c>
      <c r="G899" s="125">
        <f>Lista!F898</f>
        <v>0</v>
      </c>
      <c r="H899" s="125">
        <f>Lista!G898</f>
        <v>0</v>
      </c>
      <c r="I899" s="125">
        <f>Lista!H898</f>
        <v>0</v>
      </c>
      <c r="J899" s="125">
        <f>Lista!I898</f>
        <v>0</v>
      </c>
      <c r="K899" s="125">
        <f>Lista!J898</f>
        <v>0</v>
      </c>
      <c r="L899" s="125">
        <f>Lista!K898</f>
        <v>0</v>
      </c>
      <c r="M899" s="125">
        <f>Lista!L898</f>
        <v>0</v>
      </c>
      <c r="N899" s="125">
        <f>Lista!M898</f>
        <v>0</v>
      </c>
      <c r="O899" s="125">
        <f>Lista!N898</f>
        <v>0</v>
      </c>
      <c r="P899" s="125">
        <f>Lista!O898</f>
        <v>0</v>
      </c>
      <c r="Q899" s="125">
        <f>Lista!P898</f>
        <v>0</v>
      </c>
      <c r="R899" s="125">
        <f>Lista!Q898</f>
        <v>0</v>
      </c>
      <c r="S899" s="125">
        <f>Lista!R898</f>
        <v>0</v>
      </c>
      <c r="T899" s="81"/>
      <c r="U899" s="81"/>
      <c r="V899" s="81"/>
      <c r="W899" s="81"/>
      <c r="X899" s="81"/>
      <c r="Y899" s="81"/>
      <c r="Z899" s="81"/>
      <c r="AA899" s="81"/>
      <c r="AB899" s="81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  <c r="BS899" s="81"/>
      <c r="BT899" s="81"/>
      <c r="BU899" s="81"/>
      <c r="BV899" s="81"/>
      <c r="BW899" s="81"/>
      <c r="BX899" s="81"/>
      <c r="BY899" s="81"/>
      <c r="BZ899" s="81"/>
      <c r="CA899" s="81"/>
      <c r="CB899" s="81"/>
      <c r="CC899" s="81"/>
      <c r="CD899" s="81"/>
      <c r="CE899" s="81"/>
      <c r="CF899" s="81"/>
      <c r="CG899" s="81"/>
      <c r="CH899" s="81"/>
      <c r="CI899" s="81"/>
      <c r="CJ899" s="81"/>
      <c r="CK899" s="81"/>
      <c r="CL899" s="81"/>
      <c r="CM899" s="81"/>
      <c r="CN899" s="81"/>
      <c r="CO899" s="81"/>
      <c r="CP899" s="81"/>
      <c r="CQ899" s="81"/>
      <c r="CR899" s="81"/>
      <c r="CS899" s="81"/>
      <c r="CT899" s="81"/>
      <c r="CU899" s="81"/>
      <c r="CV899" s="81"/>
      <c r="CW899" s="81"/>
      <c r="CX899" s="81"/>
      <c r="CY899" s="81"/>
      <c r="CZ899" s="81"/>
      <c r="DA899" s="81"/>
      <c r="DB899" s="81"/>
      <c r="DC899" s="81"/>
      <c r="DD899" s="81"/>
      <c r="DE899" s="81"/>
      <c r="DF899" s="81"/>
      <c r="DG899" s="81"/>
      <c r="DH899" s="81"/>
      <c r="DI899" s="81"/>
      <c r="DJ899" s="81"/>
      <c r="DK899" s="81"/>
      <c r="DL899" s="81"/>
      <c r="DM899" s="81"/>
      <c r="DN899" s="81"/>
      <c r="DO899" s="81"/>
      <c r="DP899" s="81"/>
      <c r="DQ899" s="81"/>
      <c r="DR899" s="81"/>
      <c r="DS899" s="81"/>
      <c r="DT899" s="81"/>
      <c r="DU899" s="81"/>
      <c r="DV899" s="81"/>
      <c r="DW899" s="121"/>
    </row>
    <row r="900" spans="1:127" x14ac:dyDescent="0.25">
      <c r="A900" s="2">
        <f>COUNTIF($D$2:D900,'Reporte de Nomina'!$E$2)</f>
        <v>0</v>
      </c>
      <c r="B900" s="125">
        <f>Lista!A899</f>
        <v>0</v>
      </c>
      <c r="C900" s="125">
        <f>Lista!B899</f>
        <v>0</v>
      </c>
      <c r="D900" s="125">
        <f>Lista!C899</f>
        <v>0</v>
      </c>
      <c r="E900" s="125">
        <f>Lista!D899</f>
        <v>0</v>
      </c>
      <c r="F900" s="125">
        <f>Lista!E899</f>
        <v>0</v>
      </c>
      <c r="G900" s="125">
        <f>Lista!F899</f>
        <v>0</v>
      </c>
      <c r="H900" s="125">
        <f>Lista!G899</f>
        <v>0</v>
      </c>
      <c r="I900" s="125">
        <f>Lista!H899</f>
        <v>0</v>
      </c>
      <c r="J900" s="125">
        <f>Lista!I899</f>
        <v>0</v>
      </c>
      <c r="K900" s="125">
        <f>Lista!J899</f>
        <v>0</v>
      </c>
      <c r="L900" s="125">
        <f>Lista!K899</f>
        <v>0</v>
      </c>
      <c r="M900" s="125">
        <f>Lista!L899</f>
        <v>0</v>
      </c>
      <c r="N900" s="125">
        <f>Lista!M899</f>
        <v>0</v>
      </c>
      <c r="O900" s="125">
        <f>Lista!N899</f>
        <v>0</v>
      </c>
      <c r="P900" s="125">
        <f>Lista!O899</f>
        <v>0</v>
      </c>
      <c r="Q900" s="125">
        <f>Lista!P899</f>
        <v>0</v>
      </c>
      <c r="R900" s="125">
        <f>Lista!Q899</f>
        <v>0</v>
      </c>
      <c r="S900" s="125">
        <f>Lista!R899</f>
        <v>0</v>
      </c>
      <c r="T900" s="81"/>
      <c r="U900" s="81"/>
      <c r="V900" s="81"/>
      <c r="W900" s="81"/>
      <c r="X900" s="81"/>
      <c r="Y900" s="81"/>
      <c r="Z900" s="81"/>
      <c r="AA900" s="81"/>
      <c r="AB900" s="81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  <c r="BS900" s="81"/>
      <c r="BT900" s="81"/>
      <c r="BU900" s="81"/>
      <c r="BV900" s="81"/>
      <c r="BW900" s="81"/>
      <c r="BX900" s="81"/>
      <c r="BY900" s="81"/>
      <c r="BZ900" s="81"/>
      <c r="CA900" s="81"/>
      <c r="CB900" s="81"/>
      <c r="CC900" s="81"/>
      <c r="CD900" s="81"/>
      <c r="CE900" s="81"/>
      <c r="CF900" s="81"/>
      <c r="CG900" s="81"/>
      <c r="CH900" s="81"/>
      <c r="CI900" s="81"/>
      <c r="CJ900" s="81"/>
      <c r="CK900" s="81"/>
      <c r="CL900" s="81"/>
      <c r="CM900" s="81"/>
      <c r="CN900" s="81"/>
      <c r="CO900" s="81"/>
      <c r="CP900" s="81"/>
      <c r="CQ900" s="81"/>
      <c r="CR900" s="81"/>
      <c r="CS900" s="81"/>
      <c r="CT900" s="81"/>
      <c r="CU900" s="81"/>
      <c r="CV900" s="81"/>
      <c r="CW900" s="81"/>
      <c r="CX900" s="81"/>
      <c r="CY900" s="81"/>
      <c r="CZ900" s="81"/>
      <c r="DA900" s="81"/>
      <c r="DB900" s="81"/>
      <c r="DC900" s="81"/>
      <c r="DD900" s="81"/>
      <c r="DE900" s="81"/>
      <c r="DF900" s="81"/>
      <c r="DG900" s="81"/>
      <c r="DH900" s="81"/>
      <c r="DI900" s="81"/>
      <c r="DJ900" s="81"/>
      <c r="DK900" s="81"/>
      <c r="DL900" s="81"/>
      <c r="DM900" s="81"/>
      <c r="DN900" s="81"/>
      <c r="DO900" s="81"/>
      <c r="DP900" s="81"/>
      <c r="DQ900" s="81"/>
      <c r="DR900" s="81"/>
      <c r="DS900" s="81"/>
      <c r="DT900" s="81"/>
      <c r="DU900" s="81"/>
      <c r="DV900" s="81"/>
      <c r="DW900" s="121"/>
    </row>
    <row r="901" spans="1:127" x14ac:dyDescent="0.25">
      <c r="A901" s="2">
        <f>COUNTIF($D$2:D901,'Reporte de Nomina'!$E$2)</f>
        <v>0</v>
      </c>
      <c r="B901" s="125">
        <f>Lista!A900</f>
        <v>0</v>
      </c>
      <c r="C901" s="125">
        <f>Lista!B900</f>
        <v>0</v>
      </c>
      <c r="D901" s="125">
        <f>Lista!C900</f>
        <v>0</v>
      </c>
      <c r="E901" s="125">
        <f>Lista!D900</f>
        <v>0</v>
      </c>
      <c r="F901" s="125">
        <f>Lista!E900</f>
        <v>0</v>
      </c>
      <c r="G901" s="125">
        <f>Lista!F900</f>
        <v>0</v>
      </c>
      <c r="H901" s="125">
        <f>Lista!G900</f>
        <v>0</v>
      </c>
      <c r="I901" s="125">
        <f>Lista!H900</f>
        <v>0</v>
      </c>
      <c r="J901" s="125">
        <f>Lista!I900</f>
        <v>0</v>
      </c>
      <c r="K901" s="125">
        <f>Lista!J900</f>
        <v>0</v>
      </c>
      <c r="L901" s="125">
        <f>Lista!K900</f>
        <v>0</v>
      </c>
      <c r="M901" s="125">
        <f>Lista!L900</f>
        <v>0</v>
      </c>
      <c r="N901" s="125">
        <f>Lista!M900</f>
        <v>0</v>
      </c>
      <c r="O901" s="125">
        <f>Lista!N900</f>
        <v>0</v>
      </c>
      <c r="P901" s="125">
        <f>Lista!O900</f>
        <v>0</v>
      </c>
      <c r="Q901" s="125">
        <f>Lista!P900</f>
        <v>0</v>
      </c>
      <c r="R901" s="125">
        <f>Lista!Q900</f>
        <v>0</v>
      </c>
      <c r="S901" s="125">
        <f>Lista!R900</f>
        <v>0</v>
      </c>
      <c r="T901" s="81"/>
      <c r="U901" s="81"/>
      <c r="V901" s="81"/>
      <c r="W901" s="81"/>
      <c r="X901" s="81"/>
      <c r="Y901" s="81"/>
      <c r="Z901" s="81"/>
      <c r="AA901" s="81"/>
      <c r="AB901" s="81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  <c r="BS901" s="81"/>
      <c r="BT901" s="81"/>
      <c r="BU901" s="81"/>
      <c r="BV901" s="81"/>
      <c r="BW901" s="81"/>
      <c r="BX901" s="81"/>
      <c r="BY901" s="81"/>
      <c r="BZ901" s="81"/>
      <c r="CA901" s="81"/>
      <c r="CB901" s="81"/>
      <c r="CC901" s="81"/>
      <c r="CD901" s="81"/>
      <c r="CE901" s="81"/>
      <c r="CF901" s="81"/>
      <c r="CG901" s="81"/>
      <c r="CH901" s="81"/>
      <c r="CI901" s="81"/>
      <c r="CJ901" s="81"/>
      <c r="CK901" s="81"/>
      <c r="CL901" s="81"/>
      <c r="CM901" s="81"/>
      <c r="CN901" s="81"/>
      <c r="CO901" s="81"/>
      <c r="CP901" s="81"/>
      <c r="CQ901" s="81"/>
      <c r="CR901" s="81"/>
      <c r="CS901" s="81"/>
      <c r="CT901" s="81"/>
      <c r="CU901" s="81"/>
      <c r="CV901" s="81"/>
      <c r="CW901" s="81"/>
      <c r="CX901" s="81"/>
      <c r="CY901" s="81"/>
      <c r="CZ901" s="81"/>
      <c r="DA901" s="81"/>
      <c r="DB901" s="81"/>
      <c r="DC901" s="81"/>
      <c r="DD901" s="81"/>
      <c r="DE901" s="81"/>
      <c r="DF901" s="81"/>
      <c r="DG901" s="81"/>
      <c r="DH901" s="81"/>
      <c r="DI901" s="81"/>
      <c r="DJ901" s="81"/>
      <c r="DK901" s="81"/>
      <c r="DL901" s="81"/>
      <c r="DM901" s="81"/>
      <c r="DN901" s="81"/>
      <c r="DO901" s="81"/>
      <c r="DP901" s="81"/>
      <c r="DQ901" s="81"/>
      <c r="DR901" s="81"/>
      <c r="DS901" s="81"/>
      <c r="DT901" s="81"/>
      <c r="DU901" s="81"/>
      <c r="DV901" s="81"/>
      <c r="DW901" s="121"/>
    </row>
    <row r="902" spans="1:127" x14ac:dyDescent="0.25">
      <c r="A902" s="2">
        <f>COUNTIF($D$2:D902,'Reporte de Nomina'!$E$2)</f>
        <v>0</v>
      </c>
      <c r="B902" s="125">
        <f>Lista!A901</f>
        <v>0</v>
      </c>
      <c r="C902" s="125">
        <f>Lista!B901</f>
        <v>0</v>
      </c>
      <c r="D902" s="125">
        <f>Lista!C901</f>
        <v>0</v>
      </c>
      <c r="E902" s="125">
        <f>Lista!D901</f>
        <v>0</v>
      </c>
      <c r="F902" s="125">
        <f>Lista!E901</f>
        <v>0</v>
      </c>
      <c r="G902" s="125">
        <f>Lista!F901</f>
        <v>0</v>
      </c>
      <c r="H902" s="125">
        <f>Lista!G901</f>
        <v>0</v>
      </c>
      <c r="I902" s="125">
        <f>Lista!H901</f>
        <v>0</v>
      </c>
      <c r="J902" s="125">
        <f>Lista!I901</f>
        <v>0</v>
      </c>
      <c r="K902" s="125">
        <f>Lista!J901</f>
        <v>0</v>
      </c>
      <c r="L902" s="125">
        <f>Lista!K901</f>
        <v>0</v>
      </c>
      <c r="M902" s="125">
        <f>Lista!L901</f>
        <v>0</v>
      </c>
      <c r="N902" s="125">
        <f>Lista!M901</f>
        <v>0</v>
      </c>
      <c r="O902" s="125">
        <f>Lista!N901</f>
        <v>0</v>
      </c>
      <c r="P902" s="125">
        <f>Lista!O901</f>
        <v>0</v>
      </c>
      <c r="Q902" s="125">
        <f>Lista!P901</f>
        <v>0</v>
      </c>
      <c r="R902" s="125">
        <f>Lista!Q901</f>
        <v>0</v>
      </c>
      <c r="S902" s="125">
        <f>Lista!R901</f>
        <v>0</v>
      </c>
      <c r="T902" s="81"/>
      <c r="U902" s="81"/>
      <c r="V902" s="81"/>
      <c r="W902" s="81"/>
      <c r="X902" s="81"/>
      <c r="Y902" s="81"/>
      <c r="Z902" s="81"/>
      <c r="AA902" s="81"/>
      <c r="AB902" s="81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  <c r="BS902" s="81"/>
      <c r="BT902" s="81"/>
      <c r="BU902" s="81"/>
      <c r="BV902" s="81"/>
      <c r="BW902" s="81"/>
      <c r="BX902" s="81"/>
      <c r="BY902" s="81"/>
      <c r="BZ902" s="81"/>
      <c r="CA902" s="81"/>
      <c r="CB902" s="81"/>
      <c r="CC902" s="81"/>
      <c r="CD902" s="81"/>
      <c r="CE902" s="81"/>
      <c r="CF902" s="81"/>
      <c r="CG902" s="81"/>
      <c r="CH902" s="81"/>
      <c r="CI902" s="81"/>
      <c r="CJ902" s="81"/>
      <c r="CK902" s="81"/>
      <c r="CL902" s="81"/>
      <c r="CM902" s="81"/>
      <c r="CN902" s="81"/>
      <c r="CO902" s="81"/>
      <c r="CP902" s="81"/>
      <c r="CQ902" s="81"/>
      <c r="CR902" s="81"/>
      <c r="CS902" s="81"/>
      <c r="CT902" s="81"/>
      <c r="CU902" s="81"/>
      <c r="CV902" s="81"/>
      <c r="CW902" s="81"/>
      <c r="CX902" s="81"/>
      <c r="CY902" s="81"/>
      <c r="CZ902" s="81"/>
      <c r="DA902" s="81"/>
      <c r="DB902" s="81"/>
      <c r="DC902" s="81"/>
      <c r="DD902" s="81"/>
      <c r="DE902" s="81"/>
      <c r="DF902" s="81"/>
      <c r="DG902" s="81"/>
      <c r="DH902" s="81"/>
      <c r="DI902" s="81"/>
      <c r="DJ902" s="81"/>
      <c r="DK902" s="81"/>
      <c r="DL902" s="81"/>
      <c r="DM902" s="81"/>
      <c r="DN902" s="81"/>
      <c r="DO902" s="81"/>
      <c r="DP902" s="81"/>
      <c r="DQ902" s="81"/>
      <c r="DR902" s="81"/>
      <c r="DS902" s="81"/>
      <c r="DT902" s="81"/>
      <c r="DU902" s="81"/>
      <c r="DV902" s="81"/>
      <c r="DW902" s="121"/>
    </row>
    <row r="903" spans="1:127" x14ac:dyDescent="0.25">
      <c r="A903" s="2">
        <f>COUNTIF($D$2:D903,'Reporte de Nomina'!$E$2)</f>
        <v>0</v>
      </c>
      <c r="B903" s="125">
        <f>Lista!A902</f>
        <v>0</v>
      </c>
      <c r="C903" s="125">
        <f>Lista!B902</f>
        <v>0</v>
      </c>
      <c r="D903" s="125">
        <f>Lista!C902</f>
        <v>0</v>
      </c>
      <c r="E903" s="125">
        <f>Lista!D902</f>
        <v>0</v>
      </c>
      <c r="F903" s="125">
        <f>Lista!E902</f>
        <v>0</v>
      </c>
      <c r="G903" s="125">
        <f>Lista!F902</f>
        <v>0</v>
      </c>
      <c r="H903" s="125">
        <f>Lista!G902</f>
        <v>0</v>
      </c>
      <c r="I903" s="125">
        <f>Lista!H902</f>
        <v>0</v>
      </c>
      <c r="J903" s="125">
        <f>Lista!I902</f>
        <v>0</v>
      </c>
      <c r="K903" s="125">
        <f>Lista!J902</f>
        <v>0</v>
      </c>
      <c r="L903" s="125">
        <f>Lista!K902</f>
        <v>0</v>
      </c>
      <c r="M903" s="125">
        <f>Lista!L902</f>
        <v>0</v>
      </c>
      <c r="N903" s="125">
        <f>Lista!M902</f>
        <v>0</v>
      </c>
      <c r="O903" s="125">
        <f>Lista!N902</f>
        <v>0</v>
      </c>
      <c r="P903" s="125">
        <f>Lista!O902</f>
        <v>0</v>
      </c>
      <c r="Q903" s="125">
        <f>Lista!P902</f>
        <v>0</v>
      </c>
      <c r="R903" s="125">
        <f>Lista!Q902</f>
        <v>0</v>
      </c>
      <c r="S903" s="125">
        <f>Lista!R902</f>
        <v>0</v>
      </c>
      <c r="T903" s="81"/>
      <c r="U903" s="81"/>
      <c r="V903" s="81"/>
      <c r="W903" s="81"/>
      <c r="X903" s="81"/>
      <c r="Y903" s="81"/>
      <c r="Z903" s="81"/>
      <c r="AA903" s="81"/>
      <c r="AB903" s="81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  <c r="BS903" s="81"/>
      <c r="BT903" s="81"/>
      <c r="BU903" s="81"/>
      <c r="BV903" s="81"/>
      <c r="BW903" s="81"/>
      <c r="BX903" s="81"/>
      <c r="BY903" s="81"/>
      <c r="BZ903" s="81"/>
      <c r="CA903" s="81"/>
      <c r="CB903" s="81"/>
      <c r="CC903" s="81"/>
      <c r="CD903" s="81"/>
      <c r="CE903" s="81"/>
      <c r="CF903" s="81"/>
      <c r="CG903" s="81"/>
      <c r="CH903" s="81"/>
      <c r="CI903" s="81"/>
      <c r="CJ903" s="81"/>
      <c r="CK903" s="81"/>
      <c r="CL903" s="81"/>
      <c r="CM903" s="81"/>
      <c r="CN903" s="81"/>
      <c r="CO903" s="81"/>
      <c r="CP903" s="81"/>
      <c r="CQ903" s="81"/>
      <c r="CR903" s="81"/>
      <c r="CS903" s="81"/>
      <c r="CT903" s="81"/>
      <c r="CU903" s="81"/>
      <c r="CV903" s="81"/>
      <c r="CW903" s="81"/>
      <c r="CX903" s="81"/>
      <c r="CY903" s="81"/>
      <c r="CZ903" s="81"/>
      <c r="DA903" s="81"/>
      <c r="DB903" s="81"/>
      <c r="DC903" s="81"/>
      <c r="DD903" s="81"/>
      <c r="DE903" s="81"/>
      <c r="DF903" s="81"/>
      <c r="DG903" s="81"/>
      <c r="DH903" s="81"/>
      <c r="DI903" s="81"/>
      <c r="DJ903" s="81"/>
      <c r="DK903" s="81"/>
      <c r="DL903" s="81"/>
      <c r="DM903" s="81"/>
      <c r="DN903" s="81"/>
      <c r="DO903" s="81"/>
      <c r="DP903" s="81"/>
      <c r="DQ903" s="81"/>
      <c r="DR903" s="81"/>
      <c r="DS903" s="81"/>
      <c r="DT903" s="81"/>
      <c r="DU903" s="81"/>
      <c r="DV903" s="81"/>
      <c r="DW903" s="121"/>
    </row>
    <row r="904" spans="1:127" x14ac:dyDescent="0.25">
      <c r="A904" s="2">
        <f>COUNTIF($D$2:D904,'Reporte de Nomina'!$E$2)</f>
        <v>0</v>
      </c>
      <c r="B904" s="125">
        <f>Lista!A903</f>
        <v>0</v>
      </c>
      <c r="C904" s="125">
        <f>Lista!B903</f>
        <v>0</v>
      </c>
      <c r="D904" s="125">
        <f>Lista!C903</f>
        <v>0</v>
      </c>
      <c r="E904" s="125">
        <f>Lista!D903</f>
        <v>0</v>
      </c>
      <c r="F904" s="125">
        <f>Lista!E903</f>
        <v>0</v>
      </c>
      <c r="G904" s="125">
        <f>Lista!F903</f>
        <v>0</v>
      </c>
      <c r="H904" s="125">
        <f>Lista!G903</f>
        <v>0</v>
      </c>
      <c r="I904" s="125">
        <f>Lista!H903</f>
        <v>0</v>
      </c>
      <c r="J904" s="125">
        <f>Lista!I903</f>
        <v>0</v>
      </c>
      <c r="K904" s="125">
        <f>Lista!J903</f>
        <v>0</v>
      </c>
      <c r="L904" s="125">
        <f>Lista!K903</f>
        <v>0</v>
      </c>
      <c r="M904" s="125">
        <f>Lista!L903</f>
        <v>0</v>
      </c>
      <c r="N904" s="125">
        <f>Lista!M903</f>
        <v>0</v>
      </c>
      <c r="O904" s="125">
        <f>Lista!N903</f>
        <v>0</v>
      </c>
      <c r="P904" s="125">
        <f>Lista!O903</f>
        <v>0</v>
      </c>
      <c r="Q904" s="125">
        <f>Lista!P903</f>
        <v>0</v>
      </c>
      <c r="R904" s="125">
        <f>Lista!Q903</f>
        <v>0</v>
      </c>
      <c r="S904" s="125">
        <f>Lista!R903</f>
        <v>0</v>
      </c>
      <c r="T904" s="81"/>
      <c r="U904" s="81"/>
      <c r="V904" s="81"/>
      <c r="W904" s="81"/>
      <c r="X904" s="81"/>
      <c r="Y904" s="81"/>
      <c r="Z904" s="81"/>
      <c r="AA904" s="81"/>
      <c r="AB904" s="81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  <c r="BS904" s="81"/>
      <c r="BT904" s="81"/>
      <c r="BU904" s="81"/>
      <c r="BV904" s="81"/>
      <c r="BW904" s="81"/>
      <c r="BX904" s="81"/>
      <c r="BY904" s="81"/>
      <c r="BZ904" s="81"/>
      <c r="CA904" s="81"/>
      <c r="CB904" s="81"/>
      <c r="CC904" s="81"/>
      <c r="CD904" s="81"/>
      <c r="CE904" s="81"/>
      <c r="CF904" s="81"/>
      <c r="CG904" s="81"/>
      <c r="CH904" s="81"/>
      <c r="CI904" s="81"/>
      <c r="CJ904" s="81"/>
      <c r="CK904" s="81"/>
      <c r="CL904" s="81"/>
      <c r="CM904" s="81"/>
      <c r="CN904" s="81"/>
      <c r="CO904" s="81"/>
      <c r="CP904" s="81"/>
      <c r="CQ904" s="81"/>
      <c r="CR904" s="81"/>
      <c r="CS904" s="81"/>
      <c r="CT904" s="81"/>
      <c r="CU904" s="81"/>
      <c r="CV904" s="81"/>
      <c r="CW904" s="81"/>
      <c r="CX904" s="81"/>
      <c r="CY904" s="81"/>
      <c r="CZ904" s="81"/>
      <c r="DA904" s="81"/>
      <c r="DB904" s="81"/>
      <c r="DC904" s="81"/>
      <c r="DD904" s="81"/>
      <c r="DE904" s="81"/>
      <c r="DF904" s="81"/>
      <c r="DG904" s="81"/>
      <c r="DH904" s="81"/>
      <c r="DI904" s="81"/>
      <c r="DJ904" s="81"/>
      <c r="DK904" s="81"/>
      <c r="DL904" s="81"/>
      <c r="DM904" s="81"/>
      <c r="DN904" s="81"/>
      <c r="DO904" s="81"/>
      <c r="DP904" s="81"/>
      <c r="DQ904" s="81"/>
      <c r="DR904" s="81"/>
      <c r="DS904" s="81"/>
      <c r="DT904" s="81"/>
      <c r="DU904" s="81"/>
      <c r="DV904" s="81"/>
      <c r="DW904" s="121"/>
    </row>
    <row r="905" spans="1:127" x14ac:dyDescent="0.25">
      <c r="A905" s="2">
        <f>COUNTIF($D$2:D905,'Reporte de Nomina'!$E$2)</f>
        <v>0</v>
      </c>
      <c r="B905" s="125">
        <f>Lista!A904</f>
        <v>0</v>
      </c>
      <c r="C905" s="125">
        <f>Lista!B904</f>
        <v>0</v>
      </c>
      <c r="D905" s="125">
        <f>Lista!C904</f>
        <v>0</v>
      </c>
      <c r="E905" s="125">
        <f>Lista!D904</f>
        <v>0</v>
      </c>
      <c r="F905" s="125">
        <f>Lista!E904</f>
        <v>0</v>
      </c>
      <c r="G905" s="125">
        <f>Lista!F904</f>
        <v>0</v>
      </c>
      <c r="H905" s="125">
        <f>Lista!G904</f>
        <v>0</v>
      </c>
      <c r="I905" s="125">
        <f>Lista!H904</f>
        <v>0</v>
      </c>
      <c r="J905" s="125">
        <f>Lista!I904</f>
        <v>0</v>
      </c>
      <c r="K905" s="125">
        <f>Lista!J904</f>
        <v>0</v>
      </c>
      <c r="L905" s="125">
        <f>Lista!K904</f>
        <v>0</v>
      </c>
      <c r="M905" s="125">
        <f>Lista!L904</f>
        <v>0</v>
      </c>
      <c r="N905" s="125">
        <f>Lista!M904</f>
        <v>0</v>
      </c>
      <c r="O905" s="125">
        <f>Lista!N904</f>
        <v>0</v>
      </c>
      <c r="P905" s="125">
        <f>Lista!O904</f>
        <v>0</v>
      </c>
      <c r="Q905" s="125">
        <f>Lista!P904</f>
        <v>0</v>
      </c>
      <c r="R905" s="125">
        <f>Lista!Q904</f>
        <v>0</v>
      </c>
      <c r="S905" s="125">
        <f>Lista!R904</f>
        <v>0</v>
      </c>
      <c r="T905" s="81"/>
      <c r="U905" s="81"/>
      <c r="V905" s="81"/>
      <c r="W905" s="81"/>
      <c r="X905" s="81"/>
      <c r="Y905" s="81"/>
      <c r="Z905" s="81"/>
      <c r="AA905" s="81"/>
      <c r="AB905" s="81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  <c r="BS905" s="81"/>
      <c r="BT905" s="81"/>
      <c r="BU905" s="81"/>
      <c r="BV905" s="81"/>
      <c r="BW905" s="81"/>
      <c r="BX905" s="81"/>
      <c r="BY905" s="81"/>
      <c r="BZ905" s="81"/>
      <c r="CA905" s="81"/>
      <c r="CB905" s="81"/>
      <c r="CC905" s="81"/>
      <c r="CD905" s="81"/>
      <c r="CE905" s="81"/>
      <c r="CF905" s="81"/>
      <c r="CG905" s="81"/>
      <c r="CH905" s="81"/>
      <c r="CI905" s="81"/>
      <c r="CJ905" s="81"/>
      <c r="CK905" s="81"/>
      <c r="CL905" s="81"/>
      <c r="CM905" s="81"/>
      <c r="CN905" s="81"/>
      <c r="CO905" s="81"/>
      <c r="CP905" s="81"/>
      <c r="CQ905" s="81"/>
      <c r="CR905" s="81"/>
      <c r="CS905" s="81"/>
      <c r="CT905" s="81"/>
      <c r="CU905" s="81"/>
      <c r="CV905" s="81"/>
      <c r="CW905" s="81"/>
      <c r="CX905" s="81"/>
      <c r="CY905" s="81"/>
      <c r="CZ905" s="81"/>
      <c r="DA905" s="81"/>
      <c r="DB905" s="81"/>
      <c r="DC905" s="81"/>
      <c r="DD905" s="81"/>
      <c r="DE905" s="81"/>
      <c r="DF905" s="81"/>
      <c r="DG905" s="81"/>
      <c r="DH905" s="81"/>
      <c r="DI905" s="81"/>
      <c r="DJ905" s="81"/>
      <c r="DK905" s="81"/>
      <c r="DL905" s="81"/>
      <c r="DM905" s="81"/>
      <c r="DN905" s="81"/>
      <c r="DO905" s="81"/>
      <c r="DP905" s="81"/>
      <c r="DQ905" s="81"/>
      <c r="DR905" s="81"/>
      <c r="DS905" s="81"/>
      <c r="DT905" s="81"/>
      <c r="DU905" s="81"/>
      <c r="DV905" s="81"/>
      <c r="DW905" s="121"/>
    </row>
    <row r="906" spans="1:127" x14ac:dyDescent="0.25">
      <c r="A906" s="2">
        <f>COUNTIF($D$2:D906,'Reporte de Nomina'!$E$2)</f>
        <v>0</v>
      </c>
      <c r="B906" s="125">
        <f>Lista!A905</f>
        <v>0</v>
      </c>
      <c r="C906" s="125">
        <f>Lista!B905</f>
        <v>0</v>
      </c>
      <c r="D906" s="125">
        <f>Lista!C905</f>
        <v>0</v>
      </c>
      <c r="E906" s="125">
        <f>Lista!D905</f>
        <v>0</v>
      </c>
      <c r="F906" s="125">
        <f>Lista!E905</f>
        <v>0</v>
      </c>
      <c r="G906" s="125">
        <f>Lista!F905</f>
        <v>0</v>
      </c>
      <c r="H906" s="125">
        <f>Lista!G905</f>
        <v>0</v>
      </c>
      <c r="I906" s="125">
        <f>Lista!H905</f>
        <v>0</v>
      </c>
      <c r="J906" s="125">
        <f>Lista!I905</f>
        <v>0</v>
      </c>
      <c r="K906" s="125">
        <f>Lista!J905</f>
        <v>0</v>
      </c>
      <c r="L906" s="125">
        <f>Lista!K905</f>
        <v>0</v>
      </c>
      <c r="M906" s="125">
        <f>Lista!L905</f>
        <v>0</v>
      </c>
      <c r="N906" s="125">
        <f>Lista!M905</f>
        <v>0</v>
      </c>
      <c r="O906" s="125">
        <f>Lista!N905</f>
        <v>0</v>
      </c>
      <c r="P906" s="125">
        <f>Lista!O905</f>
        <v>0</v>
      </c>
      <c r="Q906" s="125">
        <f>Lista!P905</f>
        <v>0</v>
      </c>
      <c r="R906" s="125">
        <f>Lista!Q905</f>
        <v>0</v>
      </c>
      <c r="S906" s="125">
        <f>Lista!R905</f>
        <v>0</v>
      </c>
      <c r="T906" s="81"/>
      <c r="U906" s="81"/>
      <c r="V906" s="81"/>
      <c r="W906" s="81"/>
      <c r="X906" s="81"/>
      <c r="Y906" s="81"/>
      <c r="Z906" s="81"/>
      <c r="AA906" s="81"/>
      <c r="AB906" s="81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  <c r="BS906" s="81"/>
      <c r="BT906" s="81"/>
      <c r="BU906" s="81"/>
      <c r="BV906" s="81"/>
      <c r="BW906" s="81"/>
      <c r="BX906" s="81"/>
      <c r="BY906" s="81"/>
      <c r="BZ906" s="81"/>
      <c r="CA906" s="81"/>
      <c r="CB906" s="81"/>
      <c r="CC906" s="81"/>
      <c r="CD906" s="81"/>
      <c r="CE906" s="81"/>
      <c r="CF906" s="81"/>
      <c r="CG906" s="81"/>
      <c r="CH906" s="81"/>
      <c r="CI906" s="81"/>
      <c r="CJ906" s="81"/>
      <c r="CK906" s="81"/>
      <c r="CL906" s="81"/>
      <c r="CM906" s="81"/>
      <c r="CN906" s="81"/>
      <c r="CO906" s="81"/>
      <c r="CP906" s="81"/>
      <c r="CQ906" s="81"/>
      <c r="CR906" s="81"/>
      <c r="CS906" s="81"/>
      <c r="CT906" s="81"/>
      <c r="CU906" s="81"/>
      <c r="CV906" s="81"/>
      <c r="CW906" s="81"/>
      <c r="CX906" s="81"/>
      <c r="CY906" s="81"/>
      <c r="CZ906" s="81"/>
      <c r="DA906" s="81"/>
      <c r="DB906" s="81"/>
      <c r="DC906" s="81"/>
      <c r="DD906" s="81"/>
      <c r="DE906" s="81"/>
      <c r="DF906" s="81"/>
      <c r="DG906" s="81"/>
      <c r="DH906" s="81"/>
      <c r="DI906" s="81"/>
      <c r="DJ906" s="81"/>
      <c r="DK906" s="81"/>
      <c r="DL906" s="81"/>
      <c r="DM906" s="81"/>
      <c r="DN906" s="81"/>
      <c r="DO906" s="81"/>
      <c r="DP906" s="81"/>
      <c r="DQ906" s="81"/>
      <c r="DR906" s="81"/>
      <c r="DS906" s="81"/>
      <c r="DT906" s="81"/>
      <c r="DU906" s="81"/>
      <c r="DV906" s="81"/>
      <c r="DW906" s="121"/>
    </row>
    <row r="907" spans="1:127" x14ac:dyDescent="0.25">
      <c r="A907" s="2">
        <f>COUNTIF($D$2:D907,'Reporte de Nomina'!$E$2)</f>
        <v>0</v>
      </c>
      <c r="B907" s="125">
        <f>Lista!A906</f>
        <v>0</v>
      </c>
      <c r="C907" s="125">
        <f>Lista!B906</f>
        <v>0</v>
      </c>
      <c r="D907" s="125">
        <f>Lista!C906</f>
        <v>0</v>
      </c>
      <c r="E907" s="125">
        <f>Lista!D906</f>
        <v>0</v>
      </c>
      <c r="F907" s="125">
        <f>Lista!E906</f>
        <v>0</v>
      </c>
      <c r="G907" s="125">
        <f>Lista!F906</f>
        <v>0</v>
      </c>
      <c r="H907" s="125">
        <f>Lista!G906</f>
        <v>0</v>
      </c>
      <c r="I907" s="125">
        <f>Lista!H906</f>
        <v>0</v>
      </c>
      <c r="J907" s="125">
        <f>Lista!I906</f>
        <v>0</v>
      </c>
      <c r="K907" s="125">
        <f>Lista!J906</f>
        <v>0</v>
      </c>
      <c r="L907" s="125">
        <f>Lista!K906</f>
        <v>0</v>
      </c>
      <c r="M907" s="125">
        <f>Lista!L906</f>
        <v>0</v>
      </c>
      <c r="N907" s="125">
        <f>Lista!M906</f>
        <v>0</v>
      </c>
      <c r="O907" s="125">
        <f>Lista!N906</f>
        <v>0</v>
      </c>
      <c r="P907" s="125">
        <f>Lista!O906</f>
        <v>0</v>
      </c>
      <c r="Q907" s="125">
        <f>Lista!P906</f>
        <v>0</v>
      </c>
      <c r="R907" s="125">
        <f>Lista!Q906</f>
        <v>0</v>
      </c>
      <c r="S907" s="125">
        <f>Lista!R906</f>
        <v>0</v>
      </c>
      <c r="T907" s="81"/>
      <c r="U907" s="81"/>
      <c r="V907" s="81"/>
      <c r="W907" s="81"/>
      <c r="X907" s="81"/>
      <c r="Y907" s="81"/>
      <c r="Z907" s="81"/>
      <c r="AA907" s="81"/>
      <c r="AB907" s="81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  <c r="BS907" s="81"/>
      <c r="BT907" s="81"/>
      <c r="BU907" s="81"/>
      <c r="BV907" s="81"/>
      <c r="BW907" s="81"/>
      <c r="BX907" s="81"/>
      <c r="BY907" s="81"/>
      <c r="BZ907" s="81"/>
      <c r="CA907" s="81"/>
      <c r="CB907" s="81"/>
      <c r="CC907" s="81"/>
      <c r="CD907" s="81"/>
      <c r="CE907" s="81"/>
      <c r="CF907" s="81"/>
      <c r="CG907" s="81"/>
      <c r="CH907" s="81"/>
      <c r="CI907" s="81"/>
      <c r="CJ907" s="81"/>
      <c r="CK907" s="81"/>
      <c r="CL907" s="81"/>
      <c r="CM907" s="81"/>
      <c r="CN907" s="81"/>
      <c r="CO907" s="81"/>
      <c r="CP907" s="81"/>
      <c r="CQ907" s="81"/>
      <c r="CR907" s="81"/>
      <c r="CS907" s="81"/>
      <c r="CT907" s="81"/>
      <c r="CU907" s="81"/>
      <c r="CV907" s="81"/>
      <c r="CW907" s="81"/>
      <c r="CX907" s="81"/>
      <c r="CY907" s="81"/>
      <c r="CZ907" s="81"/>
      <c r="DA907" s="81"/>
      <c r="DB907" s="81"/>
      <c r="DC907" s="81"/>
      <c r="DD907" s="81"/>
      <c r="DE907" s="81"/>
      <c r="DF907" s="81"/>
      <c r="DG907" s="81"/>
      <c r="DH907" s="81"/>
      <c r="DI907" s="81"/>
      <c r="DJ907" s="81"/>
      <c r="DK907" s="81"/>
      <c r="DL907" s="81"/>
      <c r="DM907" s="81"/>
      <c r="DN907" s="81"/>
      <c r="DO907" s="81"/>
      <c r="DP907" s="81"/>
      <c r="DQ907" s="81"/>
      <c r="DR907" s="81"/>
      <c r="DS907" s="81"/>
      <c r="DT907" s="81"/>
      <c r="DU907" s="81"/>
      <c r="DV907" s="81"/>
      <c r="DW907" s="121"/>
    </row>
    <row r="908" spans="1:127" x14ac:dyDescent="0.25">
      <c r="A908" s="2">
        <f>COUNTIF($D$2:D908,'Reporte de Nomina'!$E$2)</f>
        <v>0</v>
      </c>
      <c r="B908" s="125">
        <f>Lista!A907</f>
        <v>0</v>
      </c>
      <c r="C908" s="125">
        <f>Lista!B907</f>
        <v>0</v>
      </c>
      <c r="D908" s="125">
        <f>Lista!C907</f>
        <v>0</v>
      </c>
      <c r="E908" s="125">
        <f>Lista!D907</f>
        <v>0</v>
      </c>
      <c r="F908" s="125">
        <f>Lista!E907</f>
        <v>0</v>
      </c>
      <c r="G908" s="125">
        <f>Lista!F907</f>
        <v>0</v>
      </c>
      <c r="H908" s="125">
        <f>Lista!G907</f>
        <v>0</v>
      </c>
      <c r="I908" s="125">
        <f>Lista!H907</f>
        <v>0</v>
      </c>
      <c r="J908" s="125">
        <f>Lista!I907</f>
        <v>0</v>
      </c>
      <c r="K908" s="125">
        <f>Lista!J907</f>
        <v>0</v>
      </c>
      <c r="L908" s="125">
        <f>Lista!K907</f>
        <v>0</v>
      </c>
      <c r="M908" s="125">
        <f>Lista!L907</f>
        <v>0</v>
      </c>
      <c r="N908" s="125">
        <f>Lista!M907</f>
        <v>0</v>
      </c>
      <c r="O908" s="125">
        <f>Lista!N907</f>
        <v>0</v>
      </c>
      <c r="P908" s="125">
        <f>Lista!O907</f>
        <v>0</v>
      </c>
      <c r="Q908" s="125">
        <f>Lista!P907</f>
        <v>0</v>
      </c>
      <c r="R908" s="125">
        <f>Lista!Q907</f>
        <v>0</v>
      </c>
      <c r="S908" s="125">
        <f>Lista!R907</f>
        <v>0</v>
      </c>
      <c r="T908" s="81"/>
      <c r="U908" s="81"/>
      <c r="V908" s="81"/>
      <c r="W908" s="81"/>
      <c r="X908" s="81"/>
      <c r="Y908" s="81"/>
      <c r="Z908" s="81"/>
      <c r="AA908" s="81"/>
      <c r="AB908" s="81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  <c r="BS908" s="81"/>
      <c r="BT908" s="81"/>
      <c r="BU908" s="81"/>
      <c r="BV908" s="81"/>
      <c r="BW908" s="81"/>
      <c r="BX908" s="81"/>
      <c r="BY908" s="81"/>
      <c r="BZ908" s="81"/>
      <c r="CA908" s="81"/>
      <c r="CB908" s="81"/>
      <c r="CC908" s="81"/>
      <c r="CD908" s="81"/>
      <c r="CE908" s="81"/>
      <c r="CF908" s="81"/>
      <c r="CG908" s="81"/>
      <c r="CH908" s="81"/>
      <c r="CI908" s="81"/>
      <c r="CJ908" s="81"/>
      <c r="CK908" s="81"/>
      <c r="CL908" s="81"/>
      <c r="CM908" s="81"/>
      <c r="CN908" s="81"/>
      <c r="CO908" s="81"/>
      <c r="CP908" s="81"/>
      <c r="CQ908" s="81"/>
      <c r="CR908" s="81"/>
      <c r="CS908" s="81"/>
      <c r="CT908" s="81"/>
      <c r="CU908" s="81"/>
      <c r="CV908" s="81"/>
      <c r="CW908" s="81"/>
      <c r="CX908" s="81"/>
      <c r="CY908" s="81"/>
      <c r="CZ908" s="81"/>
      <c r="DA908" s="81"/>
      <c r="DB908" s="81"/>
      <c r="DC908" s="81"/>
      <c r="DD908" s="81"/>
      <c r="DE908" s="81"/>
      <c r="DF908" s="81"/>
      <c r="DG908" s="81"/>
      <c r="DH908" s="81"/>
      <c r="DI908" s="81"/>
      <c r="DJ908" s="81"/>
      <c r="DK908" s="81"/>
      <c r="DL908" s="81"/>
      <c r="DM908" s="81"/>
      <c r="DN908" s="81"/>
      <c r="DO908" s="81"/>
      <c r="DP908" s="81"/>
      <c r="DQ908" s="81"/>
      <c r="DR908" s="81"/>
      <c r="DS908" s="81"/>
      <c r="DT908" s="81"/>
      <c r="DU908" s="81"/>
      <c r="DV908" s="81"/>
      <c r="DW908" s="121"/>
    </row>
    <row r="909" spans="1:127" x14ac:dyDescent="0.25">
      <c r="A909" s="2">
        <f>COUNTIF($D$2:D909,'Reporte de Nomina'!$E$2)</f>
        <v>0</v>
      </c>
      <c r="B909" s="125">
        <f>Lista!A908</f>
        <v>0</v>
      </c>
      <c r="C909" s="125">
        <f>Lista!B908</f>
        <v>0</v>
      </c>
      <c r="D909" s="125">
        <f>Lista!C908</f>
        <v>0</v>
      </c>
      <c r="E909" s="125">
        <f>Lista!D908</f>
        <v>0</v>
      </c>
      <c r="F909" s="125">
        <f>Lista!E908</f>
        <v>0</v>
      </c>
      <c r="G909" s="125">
        <f>Lista!F908</f>
        <v>0</v>
      </c>
      <c r="H909" s="125">
        <f>Lista!G908</f>
        <v>0</v>
      </c>
      <c r="I909" s="125">
        <f>Lista!H908</f>
        <v>0</v>
      </c>
      <c r="J909" s="125">
        <f>Lista!I908</f>
        <v>0</v>
      </c>
      <c r="K909" s="125">
        <f>Lista!J908</f>
        <v>0</v>
      </c>
      <c r="L909" s="125">
        <f>Lista!K908</f>
        <v>0</v>
      </c>
      <c r="M909" s="125">
        <f>Lista!L908</f>
        <v>0</v>
      </c>
      <c r="N909" s="125">
        <f>Lista!M908</f>
        <v>0</v>
      </c>
      <c r="O909" s="125">
        <f>Lista!N908</f>
        <v>0</v>
      </c>
      <c r="P909" s="125">
        <f>Lista!O908</f>
        <v>0</v>
      </c>
      <c r="Q909" s="125">
        <f>Lista!P908</f>
        <v>0</v>
      </c>
      <c r="R909" s="125">
        <f>Lista!Q908</f>
        <v>0</v>
      </c>
      <c r="S909" s="125">
        <f>Lista!R908</f>
        <v>0</v>
      </c>
      <c r="T909" s="81"/>
      <c r="U909" s="81"/>
      <c r="V909" s="81"/>
      <c r="W909" s="81"/>
      <c r="X909" s="81"/>
      <c r="Y909" s="81"/>
      <c r="Z909" s="81"/>
      <c r="AA909" s="81"/>
      <c r="AB909" s="81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  <c r="BS909" s="81"/>
      <c r="BT909" s="81"/>
      <c r="BU909" s="81"/>
      <c r="BV909" s="81"/>
      <c r="BW909" s="81"/>
      <c r="BX909" s="81"/>
      <c r="BY909" s="81"/>
      <c r="BZ909" s="81"/>
      <c r="CA909" s="81"/>
      <c r="CB909" s="81"/>
      <c r="CC909" s="81"/>
      <c r="CD909" s="81"/>
      <c r="CE909" s="81"/>
      <c r="CF909" s="81"/>
      <c r="CG909" s="81"/>
      <c r="CH909" s="81"/>
      <c r="CI909" s="81"/>
      <c r="CJ909" s="81"/>
      <c r="CK909" s="81"/>
      <c r="CL909" s="81"/>
      <c r="CM909" s="81"/>
      <c r="CN909" s="81"/>
      <c r="CO909" s="81"/>
      <c r="CP909" s="81"/>
      <c r="CQ909" s="81"/>
      <c r="CR909" s="81"/>
      <c r="CS909" s="81"/>
      <c r="CT909" s="81"/>
      <c r="CU909" s="81"/>
      <c r="CV909" s="81"/>
      <c r="CW909" s="81"/>
      <c r="CX909" s="81"/>
      <c r="CY909" s="81"/>
      <c r="CZ909" s="81"/>
      <c r="DA909" s="81"/>
      <c r="DB909" s="81"/>
      <c r="DC909" s="81"/>
      <c r="DD909" s="81"/>
      <c r="DE909" s="81"/>
      <c r="DF909" s="81"/>
      <c r="DG909" s="81"/>
      <c r="DH909" s="81"/>
      <c r="DI909" s="81"/>
      <c r="DJ909" s="81"/>
      <c r="DK909" s="81"/>
      <c r="DL909" s="81"/>
      <c r="DM909" s="81"/>
      <c r="DN909" s="81"/>
      <c r="DO909" s="81"/>
      <c r="DP909" s="81"/>
      <c r="DQ909" s="81"/>
      <c r="DR909" s="81"/>
      <c r="DS909" s="81"/>
      <c r="DT909" s="81"/>
      <c r="DU909" s="81"/>
      <c r="DV909" s="81"/>
      <c r="DW909" s="121"/>
    </row>
    <row r="910" spans="1:127" x14ac:dyDescent="0.25">
      <c r="A910" s="2">
        <f>COUNTIF($D$2:D910,'Reporte de Nomina'!$E$2)</f>
        <v>0</v>
      </c>
      <c r="B910" s="125">
        <f>Lista!A909</f>
        <v>0</v>
      </c>
      <c r="C910" s="125">
        <f>Lista!B909</f>
        <v>0</v>
      </c>
      <c r="D910" s="125">
        <f>Lista!C909</f>
        <v>0</v>
      </c>
      <c r="E910" s="125">
        <f>Lista!D909</f>
        <v>0</v>
      </c>
      <c r="F910" s="125">
        <f>Lista!E909</f>
        <v>0</v>
      </c>
      <c r="G910" s="125">
        <f>Lista!F909</f>
        <v>0</v>
      </c>
      <c r="H910" s="125">
        <f>Lista!G909</f>
        <v>0</v>
      </c>
      <c r="I910" s="125">
        <f>Lista!H909</f>
        <v>0</v>
      </c>
      <c r="J910" s="125">
        <f>Lista!I909</f>
        <v>0</v>
      </c>
      <c r="K910" s="125">
        <f>Lista!J909</f>
        <v>0</v>
      </c>
      <c r="L910" s="125">
        <f>Lista!K909</f>
        <v>0</v>
      </c>
      <c r="M910" s="125">
        <f>Lista!L909</f>
        <v>0</v>
      </c>
      <c r="N910" s="125">
        <f>Lista!M909</f>
        <v>0</v>
      </c>
      <c r="O910" s="125">
        <f>Lista!N909</f>
        <v>0</v>
      </c>
      <c r="P910" s="125">
        <f>Lista!O909</f>
        <v>0</v>
      </c>
      <c r="Q910" s="125">
        <f>Lista!P909</f>
        <v>0</v>
      </c>
      <c r="R910" s="125">
        <f>Lista!Q909</f>
        <v>0</v>
      </c>
      <c r="S910" s="125">
        <f>Lista!R909</f>
        <v>0</v>
      </c>
      <c r="T910" s="81"/>
      <c r="U910" s="81"/>
      <c r="V910" s="81"/>
      <c r="W910" s="81"/>
      <c r="X910" s="81"/>
      <c r="Y910" s="81"/>
      <c r="Z910" s="81"/>
      <c r="AA910" s="81"/>
      <c r="AB910" s="81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  <c r="BS910" s="81"/>
      <c r="BT910" s="81"/>
      <c r="BU910" s="81"/>
      <c r="BV910" s="81"/>
      <c r="BW910" s="81"/>
      <c r="BX910" s="81"/>
      <c r="BY910" s="81"/>
      <c r="BZ910" s="81"/>
      <c r="CA910" s="81"/>
      <c r="CB910" s="81"/>
      <c r="CC910" s="81"/>
      <c r="CD910" s="81"/>
      <c r="CE910" s="81"/>
      <c r="CF910" s="81"/>
      <c r="CG910" s="81"/>
      <c r="CH910" s="81"/>
      <c r="CI910" s="81"/>
      <c r="CJ910" s="81"/>
      <c r="CK910" s="81"/>
      <c r="CL910" s="81"/>
      <c r="CM910" s="81"/>
      <c r="CN910" s="81"/>
      <c r="CO910" s="81"/>
      <c r="CP910" s="81"/>
      <c r="CQ910" s="81"/>
      <c r="CR910" s="81"/>
      <c r="CS910" s="81"/>
      <c r="CT910" s="81"/>
      <c r="CU910" s="81"/>
      <c r="CV910" s="81"/>
      <c r="CW910" s="81"/>
      <c r="CX910" s="81"/>
      <c r="CY910" s="81"/>
      <c r="CZ910" s="81"/>
      <c r="DA910" s="81"/>
      <c r="DB910" s="81"/>
      <c r="DC910" s="81"/>
      <c r="DD910" s="81"/>
      <c r="DE910" s="81"/>
      <c r="DF910" s="81"/>
      <c r="DG910" s="81"/>
      <c r="DH910" s="81"/>
      <c r="DI910" s="81"/>
      <c r="DJ910" s="81"/>
      <c r="DK910" s="81"/>
      <c r="DL910" s="81"/>
      <c r="DM910" s="81"/>
      <c r="DN910" s="81"/>
      <c r="DO910" s="81"/>
      <c r="DP910" s="81"/>
      <c r="DQ910" s="81"/>
      <c r="DR910" s="81"/>
      <c r="DS910" s="81"/>
      <c r="DT910" s="81"/>
      <c r="DU910" s="81"/>
      <c r="DV910" s="81"/>
      <c r="DW910" s="121"/>
    </row>
    <row r="911" spans="1:127" x14ac:dyDescent="0.25">
      <c r="A911" s="2">
        <f>COUNTIF($D$2:D911,'Reporte de Nomina'!$E$2)</f>
        <v>0</v>
      </c>
      <c r="B911" s="125">
        <f>Lista!A910</f>
        <v>0</v>
      </c>
      <c r="C911" s="125">
        <f>Lista!B910</f>
        <v>0</v>
      </c>
      <c r="D911" s="125">
        <f>Lista!C910</f>
        <v>0</v>
      </c>
      <c r="E911" s="125">
        <f>Lista!D910</f>
        <v>0</v>
      </c>
      <c r="F911" s="125">
        <f>Lista!E910</f>
        <v>0</v>
      </c>
      <c r="G911" s="125">
        <f>Lista!F910</f>
        <v>0</v>
      </c>
      <c r="H911" s="125">
        <f>Lista!G910</f>
        <v>0</v>
      </c>
      <c r="I911" s="125">
        <f>Lista!H910</f>
        <v>0</v>
      </c>
      <c r="J911" s="125">
        <f>Lista!I910</f>
        <v>0</v>
      </c>
      <c r="K911" s="125">
        <f>Lista!J910</f>
        <v>0</v>
      </c>
      <c r="L911" s="125">
        <f>Lista!K910</f>
        <v>0</v>
      </c>
      <c r="M911" s="125">
        <f>Lista!L910</f>
        <v>0</v>
      </c>
      <c r="N911" s="125">
        <f>Lista!M910</f>
        <v>0</v>
      </c>
      <c r="O911" s="125">
        <f>Lista!N910</f>
        <v>0</v>
      </c>
      <c r="P911" s="125">
        <f>Lista!O910</f>
        <v>0</v>
      </c>
      <c r="Q911" s="125">
        <f>Lista!P910</f>
        <v>0</v>
      </c>
      <c r="R911" s="125">
        <f>Lista!Q910</f>
        <v>0</v>
      </c>
      <c r="S911" s="125">
        <f>Lista!R910</f>
        <v>0</v>
      </c>
      <c r="T911" s="81"/>
      <c r="U911" s="81"/>
      <c r="V911" s="81"/>
      <c r="W911" s="81"/>
      <c r="X911" s="81"/>
      <c r="Y911" s="81"/>
      <c r="Z911" s="81"/>
      <c r="AA911" s="81"/>
      <c r="AB911" s="81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  <c r="BS911" s="81"/>
      <c r="BT911" s="81"/>
      <c r="BU911" s="81"/>
      <c r="BV911" s="81"/>
      <c r="BW911" s="81"/>
      <c r="BX911" s="81"/>
      <c r="BY911" s="81"/>
      <c r="BZ911" s="81"/>
      <c r="CA911" s="81"/>
      <c r="CB911" s="81"/>
      <c r="CC911" s="81"/>
      <c r="CD911" s="81"/>
      <c r="CE911" s="81"/>
      <c r="CF911" s="81"/>
      <c r="CG911" s="81"/>
      <c r="CH911" s="81"/>
      <c r="CI911" s="81"/>
      <c r="CJ911" s="81"/>
      <c r="CK911" s="81"/>
      <c r="CL911" s="81"/>
      <c r="CM911" s="81"/>
      <c r="CN911" s="81"/>
      <c r="CO911" s="81"/>
      <c r="CP911" s="81"/>
      <c r="CQ911" s="81"/>
      <c r="CR911" s="81"/>
      <c r="CS911" s="81"/>
      <c r="CT911" s="81"/>
      <c r="CU911" s="81"/>
      <c r="CV911" s="81"/>
      <c r="CW911" s="81"/>
      <c r="CX911" s="81"/>
      <c r="CY911" s="81"/>
      <c r="CZ911" s="81"/>
      <c r="DA911" s="81"/>
      <c r="DB911" s="81"/>
      <c r="DC911" s="81"/>
      <c r="DD911" s="81"/>
      <c r="DE911" s="81"/>
      <c r="DF911" s="81"/>
      <c r="DG911" s="81"/>
      <c r="DH911" s="81"/>
      <c r="DI911" s="81"/>
      <c r="DJ911" s="81"/>
      <c r="DK911" s="81"/>
      <c r="DL911" s="81"/>
      <c r="DM911" s="81"/>
      <c r="DN911" s="81"/>
      <c r="DO911" s="81"/>
      <c r="DP911" s="81"/>
      <c r="DQ911" s="81"/>
      <c r="DR911" s="81"/>
      <c r="DS911" s="81"/>
      <c r="DT911" s="81"/>
      <c r="DU911" s="81"/>
      <c r="DV911" s="81"/>
      <c r="DW911" s="121"/>
    </row>
    <row r="912" spans="1:127" x14ac:dyDescent="0.25">
      <c r="A912" s="2">
        <f>COUNTIF($D$2:D912,'Reporte de Nomina'!$E$2)</f>
        <v>0</v>
      </c>
      <c r="B912" s="125">
        <f>Lista!A911</f>
        <v>0</v>
      </c>
      <c r="C912" s="125">
        <f>Lista!B911</f>
        <v>0</v>
      </c>
      <c r="D912" s="125">
        <f>Lista!C911</f>
        <v>0</v>
      </c>
      <c r="E912" s="125">
        <f>Lista!D911</f>
        <v>0</v>
      </c>
      <c r="F912" s="125">
        <f>Lista!E911</f>
        <v>0</v>
      </c>
      <c r="G912" s="125">
        <f>Lista!F911</f>
        <v>0</v>
      </c>
      <c r="H912" s="125">
        <f>Lista!G911</f>
        <v>0</v>
      </c>
      <c r="I912" s="125">
        <f>Lista!H911</f>
        <v>0</v>
      </c>
      <c r="J912" s="125">
        <f>Lista!I911</f>
        <v>0</v>
      </c>
      <c r="K912" s="125">
        <f>Lista!J911</f>
        <v>0</v>
      </c>
      <c r="L912" s="125">
        <f>Lista!K911</f>
        <v>0</v>
      </c>
      <c r="M912" s="125">
        <f>Lista!L911</f>
        <v>0</v>
      </c>
      <c r="N912" s="125">
        <f>Lista!M911</f>
        <v>0</v>
      </c>
      <c r="O912" s="125">
        <f>Lista!N911</f>
        <v>0</v>
      </c>
      <c r="P912" s="125">
        <f>Lista!O911</f>
        <v>0</v>
      </c>
      <c r="Q912" s="125">
        <f>Lista!P911</f>
        <v>0</v>
      </c>
      <c r="R912" s="125">
        <f>Lista!Q911</f>
        <v>0</v>
      </c>
      <c r="S912" s="125">
        <f>Lista!R911</f>
        <v>0</v>
      </c>
      <c r="T912" s="81"/>
      <c r="U912" s="81"/>
      <c r="V912" s="81"/>
      <c r="W912" s="81"/>
      <c r="X912" s="81"/>
      <c r="Y912" s="81"/>
      <c r="Z912" s="81"/>
      <c r="AA912" s="81"/>
      <c r="AB912" s="81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  <c r="BS912" s="81"/>
      <c r="BT912" s="81"/>
      <c r="BU912" s="81"/>
      <c r="BV912" s="81"/>
      <c r="BW912" s="81"/>
      <c r="BX912" s="81"/>
      <c r="BY912" s="81"/>
      <c r="BZ912" s="81"/>
      <c r="CA912" s="81"/>
      <c r="CB912" s="81"/>
      <c r="CC912" s="81"/>
      <c r="CD912" s="81"/>
      <c r="CE912" s="81"/>
      <c r="CF912" s="81"/>
      <c r="CG912" s="81"/>
      <c r="CH912" s="81"/>
      <c r="CI912" s="81"/>
      <c r="CJ912" s="81"/>
      <c r="CK912" s="81"/>
      <c r="CL912" s="81"/>
      <c r="CM912" s="81"/>
      <c r="CN912" s="81"/>
      <c r="CO912" s="81"/>
      <c r="CP912" s="81"/>
      <c r="CQ912" s="81"/>
      <c r="CR912" s="81"/>
      <c r="CS912" s="81"/>
      <c r="CT912" s="81"/>
      <c r="CU912" s="81"/>
      <c r="CV912" s="81"/>
      <c r="CW912" s="81"/>
      <c r="CX912" s="81"/>
      <c r="CY912" s="81"/>
      <c r="CZ912" s="81"/>
      <c r="DA912" s="81"/>
      <c r="DB912" s="81"/>
      <c r="DC912" s="81"/>
      <c r="DD912" s="81"/>
      <c r="DE912" s="81"/>
      <c r="DF912" s="81"/>
      <c r="DG912" s="81"/>
      <c r="DH912" s="81"/>
      <c r="DI912" s="81"/>
      <c r="DJ912" s="81"/>
      <c r="DK912" s="81"/>
      <c r="DL912" s="81"/>
      <c r="DM912" s="81"/>
      <c r="DN912" s="81"/>
      <c r="DO912" s="81"/>
      <c r="DP912" s="81"/>
      <c r="DQ912" s="81"/>
      <c r="DR912" s="81"/>
      <c r="DS912" s="81"/>
      <c r="DT912" s="81"/>
      <c r="DU912" s="81"/>
      <c r="DV912" s="81"/>
      <c r="DW912" s="121"/>
    </row>
    <row r="913" spans="1:127" x14ac:dyDescent="0.25">
      <c r="A913" s="2">
        <f>COUNTIF($D$2:D913,'Reporte de Nomina'!$E$2)</f>
        <v>0</v>
      </c>
      <c r="B913" s="125">
        <f>Lista!A912</f>
        <v>0</v>
      </c>
      <c r="C913" s="125">
        <f>Lista!B912</f>
        <v>0</v>
      </c>
      <c r="D913" s="125">
        <f>Lista!C912</f>
        <v>0</v>
      </c>
      <c r="E913" s="125">
        <f>Lista!D912</f>
        <v>0</v>
      </c>
      <c r="F913" s="125">
        <f>Lista!E912</f>
        <v>0</v>
      </c>
      <c r="G913" s="125">
        <f>Lista!F912</f>
        <v>0</v>
      </c>
      <c r="H913" s="125">
        <f>Lista!G912</f>
        <v>0</v>
      </c>
      <c r="I913" s="125">
        <f>Lista!H912</f>
        <v>0</v>
      </c>
      <c r="J913" s="125">
        <f>Lista!I912</f>
        <v>0</v>
      </c>
      <c r="K913" s="125">
        <f>Lista!J912</f>
        <v>0</v>
      </c>
      <c r="L913" s="125">
        <f>Lista!K912</f>
        <v>0</v>
      </c>
      <c r="M913" s="125">
        <f>Lista!L912</f>
        <v>0</v>
      </c>
      <c r="N913" s="125">
        <f>Lista!M912</f>
        <v>0</v>
      </c>
      <c r="O913" s="125">
        <f>Lista!N912</f>
        <v>0</v>
      </c>
      <c r="P913" s="125">
        <f>Lista!O912</f>
        <v>0</v>
      </c>
      <c r="Q913" s="125">
        <f>Lista!P912</f>
        <v>0</v>
      </c>
      <c r="R913" s="125">
        <f>Lista!Q912</f>
        <v>0</v>
      </c>
      <c r="S913" s="125">
        <f>Lista!R912</f>
        <v>0</v>
      </c>
      <c r="T913" s="81"/>
      <c r="U913" s="81"/>
      <c r="V913" s="81"/>
      <c r="W913" s="81"/>
      <c r="X913" s="81"/>
      <c r="Y913" s="81"/>
      <c r="Z913" s="81"/>
      <c r="AA913" s="81"/>
      <c r="AB913" s="81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  <c r="BS913" s="81"/>
      <c r="BT913" s="81"/>
      <c r="BU913" s="81"/>
      <c r="BV913" s="81"/>
      <c r="BW913" s="81"/>
      <c r="BX913" s="81"/>
      <c r="BY913" s="81"/>
      <c r="BZ913" s="81"/>
      <c r="CA913" s="81"/>
      <c r="CB913" s="81"/>
      <c r="CC913" s="81"/>
      <c r="CD913" s="81"/>
      <c r="CE913" s="81"/>
      <c r="CF913" s="81"/>
      <c r="CG913" s="81"/>
      <c r="CH913" s="81"/>
      <c r="CI913" s="81"/>
      <c r="CJ913" s="81"/>
      <c r="CK913" s="81"/>
      <c r="CL913" s="81"/>
      <c r="CM913" s="81"/>
      <c r="CN913" s="81"/>
      <c r="CO913" s="81"/>
      <c r="CP913" s="81"/>
      <c r="CQ913" s="81"/>
      <c r="CR913" s="81"/>
      <c r="CS913" s="81"/>
      <c r="CT913" s="81"/>
      <c r="CU913" s="81"/>
      <c r="CV913" s="81"/>
      <c r="CW913" s="81"/>
      <c r="CX913" s="81"/>
      <c r="CY913" s="81"/>
      <c r="CZ913" s="81"/>
      <c r="DA913" s="81"/>
      <c r="DB913" s="81"/>
      <c r="DC913" s="81"/>
      <c r="DD913" s="81"/>
      <c r="DE913" s="81"/>
      <c r="DF913" s="81"/>
      <c r="DG913" s="81"/>
      <c r="DH913" s="81"/>
      <c r="DI913" s="81"/>
      <c r="DJ913" s="81"/>
      <c r="DK913" s="81"/>
      <c r="DL913" s="81"/>
      <c r="DM913" s="81"/>
      <c r="DN913" s="81"/>
      <c r="DO913" s="81"/>
      <c r="DP913" s="81"/>
      <c r="DQ913" s="81"/>
      <c r="DR913" s="81"/>
      <c r="DS913" s="81"/>
      <c r="DT913" s="81"/>
      <c r="DU913" s="81"/>
      <c r="DV913" s="81"/>
      <c r="DW913" s="121"/>
    </row>
    <row r="914" spans="1:127" x14ac:dyDescent="0.25">
      <c r="A914" s="2">
        <f>COUNTIF($D$2:D914,'Reporte de Nomina'!$E$2)</f>
        <v>0</v>
      </c>
      <c r="B914" s="125">
        <f>Lista!A913</f>
        <v>0</v>
      </c>
      <c r="C914" s="125">
        <f>Lista!B913</f>
        <v>0</v>
      </c>
      <c r="D914" s="125">
        <f>Lista!C913</f>
        <v>0</v>
      </c>
      <c r="E914" s="125">
        <f>Lista!D913</f>
        <v>0</v>
      </c>
      <c r="F914" s="125">
        <f>Lista!E913</f>
        <v>0</v>
      </c>
      <c r="G914" s="125">
        <f>Lista!F913</f>
        <v>0</v>
      </c>
      <c r="H914" s="125">
        <f>Lista!G913</f>
        <v>0</v>
      </c>
      <c r="I914" s="125">
        <f>Lista!H913</f>
        <v>0</v>
      </c>
      <c r="J914" s="125">
        <f>Lista!I913</f>
        <v>0</v>
      </c>
      <c r="K914" s="125">
        <f>Lista!J913</f>
        <v>0</v>
      </c>
      <c r="L914" s="125">
        <f>Lista!K913</f>
        <v>0</v>
      </c>
      <c r="M914" s="125">
        <f>Lista!L913</f>
        <v>0</v>
      </c>
      <c r="N914" s="125">
        <f>Lista!M913</f>
        <v>0</v>
      </c>
      <c r="O914" s="125">
        <f>Lista!N913</f>
        <v>0</v>
      </c>
      <c r="P914" s="125">
        <f>Lista!O913</f>
        <v>0</v>
      </c>
      <c r="Q914" s="125">
        <f>Lista!P913</f>
        <v>0</v>
      </c>
      <c r="R914" s="125">
        <f>Lista!Q913</f>
        <v>0</v>
      </c>
      <c r="S914" s="125">
        <f>Lista!R913</f>
        <v>0</v>
      </c>
      <c r="T914" s="81"/>
      <c r="U914" s="81"/>
      <c r="V914" s="81"/>
      <c r="W914" s="81"/>
      <c r="X914" s="81"/>
      <c r="Y914" s="81"/>
      <c r="Z914" s="81"/>
      <c r="AA914" s="81"/>
      <c r="AB914" s="81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  <c r="BS914" s="81"/>
      <c r="BT914" s="81"/>
      <c r="BU914" s="81"/>
      <c r="BV914" s="81"/>
      <c r="BW914" s="81"/>
      <c r="BX914" s="81"/>
      <c r="BY914" s="81"/>
      <c r="BZ914" s="81"/>
      <c r="CA914" s="81"/>
      <c r="CB914" s="81"/>
      <c r="CC914" s="81"/>
      <c r="CD914" s="81"/>
      <c r="CE914" s="81"/>
      <c r="CF914" s="81"/>
      <c r="CG914" s="81"/>
      <c r="CH914" s="81"/>
      <c r="CI914" s="81"/>
      <c r="CJ914" s="81"/>
      <c r="CK914" s="81"/>
      <c r="CL914" s="81"/>
      <c r="CM914" s="81"/>
      <c r="CN914" s="81"/>
      <c r="CO914" s="81"/>
      <c r="CP914" s="81"/>
      <c r="CQ914" s="81"/>
      <c r="CR914" s="81"/>
      <c r="CS914" s="81"/>
      <c r="CT914" s="81"/>
      <c r="CU914" s="81"/>
      <c r="CV914" s="81"/>
      <c r="CW914" s="81"/>
      <c r="CX914" s="81"/>
      <c r="CY914" s="81"/>
      <c r="CZ914" s="81"/>
      <c r="DA914" s="81"/>
      <c r="DB914" s="81"/>
      <c r="DC914" s="81"/>
      <c r="DD914" s="81"/>
      <c r="DE914" s="81"/>
      <c r="DF914" s="81"/>
      <c r="DG914" s="81"/>
      <c r="DH914" s="81"/>
      <c r="DI914" s="81"/>
      <c r="DJ914" s="81"/>
      <c r="DK914" s="81"/>
      <c r="DL914" s="81"/>
      <c r="DM914" s="81"/>
      <c r="DN914" s="81"/>
      <c r="DO914" s="81"/>
      <c r="DP914" s="81"/>
      <c r="DQ914" s="81"/>
      <c r="DR914" s="81"/>
      <c r="DS914" s="81"/>
      <c r="DT914" s="81"/>
      <c r="DU914" s="81"/>
      <c r="DV914" s="81"/>
      <c r="DW914" s="121"/>
    </row>
    <row r="915" spans="1:127" x14ac:dyDescent="0.25">
      <c r="A915" s="2">
        <f>COUNTIF($D$2:D915,'Reporte de Nomina'!$E$2)</f>
        <v>0</v>
      </c>
      <c r="B915" s="125">
        <f>Lista!A914</f>
        <v>0</v>
      </c>
      <c r="C915" s="125">
        <f>Lista!B914</f>
        <v>0</v>
      </c>
      <c r="D915" s="125">
        <f>Lista!C914</f>
        <v>0</v>
      </c>
      <c r="E915" s="125">
        <f>Lista!D914</f>
        <v>0</v>
      </c>
      <c r="F915" s="125">
        <f>Lista!E914</f>
        <v>0</v>
      </c>
      <c r="G915" s="125">
        <f>Lista!F914</f>
        <v>0</v>
      </c>
      <c r="H915" s="125">
        <f>Lista!G914</f>
        <v>0</v>
      </c>
      <c r="I915" s="125">
        <f>Lista!H914</f>
        <v>0</v>
      </c>
      <c r="J915" s="125">
        <f>Lista!I914</f>
        <v>0</v>
      </c>
      <c r="K915" s="125">
        <f>Lista!J914</f>
        <v>0</v>
      </c>
      <c r="L915" s="125">
        <f>Lista!K914</f>
        <v>0</v>
      </c>
      <c r="M915" s="125">
        <f>Lista!L914</f>
        <v>0</v>
      </c>
      <c r="N915" s="125">
        <f>Lista!M914</f>
        <v>0</v>
      </c>
      <c r="O915" s="125">
        <f>Lista!N914</f>
        <v>0</v>
      </c>
      <c r="P915" s="125">
        <f>Lista!O914</f>
        <v>0</v>
      </c>
      <c r="Q915" s="125">
        <f>Lista!P914</f>
        <v>0</v>
      </c>
      <c r="R915" s="125">
        <f>Lista!Q914</f>
        <v>0</v>
      </c>
      <c r="S915" s="125">
        <f>Lista!R914</f>
        <v>0</v>
      </c>
      <c r="T915" s="81"/>
      <c r="U915" s="81"/>
      <c r="V915" s="81"/>
      <c r="W915" s="81"/>
      <c r="X915" s="81"/>
      <c r="Y915" s="81"/>
      <c r="Z915" s="81"/>
      <c r="AA915" s="81"/>
      <c r="AB915" s="81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  <c r="BS915" s="81"/>
      <c r="BT915" s="81"/>
      <c r="BU915" s="81"/>
      <c r="BV915" s="81"/>
      <c r="BW915" s="81"/>
      <c r="BX915" s="81"/>
      <c r="BY915" s="81"/>
      <c r="BZ915" s="81"/>
      <c r="CA915" s="81"/>
      <c r="CB915" s="81"/>
      <c r="CC915" s="81"/>
      <c r="CD915" s="81"/>
      <c r="CE915" s="81"/>
      <c r="CF915" s="81"/>
      <c r="CG915" s="81"/>
      <c r="CH915" s="81"/>
      <c r="CI915" s="81"/>
      <c r="CJ915" s="81"/>
      <c r="CK915" s="81"/>
      <c r="CL915" s="81"/>
      <c r="CM915" s="81"/>
      <c r="CN915" s="81"/>
      <c r="CO915" s="81"/>
      <c r="CP915" s="81"/>
      <c r="CQ915" s="81"/>
      <c r="CR915" s="81"/>
      <c r="CS915" s="81"/>
      <c r="CT915" s="81"/>
      <c r="CU915" s="81"/>
      <c r="CV915" s="81"/>
      <c r="CW915" s="81"/>
      <c r="CX915" s="81"/>
      <c r="CY915" s="81"/>
      <c r="CZ915" s="81"/>
      <c r="DA915" s="81"/>
      <c r="DB915" s="81"/>
      <c r="DC915" s="81"/>
      <c r="DD915" s="81"/>
      <c r="DE915" s="81"/>
      <c r="DF915" s="81"/>
      <c r="DG915" s="81"/>
      <c r="DH915" s="81"/>
      <c r="DI915" s="81"/>
      <c r="DJ915" s="81"/>
      <c r="DK915" s="81"/>
      <c r="DL915" s="81"/>
      <c r="DM915" s="81"/>
      <c r="DN915" s="81"/>
      <c r="DO915" s="81"/>
      <c r="DP915" s="81"/>
      <c r="DQ915" s="81"/>
      <c r="DR915" s="81"/>
      <c r="DS915" s="81"/>
      <c r="DT915" s="81"/>
      <c r="DU915" s="81"/>
      <c r="DV915" s="81"/>
      <c r="DW915" s="121"/>
    </row>
    <row r="916" spans="1:127" x14ac:dyDescent="0.25">
      <c r="A916" s="2">
        <f>COUNTIF($D$2:D916,'Reporte de Nomina'!$E$2)</f>
        <v>0</v>
      </c>
      <c r="B916" s="125">
        <f>Lista!A915</f>
        <v>0</v>
      </c>
      <c r="C916" s="125">
        <f>Lista!B915</f>
        <v>0</v>
      </c>
      <c r="D916" s="125">
        <f>Lista!C915</f>
        <v>0</v>
      </c>
      <c r="E916" s="125">
        <f>Lista!D915</f>
        <v>0</v>
      </c>
      <c r="F916" s="125">
        <f>Lista!E915</f>
        <v>0</v>
      </c>
      <c r="G916" s="125">
        <f>Lista!F915</f>
        <v>0</v>
      </c>
      <c r="H916" s="125">
        <f>Lista!G915</f>
        <v>0</v>
      </c>
      <c r="I916" s="125">
        <f>Lista!H915</f>
        <v>0</v>
      </c>
      <c r="J916" s="125">
        <f>Lista!I915</f>
        <v>0</v>
      </c>
      <c r="K916" s="125">
        <f>Lista!J915</f>
        <v>0</v>
      </c>
      <c r="L916" s="125">
        <f>Lista!K915</f>
        <v>0</v>
      </c>
      <c r="M916" s="125">
        <f>Lista!L915</f>
        <v>0</v>
      </c>
      <c r="N916" s="125">
        <f>Lista!M915</f>
        <v>0</v>
      </c>
      <c r="O916" s="125">
        <f>Lista!N915</f>
        <v>0</v>
      </c>
      <c r="P916" s="125">
        <f>Lista!O915</f>
        <v>0</v>
      </c>
      <c r="Q916" s="125">
        <f>Lista!P915</f>
        <v>0</v>
      </c>
      <c r="R916" s="125">
        <f>Lista!Q915</f>
        <v>0</v>
      </c>
      <c r="S916" s="125">
        <f>Lista!R915</f>
        <v>0</v>
      </c>
      <c r="T916" s="81"/>
      <c r="U916" s="81"/>
      <c r="V916" s="81"/>
      <c r="W916" s="81"/>
      <c r="X916" s="81"/>
      <c r="Y916" s="81"/>
      <c r="Z916" s="81"/>
      <c r="AA916" s="81"/>
      <c r="AB916" s="81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  <c r="BS916" s="81"/>
      <c r="BT916" s="81"/>
      <c r="BU916" s="81"/>
      <c r="BV916" s="81"/>
      <c r="BW916" s="81"/>
      <c r="BX916" s="81"/>
      <c r="BY916" s="81"/>
      <c r="BZ916" s="81"/>
      <c r="CA916" s="81"/>
      <c r="CB916" s="81"/>
      <c r="CC916" s="81"/>
      <c r="CD916" s="81"/>
      <c r="CE916" s="81"/>
      <c r="CF916" s="81"/>
      <c r="CG916" s="81"/>
      <c r="CH916" s="81"/>
      <c r="CI916" s="81"/>
      <c r="CJ916" s="81"/>
      <c r="CK916" s="81"/>
      <c r="CL916" s="81"/>
      <c r="CM916" s="81"/>
      <c r="CN916" s="81"/>
      <c r="CO916" s="81"/>
      <c r="CP916" s="81"/>
      <c r="CQ916" s="81"/>
      <c r="CR916" s="81"/>
      <c r="CS916" s="81"/>
      <c r="CT916" s="81"/>
      <c r="CU916" s="81"/>
      <c r="CV916" s="81"/>
      <c r="CW916" s="81"/>
      <c r="CX916" s="81"/>
      <c r="CY916" s="81"/>
      <c r="CZ916" s="81"/>
      <c r="DA916" s="81"/>
      <c r="DB916" s="81"/>
      <c r="DC916" s="81"/>
      <c r="DD916" s="81"/>
      <c r="DE916" s="81"/>
      <c r="DF916" s="81"/>
      <c r="DG916" s="81"/>
      <c r="DH916" s="81"/>
      <c r="DI916" s="81"/>
      <c r="DJ916" s="81"/>
      <c r="DK916" s="81"/>
      <c r="DL916" s="81"/>
      <c r="DM916" s="81"/>
      <c r="DN916" s="81"/>
      <c r="DO916" s="81"/>
      <c r="DP916" s="81"/>
      <c r="DQ916" s="81"/>
      <c r="DR916" s="81"/>
      <c r="DS916" s="81"/>
      <c r="DT916" s="81"/>
      <c r="DU916" s="81"/>
      <c r="DV916" s="81"/>
      <c r="DW916" s="121"/>
    </row>
    <row r="917" spans="1:127" x14ac:dyDescent="0.25">
      <c r="A917" s="2">
        <f>COUNTIF($D$2:D917,'Reporte de Nomina'!$E$2)</f>
        <v>0</v>
      </c>
      <c r="B917" s="125">
        <f>Lista!A916</f>
        <v>0</v>
      </c>
      <c r="C917" s="125">
        <f>Lista!B916</f>
        <v>0</v>
      </c>
      <c r="D917" s="125">
        <f>Lista!C916</f>
        <v>0</v>
      </c>
      <c r="E917" s="125">
        <f>Lista!D916</f>
        <v>0</v>
      </c>
      <c r="F917" s="125">
        <f>Lista!E916</f>
        <v>0</v>
      </c>
      <c r="G917" s="125">
        <f>Lista!F916</f>
        <v>0</v>
      </c>
      <c r="H917" s="125">
        <f>Lista!G916</f>
        <v>0</v>
      </c>
      <c r="I917" s="125">
        <f>Lista!H916</f>
        <v>0</v>
      </c>
      <c r="J917" s="125">
        <f>Lista!I916</f>
        <v>0</v>
      </c>
      <c r="K917" s="125">
        <f>Lista!J916</f>
        <v>0</v>
      </c>
      <c r="L917" s="125">
        <f>Lista!K916</f>
        <v>0</v>
      </c>
      <c r="M917" s="125">
        <f>Lista!L916</f>
        <v>0</v>
      </c>
      <c r="N917" s="125">
        <f>Lista!M916</f>
        <v>0</v>
      </c>
      <c r="O917" s="125">
        <f>Lista!N916</f>
        <v>0</v>
      </c>
      <c r="P917" s="125">
        <f>Lista!O916</f>
        <v>0</v>
      </c>
      <c r="Q917" s="125">
        <f>Lista!P916</f>
        <v>0</v>
      </c>
      <c r="R917" s="125">
        <f>Lista!Q916</f>
        <v>0</v>
      </c>
      <c r="S917" s="125">
        <f>Lista!R916</f>
        <v>0</v>
      </c>
      <c r="T917" s="81"/>
      <c r="U917" s="81"/>
      <c r="V917" s="81"/>
      <c r="W917" s="81"/>
      <c r="X917" s="81"/>
      <c r="Y917" s="81"/>
      <c r="Z917" s="81"/>
      <c r="AA917" s="81"/>
      <c r="AB917" s="81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  <c r="BS917" s="81"/>
      <c r="BT917" s="81"/>
      <c r="BU917" s="81"/>
      <c r="BV917" s="81"/>
      <c r="BW917" s="81"/>
      <c r="BX917" s="81"/>
      <c r="BY917" s="81"/>
      <c r="BZ917" s="81"/>
      <c r="CA917" s="81"/>
      <c r="CB917" s="81"/>
      <c r="CC917" s="81"/>
      <c r="CD917" s="81"/>
      <c r="CE917" s="81"/>
      <c r="CF917" s="81"/>
      <c r="CG917" s="81"/>
      <c r="CH917" s="81"/>
      <c r="CI917" s="81"/>
      <c r="CJ917" s="81"/>
      <c r="CK917" s="81"/>
      <c r="CL917" s="81"/>
      <c r="CM917" s="81"/>
      <c r="CN917" s="81"/>
      <c r="CO917" s="81"/>
      <c r="CP917" s="81"/>
      <c r="CQ917" s="81"/>
      <c r="CR917" s="81"/>
      <c r="CS917" s="81"/>
      <c r="CT917" s="81"/>
      <c r="CU917" s="81"/>
      <c r="CV917" s="81"/>
      <c r="CW917" s="81"/>
      <c r="CX917" s="81"/>
      <c r="CY917" s="81"/>
      <c r="CZ917" s="81"/>
      <c r="DA917" s="81"/>
      <c r="DB917" s="81"/>
      <c r="DC917" s="81"/>
      <c r="DD917" s="81"/>
      <c r="DE917" s="81"/>
      <c r="DF917" s="81"/>
      <c r="DG917" s="81"/>
      <c r="DH917" s="81"/>
      <c r="DI917" s="81"/>
      <c r="DJ917" s="81"/>
      <c r="DK917" s="81"/>
      <c r="DL917" s="81"/>
      <c r="DM917" s="81"/>
      <c r="DN917" s="81"/>
      <c r="DO917" s="81"/>
      <c r="DP917" s="81"/>
      <c r="DQ917" s="81"/>
      <c r="DR917" s="81"/>
      <c r="DS917" s="81"/>
      <c r="DT917" s="81"/>
      <c r="DU917" s="81"/>
      <c r="DV917" s="81"/>
      <c r="DW917" s="121"/>
    </row>
    <row r="918" spans="1:127" x14ac:dyDescent="0.25">
      <c r="A918" s="2">
        <f>COUNTIF($D$2:D918,'Reporte de Nomina'!$E$2)</f>
        <v>0</v>
      </c>
      <c r="B918" s="125">
        <f>Lista!A917</f>
        <v>0</v>
      </c>
      <c r="C918" s="125">
        <f>Lista!B917</f>
        <v>0</v>
      </c>
      <c r="D918" s="125">
        <f>Lista!C917</f>
        <v>0</v>
      </c>
      <c r="E918" s="125">
        <f>Lista!D917</f>
        <v>0</v>
      </c>
      <c r="F918" s="125">
        <f>Lista!E917</f>
        <v>0</v>
      </c>
      <c r="G918" s="125">
        <f>Lista!F917</f>
        <v>0</v>
      </c>
      <c r="H918" s="125">
        <f>Lista!G917</f>
        <v>0</v>
      </c>
      <c r="I918" s="125">
        <f>Lista!H917</f>
        <v>0</v>
      </c>
      <c r="J918" s="125">
        <f>Lista!I917</f>
        <v>0</v>
      </c>
      <c r="K918" s="125">
        <f>Lista!J917</f>
        <v>0</v>
      </c>
      <c r="L918" s="125">
        <f>Lista!K917</f>
        <v>0</v>
      </c>
      <c r="M918" s="125">
        <f>Lista!L917</f>
        <v>0</v>
      </c>
      <c r="N918" s="125">
        <f>Lista!M917</f>
        <v>0</v>
      </c>
      <c r="O918" s="125">
        <f>Lista!N917</f>
        <v>0</v>
      </c>
      <c r="P918" s="125">
        <f>Lista!O917</f>
        <v>0</v>
      </c>
      <c r="Q918" s="125">
        <f>Lista!P917</f>
        <v>0</v>
      </c>
      <c r="R918" s="125">
        <f>Lista!Q917</f>
        <v>0</v>
      </c>
      <c r="S918" s="125">
        <f>Lista!R917</f>
        <v>0</v>
      </c>
      <c r="T918" s="81"/>
      <c r="U918" s="81"/>
      <c r="V918" s="81"/>
      <c r="W918" s="81"/>
      <c r="X918" s="81"/>
      <c r="Y918" s="81"/>
      <c r="Z918" s="81"/>
      <c r="AA918" s="81"/>
      <c r="AB918" s="81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  <c r="BS918" s="81"/>
      <c r="BT918" s="81"/>
      <c r="BU918" s="81"/>
      <c r="BV918" s="81"/>
      <c r="BW918" s="81"/>
      <c r="BX918" s="81"/>
      <c r="BY918" s="81"/>
      <c r="BZ918" s="81"/>
      <c r="CA918" s="81"/>
      <c r="CB918" s="81"/>
      <c r="CC918" s="81"/>
      <c r="CD918" s="81"/>
      <c r="CE918" s="81"/>
      <c r="CF918" s="81"/>
      <c r="CG918" s="81"/>
      <c r="CH918" s="81"/>
      <c r="CI918" s="81"/>
      <c r="CJ918" s="81"/>
      <c r="CK918" s="81"/>
      <c r="CL918" s="81"/>
      <c r="CM918" s="81"/>
      <c r="CN918" s="81"/>
      <c r="CO918" s="81"/>
      <c r="CP918" s="81"/>
      <c r="CQ918" s="81"/>
      <c r="CR918" s="81"/>
      <c r="CS918" s="81"/>
      <c r="CT918" s="81"/>
      <c r="CU918" s="81"/>
      <c r="CV918" s="81"/>
      <c r="CW918" s="81"/>
      <c r="CX918" s="81"/>
      <c r="CY918" s="81"/>
      <c r="CZ918" s="81"/>
      <c r="DA918" s="81"/>
      <c r="DB918" s="81"/>
      <c r="DC918" s="81"/>
      <c r="DD918" s="81"/>
      <c r="DE918" s="81"/>
      <c r="DF918" s="81"/>
      <c r="DG918" s="81"/>
      <c r="DH918" s="81"/>
      <c r="DI918" s="81"/>
      <c r="DJ918" s="81"/>
      <c r="DK918" s="81"/>
      <c r="DL918" s="81"/>
      <c r="DM918" s="81"/>
      <c r="DN918" s="81"/>
      <c r="DO918" s="81"/>
      <c r="DP918" s="81"/>
      <c r="DQ918" s="81"/>
      <c r="DR918" s="81"/>
      <c r="DS918" s="81"/>
      <c r="DT918" s="81"/>
      <c r="DU918" s="81"/>
      <c r="DV918" s="81"/>
      <c r="DW918" s="121"/>
    </row>
    <row r="919" spans="1:127" x14ac:dyDescent="0.25">
      <c r="A919" s="2">
        <f>COUNTIF($D$2:D919,'Reporte de Nomina'!$E$2)</f>
        <v>0</v>
      </c>
      <c r="B919" s="125">
        <f>Lista!A918</f>
        <v>0</v>
      </c>
      <c r="C919" s="125">
        <f>Lista!B918</f>
        <v>0</v>
      </c>
      <c r="D919" s="125">
        <f>Lista!C918</f>
        <v>0</v>
      </c>
      <c r="E919" s="125">
        <f>Lista!D918</f>
        <v>0</v>
      </c>
      <c r="F919" s="125">
        <f>Lista!E918</f>
        <v>0</v>
      </c>
      <c r="G919" s="125">
        <f>Lista!F918</f>
        <v>0</v>
      </c>
      <c r="H919" s="125">
        <f>Lista!G918</f>
        <v>0</v>
      </c>
      <c r="I919" s="125">
        <f>Lista!H918</f>
        <v>0</v>
      </c>
      <c r="J919" s="125">
        <f>Lista!I918</f>
        <v>0</v>
      </c>
      <c r="K919" s="125">
        <f>Lista!J918</f>
        <v>0</v>
      </c>
      <c r="L919" s="125">
        <f>Lista!K918</f>
        <v>0</v>
      </c>
      <c r="M919" s="125">
        <f>Lista!L918</f>
        <v>0</v>
      </c>
      <c r="N919" s="125">
        <f>Lista!M918</f>
        <v>0</v>
      </c>
      <c r="O919" s="125">
        <f>Lista!N918</f>
        <v>0</v>
      </c>
      <c r="P919" s="125">
        <f>Lista!O918</f>
        <v>0</v>
      </c>
      <c r="Q919" s="125">
        <f>Lista!P918</f>
        <v>0</v>
      </c>
      <c r="R919" s="125">
        <f>Lista!Q918</f>
        <v>0</v>
      </c>
      <c r="S919" s="125">
        <f>Lista!R918</f>
        <v>0</v>
      </c>
      <c r="T919" s="81"/>
      <c r="U919" s="81"/>
      <c r="V919" s="81"/>
      <c r="W919" s="81"/>
      <c r="X919" s="81"/>
      <c r="Y919" s="81"/>
      <c r="Z919" s="81"/>
      <c r="AA919" s="81"/>
      <c r="AB919" s="81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  <c r="BS919" s="81"/>
      <c r="BT919" s="81"/>
      <c r="BU919" s="81"/>
      <c r="BV919" s="81"/>
      <c r="BW919" s="81"/>
      <c r="BX919" s="81"/>
      <c r="BY919" s="81"/>
      <c r="BZ919" s="81"/>
      <c r="CA919" s="81"/>
      <c r="CB919" s="81"/>
      <c r="CC919" s="81"/>
      <c r="CD919" s="81"/>
      <c r="CE919" s="81"/>
      <c r="CF919" s="81"/>
      <c r="CG919" s="81"/>
      <c r="CH919" s="81"/>
      <c r="CI919" s="81"/>
      <c r="CJ919" s="81"/>
      <c r="CK919" s="81"/>
      <c r="CL919" s="81"/>
      <c r="CM919" s="81"/>
      <c r="CN919" s="81"/>
      <c r="CO919" s="81"/>
      <c r="CP919" s="81"/>
      <c r="CQ919" s="81"/>
      <c r="CR919" s="81"/>
      <c r="CS919" s="81"/>
      <c r="CT919" s="81"/>
      <c r="CU919" s="81"/>
      <c r="CV919" s="81"/>
      <c r="CW919" s="81"/>
      <c r="CX919" s="81"/>
      <c r="CY919" s="81"/>
      <c r="CZ919" s="81"/>
      <c r="DA919" s="81"/>
      <c r="DB919" s="81"/>
      <c r="DC919" s="81"/>
      <c r="DD919" s="81"/>
      <c r="DE919" s="81"/>
      <c r="DF919" s="81"/>
      <c r="DG919" s="81"/>
      <c r="DH919" s="81"/>
      <c r="DI919" s="81"/>
      <c r="DJ919" s="81"/>
      <c r="DK919" s="81"/>
      <c r="DL919" s="81"/>
      <c r="DM919" s="81"/>
      <c r="DN919" s="81"/>
      <c r="DO919" s="81"/>
      <c r="DP919" s="81"/>
      <c r="DQ919" s="81"/>
      <c r="DR919" s="81"/>
      <c r="DS919" s="81"/>
      <c r="DT919" s="81"/>
      <c r="DU919" s="81"/>
      <c r="DV919" s="81"/>
      <c r="DW919" s="121"/>
    </row>
    <row r="920" spans="1:127" x14ac:dyDescent="0.25">
      <c r="A920" s="2">
        <f>COUNTIF($D$2:D920,'Reporte de Nomina'!$E$2)</f>
        <v>0</v>
      </c>
      <c r="B920" s="125">
        <f>Lista!A919</f>
        <v>0</v>
      </c>
      <c r="C920" s="125">
        <f>Lista!B919</f>
        <v>0</v>
      </c>
      <c r="D920" s="125">
        <f>Lista!C919</f>
        <v>0</v>
      </c>
      <c r="E920" s="125">
        <f>Lista!D919</f>
        <v>0</v>
      </c>
      <c r="F920" s="125">
        <f>Lista!E919</f>
        <v>0</v>
      </c>
      <c r="G920" s="125">
        <f>Lista!F919</f>
        <v>0</v>
      </c>
      <c r="H920" s="125">
        <f>Lista!G919</f>
        <v>0</v>
      </c>
      <c r="I920" s="125">
        <f>Lista!H919</f>
        <v>0</v>
      </c>
      <c r="J920" s="125">
        <f>Lista!I919</f>
        <v>0</v>
      </c>
      <c r="K920" s="125">
        <f>Lista!J919</f>
        <v>0</v>
      </c>
      <c r="L920" s="125">
        <f>Lista!K919</f>
        <v>0</v>
      </c>
      <c r="M920" s="125">
        <f>Lista!L919</f>
        <v>0</v>
      </c>
      <c r="N920" s="125">
        <f>Lista!M919</f>
        <v>0</v>
      </c>
      <c r="O920" s="125">
        <f>Lista!N919</f>
        <v>0</v>
      </c>
      <c r="P920" s="125">
        <f>Lista!O919</f>
        <v>0</v>
      </c>
      <c r="Q920" s="125">
        <f>Lista!P919</f>
        <v>0</v>
      </c>
      <c r="R920" s="125">
        <f>Lista!Q919</f>
        <v>0</v>
      </c>
      <c r="S920" s="125">
        <f>Lista!R919</f>
        <v>0</v>
      </c>
      <c r="T920" s="81"/>
      <c r="U920" s="81"/>
      <c r="V920" s="81"/>
      <c r="W920" s="81"/>
      <c r="X920" s="81"/>
      <c r="Y920" s="81"/>
      <c r="Z920" s="81"/>
      <c r="AA920" s="81"/>
      <c r="AB920" s="81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  <c r="BS920" s="81"/>
      <c r="BT920" s="81"/>
      <c r="BU920" s="81"/>
      <c r="BV920" s="81"/>
      <c r="BW920" s="81"/>
      <c r="BX920" s="81"/>
      <c r="BY920" s="81"/>
      <c r="BZ920" s="81"/>
      <c r="CA920" s="81"/>
      <c r="CB920" s="81"/>
      <c r="CC920" s="81"/>
      <c r="CD920" s="81"/>
      <c r="CE920" s="81"/>
      <c r="CF920" s="81"/>
      <c r="CG920" s="81"/>
      <c r="CH920" s="81"/>
      <c r="CI920" s="81"/>
      <c r="CJ920" s="81"/>
      <c r="CK920" s="81"/>
      <c r="CL920" s="81"/>
      <c r="CM920" s="81"/>
      <c r="CN920" s="81"/>
      <c r="CO920" s="81"/>
      <c r="CP920" s="81"/>
      <c r="CQ920" s="81"/>
      <c r="CR920" s="81"/>
      <c r="CS920" s="81"/>
      <c r="CT920" s="81"/>
      <c r="CU920" s="81"/>
      <c r="CV920" s="81"/>
      <c r="CW920" s="81"/>
      <c r="CX920" s="81"/>
      <c r="CY920" s="81"/>
      <c r="CZ920" s="81"/>
      <c r="DA920" s="81"/>
      <c r="DB920" s="81"/>
      <c r="DC920" s="81"/>
      <c r="DD920" s="81"/>
      <c r="DE920" s="81"/>
      <c r="DF920" s="81"/>
      <c r="DG920" s="81"/>
      <c r="DH920" s="81"/>
      <c r="DI920" s="81"/>
      <c r="DJ920" s="81"/>
      <c r="DK920" s="81"/>
      <c r="DL920" s="81"/>
      <c r="DM920" s="81"/>
      <c r="DN920" s="81"/>
      <c r="DO920" s="81"/>
      <c r="DP920" s="81"/>
      <c r="DQ920" s="81"/>
      <c r="DR920" s="81"/>
      <c r="DS920" s="81"/>
      <c r="DT920" s="81"/>
      <c r="DU920" s="81"/>
      <c r="DV920" s="81"/>
      <c r="DW920" s="121"/>
    </row>
    <row r="921" spans="1:127" x14ac:dyDescent="0.25">
      <c r="A921" s="2">
        <f>COUNTIF($D$2:D921,'Reporte de Nomina'!$E$2)</f>
        <v>0</v>
      </c>
      <c r="B921" s="125">
        <f>Lista!A920</f>
        <v>0</v>
      </c>
      <c r="C921" s="125">
        <f>Lista!B920</f>
        <v>0</v>
      </c>
      <c r="D921" s="125">
        <f>Lista!C920</f>
        <v>0</v>
      </c>
      <c r="E921" s="125">
        <f>Lista!D920</f>
        <v>0</v>
      </c>
      <c r="F921" s="125">
        <f>Lista!E920</f>
        <v>0</v>
      </c>
      <c r="G921" s="125">
        <f>Lista!F920</f>
        <v>0</v>
      </c>
      <c r="H921" s="125">
        <f>Lista!G920</f>
        <v>0</v>
      </c>
      <c r="I921" s="125">
        <f>Lista!H920</f>
        <v>0</v>
      </c>
      <c r="J921" s="125">
        <f>Lista!I920</f>
        <v>0</v>
      </c>
      <c r="K921" s="125">
        <f>Lista!J920</f>
        <v>0</v>
      </c>
      <c r="L921" s="125">
        <f>Lista!K920</f>
        <v>0</v>
      </c>
      <c r="M921" s="125">
        <f>Lista!L920</f>
        <v>0</v>
      </c>
      <c r="N921" s="125">
        <f>Lista!M920</f>
        <v>0</v>
      </c>
      <c r="O921" s="125">
        <f>Lista!N920</f>
        <v>0</v>
      </c>
      <c r="P921" s="125">
        <f>Lista!O920</f>
        <v>0</v>
      </c>
      <c r="Q921" s="125">
        <f>Lista!P920</f>
        <v>0</v>
      </c>
      <c r="R921" s="125">
        <f>Lista!Q920</f>
        <v>0</v>
      </c>
      <c r="S921" s="125">
        <f>Lista!R920</f>
        <v>0</v>
      </c>
      <c r="T921" s="81"/>
      <c r="U921" s="81"/>
      <c r="V921" s="81"/>
      <c r="W921" s="81"/>
      <c r="X921" s="81"/>
      <c r="Y921" s="81"/>
      <c r="Z921" s="81"/>
      <c r="AA921" s="81"/>
      <c r="AB921" s="81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  <c r="BS921" s="81"/>
      <c r="BT921" s="81"/>
      <c r="BU921" s="81"/>
      <c r="BV921" s="81"/>
      <c r="BW921" s="81"/>
      <c r="BX921" s="81"/>
      <c r="BY921" s="81"/>
      <c r="BZ921" s="81"/>
      <c r="CA921" s="81"/>
      <c r="CB921" s="81"/>
      <c r="CC921" s="81"/>
      <c r="CD921" s="81"/>
      <c r="CE921" s="81"/>
      <c r="CF921" s="81"/>
      <c r="CG921" s="81"/>
      <c r="CH921" s="81"/>
      <c r="CI921" s="81"/>
      <c r="CJ921" s="81"/>
      <c r="CK921" s="81"/>
      <c r="CL921" s="81"/>
      <c r="CM921" s="81"/>
      <c r="CN921" s="81"/>
      <c r="CO921" s="81"/>
      <c r="CP921" s="81"/>
      <c r="CQ921" s="81"/>
      <c r="CR921" s="81"/>
      <c r="CS921" s="81"/>
      <c r="CT921" s="81"/>
      <c r="CU921" s="81"/>
      <c r="CV921" s="81"/>
      <c r="CW921" s="81"/>
      <c r="CX921" s="81"/>
      <c r="CY921" s="81"/>
      <c r="CZ921" s="81"/>
      <c r="DA921" s="81"/>
      <c r="DB921" s="81"/>
      <c r="DC921" s="81"/>
      <c r="DD921" s="81"/>
      <c r="DE921" s="81"/>
      <c r="DF921" s="81"/>
      <c r="DG921" s="81"/>
      <c r="DH921" s="81"/>
      <c r="DI921" s="81"/>
      <c r="DJ921" s="81"/>
      <c r="DK921" s="81"/>
      <c r="DL921" s="81"/>
      <c r="DM921" s="81"/>
      <c r="DN921" s="81"/>
      <c r="DO921" s="81"/>
      <c r="DP921" s="81"/>
      <c r="DQ921" s="81"/>
      <c r="DR921" s="81"/>
      <c r="DS921" s="81"/>
      <c r="DT921" s="81"/>
      <c r="DU921" s="81"/>
      <c r="DV921" s="81"/>
      <c r="DW921" s="121"/>
    </row>
    <row r="922" spans="1:127" x14ac:dyDescent="0.25">
      <c r="A922" s="2">
        <f>COUNTIF($D$2:D922,'Reporte de Nomina'!$E$2)</f>
        <v>0</v>
      </c>
      <c r="B922" s="125">
        <f>Lista!A921</f>
        <v>0</v>
      </c>
      <c r="C922" s="125">
        <f>Lista!B921</f>
        <v>0</v>
      </c>
      <c r="D922" s="125">
        <f>Lista!C921</f>
        <v>0</v>
      </c>
      <c r="E922" s="125">
        <f>Lista!D921</f>
        <v>0</v>
      </c>
      <c r="F922" s="125">
        <f>Lista!E921</f>
        <v>0</v>
      </c>
      <c r="G922" s="125">
        <f>Lista!F921</f>
        <v>0</v>
      </c>
      <c r="H922" s="125">
        <f>Lista!G921</f>
        <v>0</v>
      </c>
      <c r="I922" s="125">
        <f>Lista!H921</f>
        <v>0</v>
      </c>
      <c r="J922" s="125">
        <f>Lista!I921</f>
        <v>0</v>
      </c>
      <c r="K922" s="125">
        <f>Lista!J921</f>
        <v>0</v>
      </c>
      <c r="L922" s="125">
        <f>Lista!K921</f>
        <v>0</v>
      </c>
      <c r="M922" s="125">
        <f>Lista!L921</f>
        <v>0</v>
      </c>
      <c r="N922" s="125">
        <f>Lista!M921</f>
        <v>0</v>
      </c>
      <c r="O922" s="125">
        <f>Lista!N921</f>
        <v>0</v>
      </c>
      <c r="P922" s="125">
        <f>Lista!O921</f>
        <v>0</v>
      </c>
      <c r="Q922" s="125">
        <f>Lista!P921</f>
        <v>0</v>
      </c>
      <c r="R922" s="125">
        <f>Lista!Q921</f>
        <v>0</v>
      </c>
      <c r="S922" s="125">
        <f>Lista!R921</f>
        <v>0</v>
      </c>
      <c r="T922" s="81"/>
      <c r="U922" s="81"/>
      <c r="V922" s="81"/>
      <c r="W922" s="81"/>
      <c r="X922" s="81"/>
      <c r="Y922" s="81"/>
      <c r="Z922" s="81"/>
      <c r="AA922" s="81"/>
      <c r="AB922" s="81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  <c r="BS922" s="81"/>
      <c r="BT922" s="81"/>
      <c r="BU922" s="81"/>
      <c r="BV922" s="81"/>
      <c r="BW922" s="81"/>
      <c r="BX922" s="81"/>
      <c r="BY922" s="81"/>
      <c r="BZ922" s="81"/>
      <c r="CA922" s="81"/>
      <c r="CB922" s="81"/>
      <c r="CC922" s="81"/>
      <c r="CD922" s="81"/>
      <c r="CE922" s="81"/>
      <c r="CF922" s="81"/>
      <c r="CG922" s="81"/>
      <c r="CH922" s="81"/>
      <c r="CI922" s="81"/>
      <c r="CJ922" s="81"/>
      <c r="CK922" s="81"/>
      <c r="CL922" s="81"/>
      <c r="CM922" s="81"/>
      <c r="CN922" s="81"/>
      <c r="CO922" s="81"/>
      <c r="CP922" s="81"/>
      <c r="CQ922" s="81"/>
      <c r="CR922" s="81"/>
      <c r="CS922" s="81"/>
      <c r="CT922" s="81"/>
      <c r="CU922" s="81"/>
      <c r="CV922" s="81"/>
      <c r="CW922" s="81"/>
      <c r="CX922" s="81"/>
      <c r="CY922" s="81"/>
      <c r="CZ922" s="81"/>
      <c r="DA922" s="81"/>
      <c r="DB922" s="81"/>
      <c r="DC922" s="81"/>
      <c r="DD922" s="81"/>
      <c r="DE922" s="81"/>
      <c r="DF922" s="81"/>
      <c r="DG922" s="81"/>
      <c r="DH922" s="81"/>
      <c r="DI922" s="81"/>
      <c r="DJ922" s="81"/>
      <c r="DK922" s="81"/>
      <c r="DL922" s="81"/>
      <c r="DM922" s="81"/>
      <c r="DN922" s="81"/>
      <c r="DO922" s="81"/>
      <c r="DP922" s="81"/>
      <c r="DQ922" s="81"/>
      <c r="DR922" s="81"/>
      <c r="DS922" s="81"/>
      <c r="DT922" s="81"/>
      <c r="DU922" s="81"/>
      <c r="DV922" s="81"/>
      <c r="DW922" s="121"/>
    </row>
    <row r="923" spans="1:127" x14ac:dyDescent="0.25">
      <c r="A923" s="2">
        <f>COUNTIF($D$2:D923,'Reporte de Nomina'!$E$2)</f>
        <v>0</v>
      </c>
      <c r="B923" s="125">
        <f>Lista!A922</f>
        <v>0</v>
      </c>
      <c r="C923" s="125">
        <f>Lista!B922</f>
        <v>0</v>
      </c>
      <c r="D923" s="125">
        <f>Lista!C922</f>
        <v>0</v>
      </c>
      <c r="E923" s="125">
        <f>Lista!D922</f>
        <v>0</v>
      </c>
      <c r="F923" s="125">
        <f>Lista!E922</f>
        <v>0</v>
      </c>
      <c r="G923" s="125">
        <f>Lista!F922</f>
        <v>0</v>
      </c>
      <c r="H923" s="125">
        <f>Lista!G922</f>
        <v>0</v>
      </c>
      <c r="I923" s="125">
        <f>Lista!H922</f>
        <v>0</v>
      </c>
      <c r="J923" s="125">
        <f>Lista!I922</f>
        <v>0</v>
      </c>
      <c r="K923" s="125">
        <f>Lista!J922</f>
        <v>0</v>
      </c>
      <c r="L923" s="125">
        <f>Lista!K922</f>
        <v>0</v>
      </c>
      <c r="M923" s="125">
        <f>Lista!L922</f>
        <v>0</v>
      </c>
      <c r="N923" s="125">
        <f>Lista!M922</f>
        <v>0</v>
      </c>
      <c r="O923" s="125">
        <f>Lista!N922</f>
        <v>0</v>
      </c>
      <c r="P923" s="125">
        <f>Lista!O922</f>
        <v>0</v>
      </c>
      <c r="Q923" s="125">
        <f>Lista!P922</f>
        <v>0</v>
      </c>
      <c r="R923" s="125">
        <f>Lista!Q922</f>
        <v>0</v>
      </c>
      <c r="S923" s="125">
        <f>Lista!R922</f>
        <v>0</v>
      </c>
      <c r="T923" s="81"/>
      <c r="U923" s="81"/>
      <c r="V923" s="81"/>
      <c r="W923" s="81"/>
      <c r="X923" s="81"/>
      <c r="Y923" s="81"/>
      <c r="Z923" s="81"/>
      <c r="AA923" s="81"/>
      <c r="AB923" s="81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  <c r="BS923" s="81"/>
      <c r="BT923" s="81"/>
      <c r="BU923" s="81"/>
      <c r="BV923" s="81"/>
      <c r="BW923" s="81"/>
      <c r="BX923" s="81"/>
      <c r="BY923" s="81"/>
      <c r="BZ923" s="81"/>
      <c r="CA923" s="81"/>
      <c r="CB923" s="81"/>
      <c r="CC923" s="81"/>
      <c r="CD923" s="81"/>
      <c r="CE923" s="81"/>
      <c r="CF923" s="81"/>
      <c r="CG923" s="81"/>
      <c r="CH923" s="81"/>
      <c r="CI923" s="81"/>
      <c r="CJ923" s="81"/>
      <c r="CK923" s="81"/>
      <c r="CL923" s="81"/>
      <c r="CM923" s="81"/>
      <c r="CN923" s="81"/>
      <c r="CO923" s="81"/>
      <c r="CP923" s="81"/>
      <c r="CQ923" s="81"/>
      <c r="CR923" s="81"/>
      <c r="CS923" s="81"/>
      <c r="CT923" s="81"/>
      <c r="CU923" s="81"/>
      <c r="CV923" s="81"/>
      <c r="CW923" s="81"/>
      <c r="CX923" s="81"/>
      <c r="CY923" s="81"/>
      <c r="CZ923" s="81"/>
      <c r="DA923" s="81"/>
      <c r="DB923" s="81"/>
      <c r="DC923" s="81"/>
      <c r="DD923" s="81"/>
      <c r="DE923" s="81"/>
      <c r="DF923" s="81"/>
      <c r="DG923" s="81"/>
      <c r="DH923" s="81"/>
      <c r="DI923" s="81"/>
      <c r="DJ923" s="81"/>
      <c r="DK923" s="81"/>
      <c r="DL923" s="81"/>
      <c r="DM923" s="81"/>
      <c r="DN923" s="81"/>
      <c r="DO923" s="81"/>
      <c r="DP923" s="81"/>
      <c r="DQ923" s="81"/>
      <c r="DR923" s="81"/>
      <c r="DS923" s="81"/>
      <c r="DT923" s="81"/>
      <c r="DU923" s="81"/>
      <c r="DV923" s="81"/>
      <c r="DW923" s="121"/>
    </row>
    <row r="924" spans="1:127" x14ac:dyDescent="0.25">
      <c r="A924" s="2">
        <f>COUNTIF($D$2:D924,'Reporte de Nomina'!$E$2)</f>
        <v>0</v>
      </c>
      <c r="B924" s="125">
        <f>Lista!A923</f>
        <v>0</v>
      </c>
      <c r="C924" s="125">
        <f>Lista!B923</f>
        <v>0</v>
      </c>
      <c r="D924" s="125">
        <f>Lista!C923</f>
        <v>0</v>
      </c>
      <c r="E924" s="125">
        <f>Lista!D923</f>
        <v>0</v>
      </c>
      <c r="F924" s="125">
        <f>Lista!E923</f>
        <v>0</v>
      </c>
      <c r="G924" s="125">
        <f>Lista!F923</f>
        <v>0</v>
      </c>
      <c r="H924" s="125">
        <f>Lista!G923</f>
        <v>0</v>
      </c>
      <c r="I924" s="125">
        <f>Lista!H923</f>
        <v>0</v>
      </c>
      <c r="J924" s="125">
        <f>Lista!I923</f>
        <v>0</v>
      </c>
      <c r="K924" s="125">
        <f>Lista!J923</f>
        <v>0</v>
      </c>
      <c r="L924" s="125">
        <f>Lista!K923</f>
        <v>0</v>
      </c>
      <c r="M924" s="125">
        <f>Lista!L923</f>
        <v>0</v>
      </c>
      <c r="N924" s="125">
        <f>Lista!M923</f>
        <v>0</v>
      </c>
      <c r="O924" s="125">
        <f>Lista!N923</f>
        <v>0</v>
      </c>
      <c r="P924" s="125">
        <f>Lista!O923</f>
        <v>0</v>
      </c>
      <c r="Q924" s="125">
        <f>Lista!P923</f>
        <v>0</v>
      </c>
      <c r="R924" s="125">
        <f>Lista!Q923</f>
        <v>0</v>
      </c>
      <c r="S924" s="125">
        <f>Lista!R923</f>
        <v>0</v>
      </c>
      <c r="T924" s="81"/>
      <c r="U924" s="81"/>
      <c r="V924" s="81"/>
      <c r="W924" s="81"/>
      <c r="X924" s="81"/>
      <c r="Y924" s="81"/>
      <c r="Z924" s="81"/>
      <c r="AA924" s="81"/>
      <c r="AB924" s="81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  <c r="BS924" s="81"/>
      <c r="BT924" s="81"/>
      <c r="BU924" s="81"/>
      <c r="BV924" s="81"/>
      <c r="BW924" s="81"/>
      <c r="BX924" s="81"/>
      <c r="BY924" s="81"/>
      <c r="BZ924" s="81"/>
      <c r="CA924" s="81"/>
      <c r="CB924" s="81"/>
      <c r="CC924" s="81"/>
      <c r="CD924" s="81"/>
      <c r="CE924" s="81"/>
      <c r="CF924" s="81"/>
      <c r="CG924" s="81"/>
      <c r="CH924" s="81"/>
      <c r="CI924" s="81"/>
      <c r="CJ924" s="81"/>
      <c r="CK924" s="81"/>
      <c r="CL924" s="81"/>
      <c r="CM924" s="81"/>
      <c r="CN924" s="81"/>
      <c r="CO924" s="81"/>
      <c r="CP924" s="81"/>
      <c r="CQ924" s="81"/>
      <c r="CR924" s="81"/>
      <c r="CS924" s="81"/>
      <c r="CT924" s="81"/>
      <c r="CU924" s="81"/>
      <c r="CV924" s="81"/>
      <c r="CW924" s="81"/>
      <c r="CX924" s="81"/>
      <c r="CY924" s="81"/>
      <c r="CZ924" s="81"/>
      <c r="DA924" s="81"/>
      <c r="DB924" s="81"/>
      <c r="DC924" s="81"/>
      <c r="DD924" s="81"/>
      <c r="DE924" s="81"/>
      <c r="DF924" s="81"/>
      <c r="DG924" s="81"/>
      <c r="DH924" s="81"/>
      <c r="DI924" s="81"/>
      <c r="DJ924" s="81"/>
      <c r="DK924" s="81"/>
      <c r="DL924" s="81"/>
      <c r="DM924" s="81"/>
      <c r="DN924" s="81"/>
      <c r="DO924" s="81"/>
      <c r="DP924" s="81"/>
      <c r="DQ924" s="81"/>
      <c r="DR924" s="81"/>
      <c r="DS924" s="81"/>
      <c r="DT924" s="81"/>
      <c r="DU924" s="81"/>
      <c r="DV924" s="81"/>
      <c r="DW924" s="121"/>
    </row>
    <row r="925" spans="1:127" x14ac:dyDescent="0.25">
      <c r="A925" s="2">
        <f>COUNTIF($D$2:D925,'Reporte de Nomina'!$E$2)</f>
        <v>0</v>
      </c>
      <c r="B925" s="125">
        <f>Lista!A924</f>
        <v>0</v>
      </c>
      <c r="C925" s="125">
        <f>Lista!B924</f>
        <v>0</v>
      </c>
      <c r="D925" s="125">
        <f>Lista!C924</f>
        <v>0</v>
      </c>
      <c r="E925" s="125">
        <f>Lista!D924</f>
        <v>0</v>
      </c>
      <c r="F925" s="125">
        <f>Lista!E924</f>
        <v>0</v>
      </c>
      <c r="G925" s="125">
        <f>Lista!F924</f>
        <v>0</v>
      </c>
      <c r="H925" s="125">
        <f>Lista!G924</f>
        <v>0</v>
      </c>
      <c r="I925" s="125">
        <f>Lista!H924</f>
        <v>0</v>
      </c>
      <c r="J925" s="125">
        <f>Lista!I924</f>
        <v>0</v>
      </c>
      <c r="K925" s="125">
        <f>Lista!J924</f>
        <v>0</v>
      </c>
      <c r="L925" s="125">
        <f>Lista!K924</f>
        <v>0</v>
      </c>
      <c r="M925" s="125">
        <f>Lista!L924</f>
        <v>0</v>
      </c>
      <c r="N925" s="125">
        <f>Lista!M924</f>
        <v>0</v>
      </c>
      <c r="O925" s="125">
        <f>Lista!N924</f>
        <v>0</v>
      </c>
      <c r="P925" s="125">
        <f>Lista!O924</f>
        <v>0</v>
      </c>
      <c r="Q925" s="125">
        <f>Lista!P924</f>
        <v>0</v>
      </c>
      <c r="R925" s="125">
        <f>Lista!Q924</f>
        <v>0</v>
      </c>
      <c r="S925" s="125">
        <f>Lista!R924</f>
        <v>0</v>
      </c>
      <c r="T925" s="81"/>
      <c r="U925" s="81"/>
      <c r="V925" s="81"/>
      <c r="W925" s="81"/>
      <c r="X925" s="81"/>
      <c r="Y925" s="81"/>
      <c r="Z925" s="81"/>
      <c r="AA925" s="81"/>
      <c r="AB925" s="81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  <c r="BS925" s="81"/>
      <c r="BT925" s="81"/>
      <c r="BU925" s="81"/>
      <c r="BV925" s="81"/>
      <c r="BW925" s="81"/>
      <c r="BX925" s="81"/>
      <c r="BY925" s="81"/>
      <c r="BZ925" s="81"/>
      <c r="CA925" s="81"/>
      <c r="CB925" s="81"/>
      <c r="CC925" s="81"/>
      <c r="CD925" s="81"/>
      <c r="CE925" s="81"/>
      <c r="CF925" s="81"/>
      <c r="CG925" s="81"/>
      <c r="CH925" s="81"/>
      <c r="CI925" s="81"/>
      <c r="CJ925" s="81"/>
      <c r="CK925" s="81"/>
      <c r="CL925" s="81"/>
      <c r="CM925" s="81"/>
      <c r="CN925" s="81"/>
      <c r="CO925" s="81"/>
      <c r="CP925" s="81"/>
      <c r="CQ925" s="81"/>
      <c r="CR925" s="81"/>
      <c r="CS925" s="81"/>
      <c r="CT925" s="81"/>
      <c r="CU925" s="81"/>
      <c r="CV925" s="81"/>
      <c r="CW925" s="81"/>
      <c r="CX925" s="81"/>
      <c r="CY925" s="81"/>
      <c r="CZ925" s="81"/>
      <c r="DA925" s="81"/>
      <c r="DB925" s="81"/>
      <c r="DC925" s="81"/>
      <c r="DD925" s="81"/>
      <c r="DE925" s="81"/>
      <c r="DF925" s="81"/>
      <c r="DG925" s="81"/>
      <c r="DH925" s="81"/>
      <c r="DI925" s="81"/>
      <c r="DJ925" s="81"/>
      <c r="DK925" s="81"/>
      <c r="DL925" s="81"/>
      <c r="DM925" s="81"/>
      <c r="DN925" s="81"/>
      <c r="DO925" s="81"/>
      <c r="DP925" s="81"/>
      <c r="DQ925" s="81"/>
      <c r="DR925" s="81"/>
      <c r="DS925" s="81"/>
      <c r="DT925" s="81"/>
      <c r="DU925" s="81"/>
      <c r="DV925" s="81"/>
      <c r="DW925" s="121"/>
    </row>
    <row r="926" spans="1:127" x14ac:dyDescent="0.25">
      <c r="A926" s="2">
        <f>COUNTIF($D$2:D926,'Reporte de Nomina'!$E$2)</f>
        <v>0</v>
      </c>
      <c r="B926" s="125">
        <f>Lista!A925</f>
        <v>0</v>
      </c>
      <c r="C926" s="125">
        <f>Lista!B925</f>
        <v>0</v>
      </c>
      <c r="D926" s="125">
        <f>Lista!C925</f>
        <v>0</v>
      </c>
      <c r="E926" s="125">
        <f>Lista!D925</f>
        <v>0</v>
      </c>
      <c r="F926" s="125">
        <f>Lista!E925</f>
        <v>0</v>
      </c>
      <c r="G926" s="125">
        <f>Lista!F925</f>
        <v>0</v>
      </c>
      <c r="H926" s="125">
        <f>Lista!G925</f>
        <v>0</v>
      </c>
      <c r="I926" s="125">
        <f>Lista!H925</f>
        <v>0</v>
      </c>
      <c r="J926" s="125">
        <f>Lista!I925</f>
        <v>0</v>
      </c>
      <c r="K926" s="125">
        <f>Lista!J925</f>
        <v>0</v>
      </c>
      <c r="L926" s="125">
        <f>Lista!K925</f>
        <v>0</v>
      </c>
      <c r="M926" s="125">
        <f>Lista!L925</f>
        <v>0</v>
      </c>
      <c r="N926" s="125">
        <f>Lista!M925</f>
        <v>0</v>
      </c>
      <c r="O926" s="125">
        <f>Lista!N925</f>
        <v>0</v>
      </c>
      <c r="P926" s="125">
        <f>Lista!O925</f>
        <v>0</v>
      </c>
      <c r="Q926" s="125">
        <f>Lista!P925</f>
        <v>0</v>
      </c>
      <c r="R926" s="125">
        <f>Lista!Q925</f>
        <v>0</v>
      </c>
      <c r="S926" s="125">
        <f>Lista!R925</f>
        <v>0</v>
      </c>
      <c r="T926" s="81"/>
      <c r="U926" s="81"/>
      <c r="V926" s="81"/>
      <c r="W926" s="81"/>
      <c r="X926" s="81"/>
      <c r="Y926" s="81"/>
      <c r="Z926" s="81"/>
      <c r="AA926" s="81"/>
      <c r="AB926" s="81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  <c r="BS926" s="81"/>
      <c r="BT926" s="81"/>
      <c r="BU926" s="81"/>
      <c r="BV926" s="81"/>
      <c r="BW926" s="81"/>
      <c r="BX926" s="81"/>
      <c r="BY926" s="81"/>
      <c r="BZ926" s="81"/>
      <c r="CA926" s="81"/>
      <c r="CB926" s="81"/>
      <c r="CC926" s="81"/>
      <c r="CD926" s="81"/>
      <c r="CE926" s="81"/>
      <c r="CF926" s="81"/>
      <c r="CG926" s="81"/>
      <c r="CH926" s="81"/>
      <c r="CI926" s="81"/>
      <c r="CJ926" s="81"/>
      <c r="CK926" s="81"/>
      <c r="CL926" s="81"/>
      <c r="CM926" s="81"/>
      <c r="CN926" s="81"/>
      <c r="CO926" s="81"/>
      <c r="CP926" s="81"/>
      <c r="CQ926" s="81"/>
      <c r="CR926" s="81"/>
      <c r="CS926" s="81"/>
      <c r="CT926" s="81"/>
      <c r="CU926" s="81"/>
      <c r="CV926" s="81"/>
      <c r="CW926" s="81"/>
      <c r="CX926" s="81"/>
      <c r="CY926" s="81"/>
      <c r="CZ926" s="81"/>
      <c r="DA926" s="81"/>
      <c r="DB926" s="81"/>
      <c r="DC926" s="81"/>
      <c r="DD926" s="81"/>
      <c r="DE926" s="81"/>
      <c r="DF926" s="81"/>
      <c r="DG926" s="81"/>
      <c r="DH926" s="81"/>
      <c r="DI926" s="81"/>
      <c r="DJ926" s="81"/>
      <c r="DK926" s="81"/>
      <c r="DL926" s="81"/>
      <c r="DM926" s="81"/>
      <c r="DN926" s="81"/>
      <c r="DO926" s="81"/>
      <c r="DP926" s="81"/>
      <c r="DQ926" s="81"/>
      <c r="DR926" s="81"/>
      <c r="DS926" s="81"/>
      <c r="DT926" s="81"/>
      <c r="DU926" s="81"/>
      <c r="DV926" s="81"/>
      <c r="DW926" s="121"/>
    </row>
    <row r="927" spans="1:127" x14ac:dyDescent="0.25">
      <c r="A927" s="2">
        <f>COUNTIF($D$2:D927,'Reporte de Nomina'!$E$2)</f>
        <v>0</v>
      </c>
      <c r="B927" s="125">
        <f>Lista!A926</f>
        <v>0</v>
      </c>
      <c r="C927" s="125">
        <f>Lista!B926</f>
        <v>0</v>
      </c>
      <c r="D927" s="125">
        <f>Lista!C926</f>
        <v>0</v>
      </c>
      <c r="E927" s="125">
        <f>Lista!D926</f>
        <v>0</v>
      </c>
      <c r="F927" s="125">
        <f>Lista!E926</f>
        <v>0</v>
      </c>
      <c r="G927" s="125">
        <f>Lista!F926</f>
        <v>0</v>
      </c>
      <c r="H927" s="125">
        <f>Lista!G926</f>
        <v>0</v>
      </c>
      <c r="I927" s="125">
        <f>Lista!H926</f>
        <v>0</v>
      </c>
      <c r="J927" s="125">
        <f>Lista!I926</f>
        <v>0</v>
      </c>
      <c r="K927" s="125">
        <f>Lista!J926</f>
        <v>0</v>
      </c>
      <c r="L927" s="125">
        <f>Lista!K926</f>
        <v>0</v>
      </c>
      <c r="M927" s="125">
        <f>Lista!L926</f>
        <v>0</v>
      </c>
      <c r="N927" s="125">
        <f>Lista!M926</f>
        <v>0</v>
      </c>
      <c r="O927" s="125">
        <f>Lista!N926</f>
        <v>0</v>
      </c>
      <c r="P927" s="125">
        <f>Lista!O926</f>
        <v>0</v>
      </c>
      <c r="Q927" s="125">
        <f>Lista!P926</f>
        <v>0</v>
      </c>
      <c r="R927" s="125">
        <f>Lista!Q926</f>
        <v>0</v>
      </c>
      <c r="S927" s="125">
        <f>Lista!R926</f>
        <v>0</v>
      </c>
      <c r="T927" s="81"/>
      <c r="U927" s="81"/>
      <c r="V927" s="81"/>
      <c r="W927" s="81"/>
      <c r="X927" s="81"/>
      <c r="Y927" s="81"/>
      <c r="Z927" s="81"/>
      <c r="AA927" s="81"/>
      <c r="AB927" s="81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  <c r="BS927" s="81"/>
      <c r="BT927" s="81"/>
      <c r="BU927" s="81"/>
      <c r="BV927" s="81"/>
      <c r="BW927" s="81"/>
      <c r="BX927" s="81"/>
      <c r="BY927" s="81"/>
      <c r="BZ927" s="81"/>
      <c r="CA927" s="81"/>
      <c r="CB927" s="81"/>
      <c r="CC927" s="81"/>
      <c r="CD927" s="81"/>
      <c r="CE927" s="81"/>
      <c r="CF927" s="81"/>
      <c r="CG927" s="81"/>
      <c r="CH927" s="81"/>
      <c r="CI927" s="81"/>
      <c r="CJ927" s="81"/>
      <c r="CK927" s="81"/>
      <c r="CL927" s="81"/>
      <c r="CM927" s="81"/>
      <c r="CN927" s="81"/>
      <c r="CO927" s="81"/>
      <c r="CP927" s="81"/>
      <c r="CQ927" s="81"/>
      <c r="CR927" s="81"/>
      <c r="CS927" s="81"/>
      <c r="CT927" s="81"/>
      <c r="CU927" s="81"/>
      <c r="CV927" s="81"/>
      <c r="CW927" s="81"/>
      <c r="CX927" s="81"/>
      <c r="CY927" s="81"/>
      <c r="CZ927" s="81"/>
      <c r="DA927" s="81"/>
      <c r="DB927" s="81"/>
      <c r="DC927" s="81"/>
      <c r="DD927" s="81"/>
      <c r="DE927" s="81"/>
      <c r="DF927" s="81"/>
      <c r="DG927" s="81"/>
      <c r="DH927" s="81"/>
      <c r="DI927" s="81"/>
      <c r="DJ927" s="81"/>
      <c r="DK927" s="81"/>
      <c r="DL927" s="81"/>
      <c r="DM927" s="81"/>
      <c r="DN927" s="81"/>
      <c r="DO927" s="81"/>
      <c r="DP927" s="81"/>
      <c r="DQ927" s="81"/>
      <c r="DR927" s="81"/>
      <c r="DS927" s="81"/>
      <c r="DT927" s="81"/>
      <c r="DU927" s="81"/>
      <c r="DV927" s="81"/>
      <c r="DW927" s="121"/>
    </row>
    <row r="928" spans="1:127" x14ac:dyDescent="0.25">
      <c r="A928" s="2">
        <f>COUNTIF($D$2:D928,'Reporte de Nomina'!$E$2)</f>
        <v>0</v>
      </c>
      <c r="B928" s="125">
        <f>Lista!A927</f>
        <v>0</v>
      </c>
      <c r="C928" s="125">
        <f>Lista!B927</f>
        <v>0</v>
      </c>
      <c r="D928" s="125">
        <f>Lista!C927</f>
        <v>0</v>
      </c>
      <c r="E928" s="125">
        <f>Lista!D927</f>
        <v>0</v>
      </c>
      <c r="F928" s="125">
        <f>Lista!E927</f>
        <v>0</v>
      </c>
      <c r="G928" s="125">
        <f>Lista!F927</f>
        <v>0</v>
      </c>
      <c r="H928" s="125">
        <f>Lista!G927</f>
        <v>0</v>
      </c>
      <c r="I928" s="125">
        <f>Lista!H927</f>
        <v>0</v>
      </c>
      <c r="J928" s="125">
        <f>Lista!I927</f>
        <v>0</v>
      </c>
      <c r="K928" s="125">
        <f>Lista!J927</f>
        <v>0</v>
      </c>
      <c r="L928" s="125">
        <f>Lista!K927</f>
        <v>0</v>
      </c>
      <c r="M928" s="125">
        <f>Lista!L927</f>
        <v>0</v>
      </c>
      <c r="N928" s="125">
        <f>Lista!M927</f>
        <v>0</v>
      </c>
      <c r="O928" s="125">
        <f>Lista!N927</f>
        <v>0</v>
      </c>
      <c r="P928" s="125">
        <f>Lista!O927</f>
        <v>0</v>
      </c>
      <c r="Q928" s="125">
        <f>Lista!P927</f>
        <v>0</v>
      </c>
      <c r="R928" s="125">
        <f>Lista!Q927</f>
        <v>0</v>
      </c>
      <c r="S928" s="125">
        <f>Lista!R927</f>
        <v>0</v>
      </c>
      <c r="T928" s="81"/>
      <c r="U928" s="81"/>
      <c r="V928" s="81"/>
      <c r="W928" s="81"/>
      <c r="X928" s="81"/>
      <c r="Y928" s="81"/>
      <c r="Z928" s="81"/>
      <c r="AA928" s="81"/>
      <c r="AB928" s="81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  <c r="BS928" s="81"/>
      <c r="BT928" s="81"/>
      <c r="BU928" s="81"/>
      <c r="BV928" s="81"/>
      <c r="BW928" s="81"/>
      <c r="BX928" s="81"/>
      <c r="BY928" s="81"/>
      <c r="BZ928" s="81"/>
      <c r="CA928" s="81"/>
      <c r="CB928" s="81"/>
      <c r="CC928" s="81"/>
      <c r="CD928" s="81"/>
      <c r="CE928" s="81"/>
      <c r="CF928" s="81"/>
      <c r="CG928" s="81"/>
      <c r="CH928" s="81"/>
      <c r="CI928" s="81"/>
      <c r="CJ928" s="81"/>
      <c r="CK928" s="81"/>
      <c r="CL928" s="81"/>
      <c r="CM928" s="81"/>
      <c r="CN928" s="81"/>
      <c r="CO928" s="81"/>
      <c r="CP928" s="81"/>
      <c r="CQ928" s="81"/>
      <c r="CR928" s="81"/>
      <c r="CS928" s="81"/>
      <c r="CT928" s="81"/>
      <c r="CU928" s="81"/>
      <c r="CV928" s="81"/>
      <c r="CW928" s="81"/>
      <c r="CX928" s="81"/>
      <c r="CY928" s="81"/>
      <c r="CZ928" s="81"/>
      <c r="DA928" s="81"/>
      <c r="DB928" s="81"/>
      <c r="DC928" s="81"/>
      <c r="DD928" s="81"/>
      <c r="DE928" s="81"/>
      <c r="DF928" s="81"/>
      <c r="DG928" s="81"/>
      <c r="DH928" s="81"/>
      <c r="DI928" s="81"/>
      <c r="DJ928" s="81"/>
      <c r="DK928" s="81"/>
      <c r="DL928" s="81"/>
      <c r="DM928" s="81"/>
      <c r="DN928" s="81"/>
      <c r="DO928" s="81"/>
      <c r="DP928" s="81"/>
      <c r="DQ928" s="81"/>
      <c r="DR928" s="81"/>
      <c r="DS928" s="81"/>
      <c r="DT928" s="81"/>
      <c r="DU928" s="81"/>
      <c r="DV928" s="81"/>
      <c r="DW928" s="121"/>
    </row>
    <row r="929" spans="1:127" x14ac:dyDescent="0.25">
      <c r="A929" s="2">
        <f>COUNTIF($D$2:D929,'Reporte de Nomina'!$E$2)</f>
        <v>0</v>
      </c>
      <c r="B929" s="125">
        <f>Lista!A928</f>
        <v>0</v>
      </c>
      <c r="C929" s="125">
        <f>Lista!B928</f>
        <v>0</v>
      </c>
      <c r="D929" s="125">
        <f>Lista!C928</f>
        <v>0</v>
      </c>
      <c r="E929" s="125">
        <f>Lista!D928</f>
        <v>0</v>
      </c>
      <c r="F929" s="125">
        <f>Lista!E928</f>
        <v>0</v>
      </c>
      <c r="G929" s="125">
        <f>Lista!F928</f>
        <v>0</v>
      </c>
      <c r="H929" s="125">
        <f>Lista!G928</f>
        <v>0</v>
      </c>
      <c r="I929" s="125">
        <f>Lista!H928</f>
        <v>0</v>
      </c>
      <c r="J929" s="125">
        <f>Lista!I928</f>
        <v>0</v>
      </c>
      <c r="K929" s="125">
        <f>Lista!J928</f>
        <v>0</v>
      </c>
      <c r="L929" s="125">
        <f>Lista!K928</f>
        <v>0</v>
      </c>
      <c r="M929" s="125">
        <f>Lista!L928</f>
        <v>0</v>
      </c>
      <c r="N929" s="125">
        <f>Lista!M928</f>
        <v>0</v>
      </c>
      <c r="O929" s="125">
        <f>Lista!N928</f>
        <v>0</v>
      </c>
      <c r="P929" s="125">
        <f>Lista!O928</f>
        <v>0</v>
      </c>
      <c r="Q929" s="125">
        <f>Lista!P928</f>
        <v>0</v>
      </c>
      <c r="R929" s="125">
        <f>Lista!Q928</f>
        <v>0</v>
      </c>
      <c r="S929" s="125">
        <f>Lista!R928</f>
        <v>0</v>
      </c>
      <c r="T929" s="81"/>
      <c r="U929" s="81"/>
      <c r="V929" s="81"/>
      <c r="W929" s="81"/>
      <c r="X929" s="81"/>
      <c r="Y929" s="81"/>
      <c r="Z929" s="81"/>
      <c r="AA929" s="81"/>
      <c r="AB929" s="81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  <c r="BS929" s="81"/>
      <c r="BT929" s="81"/>
      <c r="BU929" s="81"/>
      <c r="BV929" s="81"/>
      <c r="BW929" s="81"/>
      <c r="BX929" s="81"/>
      <c r="BY929" s="81"/>
      <c r="BZ929" s="81"/>
      <c r="CA929" s="81"/>
      <c r="CB929" s="81"/>
      <c r="CC929" s="81"/>
      <c r="CD929" s="81"/>
      <c r="CE929" s="81"/>
      <c r="CF929" s="81"/>
      <c r="CG929" s="81"/>
      <c r="CH929" s="81"/>
      <c r="CI929" s="81"/>
      <c r="CJ929" s="81"/>
      <c r="CK929" s="81"/>
      <c r="CL929" s="81"/>
      <c r="CM929" s="81"/>
      <c r="CN929" s="81"/>
      <c r="CO929" s="81"/>
      <c r="CP929" s="81"/>
      <c r="CQ929" s="81"/>
      <c r="CR929" s="81"/>
      <c r="CS929" s="81"/>
      <c r="CT929" s="81"/>
      <c r="CU929" s="81"/>
      <c r="CV929" s="81"/>
      <c r="CW929" s="81"/>
      <c r="CX929" s="81"/>
      <c r="CY929" s="81"/>
      <c r="CZ929" s="81"/>
      <c r="DA929" s="81"/>
      <c r="DB929" s="81"/>
      <c r="DC929" s="81"/>
      <c r="DD929" s="81"/>
      <c r="DE929" s="81"/>
      <c r="DF929" s="81"/>
      <c r="DG929" s="81"/>
      <c r="DH929" s="81"/>
      <c r="DI929" s="81"/>
      <c r="DJ929" s="81"/>
      <c r="DK929" s="81"/>
      <c r="DL929" s="81"/>
      <c r="DM929" s="81"/>
      <c r="DN929" s="81"/>
      <c r="DO929" s="81"/>
      <c r="DP929" s="81"/>
      <c r="DQ929" s="81"/>
      <c r="DR929" s="81"/>
      <c r="DS929" s="81"/>
      <c r="DT929" s="81"/>
      <c r="DU929" s="81"/>
      <c r="DV929" s="81"/>
      <c r="DW929" s="121"/>
    </row>
    <row r="930" spans="1:127" x14ac:dyDescent="0.25">
      <c r="A930" s="2">
        <f>COUNTIF($D$2:D930,'Reporte de Nomina'!$E$2)</f>
        <v>0</v>
      </c>
      <c r="B930" s="125">
        <f>Lista!A929</f>
        <v>0</v>
      </c>
      <c r="C930" s="125">
        <f>Lista!B929</f>
        <v>0</v>
      </c>
      <c r="D930" s="125">
        <f>Lista!C929</f>
        <v>0</v>
      </c>
      <c r="E930" s="125">
        <f>Lista!D929</f>
        <v>0</v>
      </c>
      <c r="F930" s="125">
        <f>Lista!E929</f>
        <v>0</v>
      </c>
      <c r="G930" s="125">
        <f>Lista!F929</f>
        <v>0</v>
      </c>
      <c r="H930" s="125">
        <f>Lista!G929</f>
        <v>0</v>
      </c>
      <c r="I930" s="125">
        <f>Lista!H929</f>
        <v>0</v>
      </c>
      <c r="J930" s="125">
        <f>Lista!I929</f>
        <v>0</v>
      </c>
      <c r="K930" s="125">
        <f>Lista!J929</f>
        <v>0</v>
      </c>
      <c r="L930" s="125">
        <f>Lista!K929</f>
        <v>0</v>
      </c>
      <c r="M930" s="125">
        <f>Lista!L929</f>
        <v>0</v>
      </c>
      <c r="N930" s="125">
        <f>Lista!M929</f>
        <v>0</v>
      </c>
      <c r="O930" s="125">
        <f>Lista!N929</f>
        <v>0</v>
      </c>
      <c r="P930" s="125">
        <f>Lista!O929</f>
        <v>0</v>
      </c>
      <c r="Q930" s="125">
        <f>Lista!P929</f>
        <v>0</v>
      </c>
      <c r="R930" s="125">
        <f>Lista!Q929</f>
        <v>0</v>
      </c>
      <c r="S930" s="125">
        <f>Lista!R929</f>
        <v>0</v>
      </c>
      <c r="T930" s="81"/>
      <c r="U930" s="81"/>
      <c r="V930" s="81"/>
      <c r="W930" s="81"/>
      <c r="X930" s="81"/>
      <c r="Y930" s="81"/>
      <c r="Z930" s="81"/>
      <c r="AA930" s="81"/>
      <c r="AB930" s="81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  <c r="BS930" s="81"/>
      <c r="BT930" s="81"/>
      <c r="BU930" s="81"/>
      <c r="BV930" s="81"/>
      <c r="BW930" s="81"/>
      <c r="BX930" s="81"/>
      <c r="BY930" s="81"/>
      <c r="BZ930" s="81"/>
      <c r="CA930" s="81"/>
      <c r="CB930" s="81"/>
      <c r="CC930" s="81"/>
      <c r="CD930" s="81"/>
      <c r="CE930" s="81"/>
      <c r="CF930" s="81"/>
      <c r="CG930" s="81"/>
      <c r="CH930" s="81"/>
      <c r="CI930" s="81"/>
      <c r="CJ930" s="81"/>
      <c r="CK930" s="81"/>
      <c r="CL930" s="81"/>
      <c r="CM930" s="81"/>
      <c r="CN930" s="81"/>
      <c r="CO930" s="81"/>
      <c r="CP930" s="81"/>
      <c r="CQ930" s="81"/>
      <c r="CR930" s="81"/>
      <c r="CS930" s="81"/>
      <c r="CT930" s="81"/>
      <c r="CU930" s="81"/>
      <c r="CV930" s="81"/>
      <c r="CW930" s="81"/>
      <c r="CX930" s="81"/>
      <c r="CY930" s="81"/>
      <c r="CZ930" s="81"/>
      <c r="DA930" s="81"/>
      <c r="DB930" s="81"/>
      <c r="DC930" s="81"/>
      <c r="DD930" s="81"/>
      <c r="DE930" s="81"/>
      <c r="DF930" s="81"/>
      <c r="DG930" s="81"/>
      <c r="DH930" s="81"/>
      <c r="DI930" s="81"/>
      <c r="DJ930" s="81"/>
      <c r="DK930" s="81"/>
      <c r="DL930" s="81"/>
      <c r="DM930" s="81"/>
      <c r="DN930" s="81"/>
      <c r="DO930" s="81"/>
      <c r="DP930" s="81"/>
      <c r="DQ930" s="81"/>
      <c r="DR930" s="81"/>
      <c r="DS930" s="81"/>
      <c r="DT930" s="81"/>
      <c r="DU930" s="81"/>
      <c r="DV930" s="81"/>
      <c r="DW930" s="121"/>
    </row>
    <row r="931" spans="1:127" x14ac:dyDescent="0.25">
      <c r="A931" s="2">
        <f>COUNTIF($D$2:D931,'Reporte de Nomina'!$E$2)</f>
        <v>0</v>
      </c>
      <c r="B931" s="125">
        <f>Lista!A930</f>
        <v>0</v>
      </c>
      <c r="C931" s="125">
        <f>Lista!B930</f>
        <v>0</v>
      </c>
      <c r="D931" s="125">
        <f>Lista!C930</f>
        <v>0</v>
      </c>
      <c r="E931" s="125">
        <f>Lista!D930</f>
        <v>0</v>
      </c>
      <c r="F931" s="125">
        <f>Lista!E930</f>
        <v>0</v>
      </c>
      <c r="G931" s="125">
        <f>Lista!F930</f>
        <v>0</v>
      </c>
      <c r="H931" s="125">
        <f>Lista!G930</f>
        <v>0</v>
      </c>
      <c r="I931" s="125">
        <f>Lista!H930</f>
        <v>0</v>
      </c>
      <c r="J931" s="125">
        <f>Lista!I930</f>
        <v>0</v>
      </c>
      <c r="K931" s="125">
        <f>Lista!J930</f>
        <v>0</v>
      </c>
      <c r="L931" s="125">
        <f>Lista!K930</f>
        <v>0</v>
      </c>
      <c r="M931" s="125">
        <f>Lista!L930</f>
        <v>0</v>
      </c>
      <c r="N931" s="125">
        <f>Lista!M930</f>
        <v>0</v>
      </c>
      <c r="O931" s="125">
        <f>Lista!N930</f>
        <v>0</v>
      </c>
      <c r="P931" s="125">
        <f>Lista!O930</f>
        <v>0</v>
      </c>
      <c r="Q931" s="125">
        <f>Lista!P930</f>
        <v>0</v>
      </c>
      <c r="R931" s="125">
        <f>Lista!Q930</f>
        <v>0</v>
      </c>
      <c r="S931" s="125">
        <f>Lista!R930</f>
        <v>0</v>
      </c>
      <c r="T931" s="81"/>
      <c r="U931" s="81"/>
      <c r="V931" s="81"/>
      <c r="W931" s="81"/>
      <c r="X931" s="81"/>
      <c r="Y931" s="81"/>
      <c r="Z931" s="81"/>
      <c r="AA931" s="81"/>
      <c r="AB931" s="81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  <c r="BS931" s="81"/>
      <c r="BT931" s="81"/>
      <c r="BU931" s="81"/>
      <c r="BV931" s="81"/>
      <c r="BW931" s="81"/>
      <c r="BX931" s="81"/>
      <c r="BY931" s="81"/>
      <c r="BZ931" s="81"/>
      <c r="CA931" s="81"/>
      <c r="CB931" s="81"/>
      <c r="CC931" s="81"/>
      <c r="CD931" s="81"/>
      <c r="CE931" s="81"/>
      <c r="CF931" s="81"/>
      <c r="CG931" s="81"/>
      <c r="CH931" s="81"/>
      <c r="CI931" s="81"/>
      <c r="CJ931" s="81"/>
      <c r="CK931" s="81"/>
      <c r="CL931" s="81"/>
      <c r="CM931" s="81"/>
      <c r="CN931" s="81"/>
      <c r="CO931" s="81"/>
      <c r="CP931" s="81"/>
      <c r="CQ931" s="81"/>
      <c r="CR931" s="81"/>
      <c r="CS931" s="81"/>
      <c r="CT931" s="81"/>
      <c r="CU931" s="81"/>
      <c r="CV931" s="81"/>
      <c r="CW931" s="81"/>
      <c r="CX931" s="81"/>
      <c r="CY931" s="81"/>
      <c r="CZ931" s="81"/>
      <c r="DA931" s="81"/>
      <c r="DB931" s="81"/>
      <c r="DC931" s="81"/>
      <c r="DD931" s="81"/>
      <c r="DE931" s="81"/>
      <c r="DF931" s="81"/>
      <c r="DG931" s="81"/>
      <c r="DH931" s="81"/>
      <c r="DI931" s="81"/>
      <c r="DJ931" s="81"/>
      <c r="DK931" s="81"/>
      <c r="DL931" s="81"/>
      <c r="DM931" s="81"/>
      <c r="DN931" s="81"/>
      <c r="DO931" s="81"/>
      <c r="DP931" s="81"/>
      <c r="DQ931" s="81"/>
      <c r="DR931" s="81"/>
      <c r="DS931" s="81"/>
      <c r="DT931" s="81"/>
      <c r="DU931" s="81"/>
      <c r="DV931" s="81"/>
      <c r="DW931" s="121"/>
    </row>
    <row r="932" spans="1:127" x14ac:dyDescent="0.25">
      <c r="A932" s="2">
        <f>COUNTIF($D$2:D932,'Reporte de Nomina'!$E$2)</f>
        <v>0</v>
      </c>
      <c r="B932" s="125">
        <f>Lista!A931</f>
        <v>0</v>
      </c>
      <c r="C932" s="125">
        <f>Lista!B931</f>
        <v>0</v>
      </c>
      <c r="D932" s="125">
        <f>Lista!C931</f>
        <v>0</v>
      </c>
      <c r="E932" s="125">
        <f>Lista!D931</f>
        <v>0</v>
      </c>
      <c r="F932" s="125">
        <f>Lista!E931</f>
        <v>0</v>
      </c>
      <c r="G932" s="125">
        <f>Lista!F931</f>
        <v>0</v>
      </c>
      <c r="H932" s="125">
        <f>Lista!G931</f>
        <v>0</v>
      </c>
      <c r="I932" s="125">
        <f>Lista!H931</f>
        <v>0</v>
      </c>
      <c r="J932" s="125">
        <f>Lista!I931</f>
        <v>0</v>
      </c>
      <c r="K932" s="125">
        <f>Lista!J931</f>
        <v>0</v>
      </c>
      <c r="L932" s="125">
        <f>Lista!K931</f>
        <v>0</v>
      </c>
      <c r="M932" s="125">
        <f>Lista!L931</f>
        <v>0</v>
      </c>
      <c r="N932" s="125">
        <f>Lista!M931</f>
        <v>0</v>
      </c>
      <c r="O932" s="125">
        <f>Lista!N931</f>
        <v>0</v>
      </c>
      <c r="P932" s="125">
        <f>Lista!O931</f>
        <v>0</v>
      </c>
      <c r="Q932" s="125">
        <f>Lista!P931</f>
        <v>0</v>
      </c>
      <c r="R932" s="125">
        <f>Lista!Q931</f>
        <v>0</v>
      </c>
      <c r="S932" s="125">
        <f>Lista!R931</f>
        <v>0</v>
      </c>
      <c r="T932" s="81"/>
      <c r="U932" s="81"/>
      <c r="V932" s="81"/>
      <c r="W932" s="81"/>
      <c r="X932" s="81"/>
      <c r="Y932" s="81"/>
      <c r="Z932" s="81"/>
      <c r="AA932" s="81"/>
      <c r="AB932" s="81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  <c r="BS932" s="81"/>
      <c r="BT932" s="81"/>
      <c r="BU932" s="81"/>
      <c r="BV932" s="81"/>
      <c r="BW932" s="81"/>
      <c r="BX932" s="81"/>
      <c r="BY932" s="81"/>
      <c r="BZ932" s="81"/>
      <c r="CA932" s="81"/>
      <c r="CB932" s="81"/>
      <c r="CC932" s="81"/>
      <c r="CD932" s="81"/>
      <c r="CE932" s="81"/>
      <c r="CF932" s="81"/>
      <c r="CG932" s="81"/>
      <c r="CH932" s="81"/>
      <c r="CI932" s="81"/>
      <c r="CJ932" s="81"/>
      <c r="CK932" s="81"/>
      <c r="CL932" s="81"/>
      <c r="CM932" s="81"/>
      <c r="CN932" s="81"/>
      <c r="CO932" s="81"/>
      <c r="CP932" s="81"/>
      <c r="CQ932" s="81"/>
      <c r="CR932" s="81"/>
      <c r="CS932" s="81"/>
      <c r="CT932" s="81"/>
      <c r="CU932" s="81"/>
      <c r="CV932" s="81"/>
      <c r="CW932" s="81"/>
      <c r="CX932" s="81"/>
      <c r="CY932" s="81"/>
      <c r="CZ932" s="81"/>
      <c r="DA932" s="81"/>
      <c r="DB932" s="81"/>
      <c r="DC932" s="81"/>
      <c r="DD932" s="81"/>
      <c r="DE932" s="81"/>
      <c r="DF932" s="81"/>
      <c r="DG932" s="81"/>
      <c r="DH932" s="81"/>
      <c r="DI932" s="81"/>
      <c r="DJ932" s="81"/>
      <c r="DK932" s="81"/>
      <c r="DL932" s="81"/>
      <c r="DM932" s="81"/>
      <c r="DN932" s="81"/>
      <c r="DO932" s="81"/>
      <c r="DP932" s="81"/>
      <c r="DQ932" s="81"/>
      <c r="DR932" s="81"/>
      <c r="DS932" s="81"/>
      <c r="DT932" s="81"/>
      <c r="DU932" s="81"/>
      <c r="DV932" s="81"/>
      <c r="DW932" s="121"/>
    </row>
    <row r="933" spans="1:127" x14ac:dyDescent="0.25">
      <c r="A933" s="2">
        <f>COUNTIF($D$2:D933,'Reporte de Nomina'!$E$2)</f>
        <v>0</v>
      </c>
      <c r="B933" s="125">
        <f>Lista!A932</f>
        <v>0</v>
      </c>
      <c r="C933" s="125">
        <f>Lista!B932</f>
        <v>0</v>
      </c>
      <c r="D933" s="125">
        <f>Lista!C932</f>
        <v>0</v>
      </c>
      <c r="E933" s="125">
        <f>Lista!D932</f>
        <v>0</v>
      </c>
      <c r="F933" s="125">
        <f>Lista!E932</f>
        <v>0</v>
      </c>
      <c r="G933" s="125">
        <f>Lista!F932</f>
        <v>0</v>
      </c>
      <c r="H933" s="125">
        <f>Lista!G932</f>
        <v>0</v>
      </c>
      <c r="I933" s="125">
        <f>Lista!H932</f>
        <v>0</v>
      </c>
      <c r="J933" s="125">
        <f>Lista!I932</f>
        <v>0</v>
      </c>
      <c r="K933" s="125">
        <f>Lista!J932</f>
        <v>0</v>
      </c>
      <c r="L933" s="125">
        <f>Lista!K932</f>
        <v>0</v>
      </c>
      <c r="M933" s="125">
        <f>Lista!L932</f>
        <v>0</v>
      </c>
      <c r="N933" s="125">
        <f>Lista!M932</f>
        <v>0</v>
      </c>
      <c r="O933" s="125">
        <f>Lista!N932</f>
        <v>0</v>
      </c>
      <c r="P933" s="125">
        <f>Lista!O932</f>
        <v>0</v>
      </c>
      <c r="Q933" s="125">
        <f>Lista!P932</f>
        <v>0</v>
      </c>
      <c r="R933" s="125">
        <f>Lista!Q932</f>
        <v>0</v>
      </c>
      <c r="S933" s="125">
        <f>Lista!R932</f>
        <v>0</v>
      </c>
      <c r="T933" s="81"/>
      <c r="U933" s="81"/>
      <c r="V933" s="81"/>
      <c r="W933" s="81"/>
      <c r="X933" s="81"/>
      <c r="Y933" s="81"/>
      <c r="Z933" s="81"/>
      <c r="AA933" s="81"/>
      <c r="AB933" s="81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  <c r="BS933" s="81"/>
      <c r="BT933" s="81"/>
      <c r="BU933" s="81"/>
      <c r="BV933" s="81"/>
      <c r="BW933" s="81"/>
      <c r="BX933" s="81"/>
      <c r="BY933" s="81"/>
      <c r="BZ933" s="81"/>
      <c r="CA933" s="81"/>
      <c r="CB933" s="81"/>
      <c r="CC933" s="81"/>
      <c r="CD933" s="81"/>
      <c r="CE933" s="81"/>
      <c r="CF933" s="81"/>
      <c r="CG933" s="81"/>
      <c r="CH933" s="81"/>
      <c r="CI933" s="81"/>
      <c r="CJ933" s="81"/>
      <c r="CK933" s="81"/>
      <c r="CL933" s="81"/>
      <c r="CM933" s="81"/>
      <c r="CN933" s="81"/>
      <c r="CO933" s="81"/>
      <c r="CP933" s="81"/>
      <c r="CQ933" s="81"/>
      <c r="CR933" s="81"/>
      <c r="CS933" s="81"/>
      <c r="CT933" s="81"/>
      <c r="CU933" s="81"/>
      <c r="CV933" s="81"/>
      <c r="CW933" s="81"/>
      <c r="CX933" s="81"/>
      <c r="CY933" s="81"/>
      <c r="CZ933" s="81"/>
      <c r="DA933" s="81"/>
      <c r="DB933" s="81"/>
      <c r="DC933" s="81"/>
      <c r="DD933" s="81"/>
      <c r="DE933" s="81"/>
      <c r="DF933" s="81"/>
      <c r="DG933" s="81"/>
      <c r="DH933" s="81"/>
      <c r="DI933" s="81"/>
      <c r="DJ933" s="81"/>
      <c r="DK933" s="81"/>
      <c r="DL933" s="81"/>
      <c r="DM933" s="81"/>
      <c r="DN933" s="81"/>
      <c r="DO933" s="81"/>
      <c r="DP933" s="81"/>
      <c r="DQ933" s="81"/>
      <c r="DR933" s="81"/>
      <c r="DS933" s="81"/>
      <c r="DT933" s="81"/>
      <c r="DU933" s="81"/>
      <c r="DV933" s="81"/>
      <c r="DW933" s="121"/>
    </row>
    <row r="934" spans="1:127" x14ac:dyDescent="0.25">
      <c r="A934" s="2">
        <f>COUNTIF($D$2:D934,'Reporte de Nomina'!$E$2)</f>
        <v>0</v>
      </c>
      <c r="B934" s="125">
        <f>Lista!A933</f>
        <v>0</v>
      </c>
      <c r="C934" s="125">
        <f>Lista!B933</f>
        <v>0</v>
      </c>
      <c r="D934" s="125">
        <f>Lista!C933</f>
        <v>0</v>
      </c>
      <c r="E934" s="125">
        <f>Lista!D933</f>
        <v>0</v>
      </c>
      <c r="F934" s="125">
        <f>Lista!E933</f>
        <v>0</v>
      </c>
      <c r="G934" s="125">
        <f>Lista!F933</f>
        <v>0</v>
      </c>
      <c r="H934" s="125">
        <f>Lista!G933</f>
        <v>0</v>
      </c>
      <c r="I934" s="125">
        <f>Lista!H933</f>
        <v>0</v>
      </c>
      <c r="J934" s="125">
        <f>Lista!I933</f>
        <v>0</v>
      </c>
      <c r="K934" s="125">
        <f>Lista!J933</f>
        <v>0</v>
      </c>
      <c r="L934" s="125">
        <f>Lista!K933</f>
        <v>0</v>
      </c>
      <c r="M934" s="125">
        <f>Lista!L933</f>
        <v>0</v>
      </c>
      <c r="N934" s="125">
        <f>Lista!M933</f>
        <v>0</v>
      </c>
      <c r="O934" s="125">
        <f>Lista!N933</f>
        <v>0</v>
      </c>
      <c r="P934" s="125">
        <f>Lista!O933</f>
        <v>0</v>
      </c>
      <c r="Q934" s="125">
        <f>Lista!P933</f>
        <v>0</v>
      </c>
      <c r="R934" s="125">
        <f>Lista!Q933</f>
        <v>0</v>
      </c>
      <c r="S934" s="125">
        <f>Lista!R933</f>
        <v>0</v>
      </c>
      <c r="T934" s="81"/>
      <c r="U934" s="81"/>
      <c r="V934" s="81"/>
      <c r="W934" s="81"/>
      <c r="X934" s="81"/>
      <c r="Y934" s="81"/>
      <c r="Z934" s="81"/>
      <c r="AA934" s="81"/>
      <c r="AB934" s="81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  <c r="BS934" s="81"/>
      <c r="BT934" s="81"/>
      <c r="BU934" s="81"/>
      <c r="BV934" s="81"/>
      <c r="BW934" s="81"/>
      <c r="BX934" s="81"/>
      <c r="BY934" s="81"/>
      <c r="BZ934" s="81"/>
      <c r="CA934" s="81"/>
      <c r="CB934" s="81"/>
      <c r="CC934" s="81"/>
      <c r="CD934" s="81"/>
      <c r="CE934" s="81"/>
      <c r="CF934" s="81"/>
      <c r="CG934" s="81"/>
      <c r="CH934" s="81"/>
      <c r="CI934" s="81"/>
      <c r="CJ934" s="81"/>
      <c r="CK934" s="81"/>
      <c r="CL934" s="81"/>
      <c r="CM934" s="81"/>
      <c r="CN934" s="81"/>
      <c r="CO934" s="81"/>
      <c r="CP934" s="81"/>
      <c r="CQ934" s="81"/>
      <c r="CR934" s="81"/>
      <c r="CS934" s="81"/>
      <c r="CT934" s="81"/>
      <c r="CU934" s="81"/>
      <c r="CV934" s="81"/>
      <c r="CW934" s="81"/>
      <c r="CX934" s="81"/>
      <c r="CY934" s="81"/>
      <c r="CZ934" s="81"/>
      <c r="DA934" s="81"/>
      <c r="DB934" s="81"/>
      <c r="DC934" s="81"/>
      <c r="DD934" s="81"/>
      <c r="DE934" s="81"/>
      <c r="DF934" s="81"/>
      <c r="DG934" s="81"/>
      <c r="DH934" s="81"/>
      <c r="DI934" s="81"/>
      <c r="DJ934" s="81"/>
      <c r="DK934" s="81"/>
      <c r="DL934" s="81"/>
      <c r="DM934" s="81"/>
      <c r="DN934" s="81"/>
      <c r="DO934" s="81"/>
      <c r="DP934" s="81"/>
      <c r="DQ934" s="81"/>
      <c r="DR934" s="81"/>
      <c r="DS934" s="81"/>
      <c r="DT934" s="81"/>
      <c r="DU934" s="81"/>
      <c r="DV934" s="81"/>
      <c r="DW934" s="121"/>
    </row>
    <row r="935" spans="1:127" x14ac:dyDescent="0.25">
      <c r="A935" s="2">
        <f>COUNTIF($D$2:D935,'Reporte de Nomina'!$E$2)</f>
        <v>0</v>
      </c>
      <c r="B935" s="125">
        <f>Lista!A934</f>
        <v>0</v>
      </c>
      <c r="C935" s="125">
        <f>Lista!B934</f>
        <v>0</v>
      </c>
      <c r="D935" s="125">
        <f>Lista!C934</f>
        <v>0</v>
      </c>
      <c r="E935" s="125">
        <f>Lista!D934</f>
        <v>0</v>
      </c>
      <c r="F935" s="125">
        <f>Lista!E934</f>
        <v>0</v>
      </c>
      <c r="G935" s="125">
        <f>Lista!F934</f>
        <v>0</v>
      </c>
      <c r="H935" s="125">
        <f>Lista!G934</f>
        <v>0</v>
      </c>
      <c r="I935" s="125">
        <f>Lista!H934</f>
        <v>0</v>
      </c>
      <c r="J935" s="125">
        <f>Lista!I934</f>
        <v>0</v>
      </c>
      <c r="K935" s="125">
        <f>Lista!J934</f>
        <v>0</v>
      </c>
      <c r="L935" s="125">
        <f>Lista!K934</f>
        <v>0</v>
      </c>
      <c r="M935" s="125">
        <f>Lista!L934</f>
        <v>0</v>
      </c>
      <c r="N935" s="125">
        <f>Lista!M934</f>
        <v>0</v>
      </c>
      <c r="O935" s="125">
        <f>Lista!N934</f>
        <v>0</v>
      </c>
      <c r="P935" s="125">
        <f>Lista!O934</f>
        <v>0</v>
      </c>
      <c r="Q935" s="125">
        <f>Lista!P934</f>
        <v>0</v>
      </c>
      <c r="R935" s="125">
        <f>Lista!Q934</f>
        <v>0</v>
      </c>
      <c r="S935" s="125">
        <f>Lista!R934</f>
        <v>0</v>
      </c>
      <c r="T935" s="81"/>
      <c r="U935" s="81"/>
      <c r="V935" s="81"/>
      <c r="W935" s="81"/>
      <c r="X935" s="81"/>
      <c r="Y935" s="81"/>
      <c r="Z935" s="81"/>
      <c r="AA935" s="81"/>
      <c r="AB935" s="81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  <c r="BS935" s="81"/>
      <c r="BT935" s="81"/>
      <c r="BU935" s="81"/>
      <c r="BV935" s="81"/>
      <c r="BW935" s="81"/>
      <c r="BX935" s="81"/>
      <c r="BY935" s="81"/>
      <c r="BZ935" s="81"/>
      <c r="CA935" s="81"/>
      <c r="CB935" s="81"/>
      <c r="CC935" s="81"/>
      <c r="CD935" s="81"/>
      <c r="CE935" s="81"/>
      <c r="CF935" s="81"/>
      <c r="CG935" s="81"/>
      <c r="CH935" s="81"/>
      <c r="CI935" s="81"/>
      <c r="CJ935" s="81"/>
      <c r="CK935" s="81"/>
      <c r="CL935" s="81"/>
      <c r="CM935" s="81"/>
      <c r="CN935" s="81"/>
      <c r="CO935" s="81"/>
      <c r="CP935" s="81"/>
      <c r="CQ935" s="81"/>
      <c r="CR935" s="81"/>
      <c r="CS935" s="81"/>
      <c r="CT935" s="81"/>
      <c r="CU935" s="81"/>
      <c r="CV935" s="81"/>
      <c r="CW935" s="81"/>
      <c r="CX935" s="81"/>
      <c r="CY935" s="81"/>
      <c r="CZ935" s="81"/>
      <c r="DA935" s="81"/>
      <c r="DB935" s="81"/>
      <c r="DC935" s="81"/>
      <c r="DD935" s="81"/>
      <c r="DE935" s="81"/>
      <c r="DF935" s="81"/>
      <c r="DG935" s="81"/>
      <c r="DH935" s="81"/>
      <c r="DI935" s="81"/>
      <c r="DJ935" s="81"/>
      <c r="DK935" s="81"/>
      <c r="DL935" s="81"/>
      <c r="DM935" s="81"/>
      <c r="DN935" s="81"/>
      <c r="DO935" s="81"/>
      <c r="DP935" s="81"/>
      <c r="DQ935" s="81"/>
      <c r="DR935" s="81"/>
      <c r="DS935" s="81"/>
      <c r="DT935" s="81"/>
      <c r="DU935" s="81"/>
      <c r="DV935" s="81"/>
      <c r="DW935" s="121"/>
    </row>
    <row r="936" spans="1:127" x14ac:dyDescent="0.25">
      <c r="A936" s="2">
        <f>COUNTIF($D$2:D936,'Reporte de Nomina'!$E$2)</f>
        <v>0</v>
      </c>
      <c r="B936" s="125">
        <f>Lista!A935</f>
        <v>0</v>
      </c>
      <c r="C936" s="125">
        <f>Lista!B935</f>
        <v>0</v>
      </c>
      <c r="D936" s="125">
        <f>Lista!C935</f>
        <v>0</v>
      </c>
      <c r="E936" s="125">
        <f>Lista!D935</f>
        <v>0</v>
      </c>
      <c r="F936" s="125">
        <f>Lista!E935</f>
        <v>0</v>
      </c>
      <c r="G936" s="125">
        <f>Lista!F935</f>
        <v>0</v>
      </c>
      <c r="H936" s="125">
        <f>Lista!G935</f>
        <v>0</v>
      </c>
      <c r="I936" s="125">
        <f>Lista!H935</f>
        <v>0</v>
      </c>
      <c r="J936" s="125">
        <f>Lista!I935</f>
        <v>0</v>
      </c>
      <c r="K936" s="125">
        <f>Lista!J935</f>
        <v>0</v>
      </c>
      <c r="L936" s="125">
        <f>Lista!K935</f>
        <v>0</v>
      </c>
      <c r="M936" s="125">
        <f>Lista!L935</f>
        <v>0</v>
      </c>
      <c r="N936" s="125">
        <f>Lista!M935</f>
        <v>0</v>
      </c>
      <c r="O936" s="125">
        <f>Lista!N935</f>
        <v>0</v>
      </c>
      <c r="P936" s="125">
        <f>Lista!O935</f>
        <v>0</v>
      </c>
      <c r="Q936" s="125">
        <f>Lista!P935</f>
        <v>0</v>
      </c>
      <c r="R936" s="125">
        <f>Lista!Q935</f>
        <v>0</v>
      </c>
      <c r="S936" s="125">
        <f>Lista!R935</f>
        <v>0</v>
      </c>
      <c r="T936" s="81"/>
      <c r="U936" s="81"/>
      <c r="V936" s="81"/>
      <c r="W936" s="81"/>
      <c r="X936" s="81"/>
      <c r="Y936" s="81"/>
      <c r="Z936" s="81"/>
      <c r="AA936" s="81"/>
      <c r="AB936" s="81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  <c r="BS936" s="81"/>
      <c r="BT936" s="81"/>
      <c r="BU936" s="81"/>
      <c r="BV936" s="81"/>
      <c r="BW936" s="81"/>
      <c r="BX936" s="81"/>
      <c r="BY936" s="81"/>
      <c r="BZ936" s="81"/>
      <c r="CA936" s="81"/>
      <c r="CB936" s="81"/>
      <c r="CC936" s="81"/>
      <c r="CD936" s="81"/>
      <c r="CE936" s="81"/>
      <c r="CF936" s="81"/>
      <c r="CG936" s="81"/>
      <c r="CH936" s="81"/>
      <c r="CI936" s="81"/>
      <c r="CJ936" s="81"/>
      <c r="CK936" s="81"/>
      <c r="CL936" s="81"/>
      <c r="CM936" s="81"/>
      <c r="CN936" s="81"/>
      <c r="CO936" s="81"/>
      <c r="CP936" s="81"/>
      <c r="CQ936" s="81"/>
      <c r="CR936" s="81"/>
      <c r="CS936" s="81"/>
      <c r="CT936" s="81"/>
      <c r="CU936" s="81"/>
      <c r="CV936" s="81"/>
      <c r="CW936" s="81"/>
      <c r="CX936" s="81"/>
      <c r="CY936" s="81"/>
      <c r="CZ936" s="81"/>
      <c r="DA936" s="81"/>
      <c r="DB936" s="81"/>
      <c r="DC936" s="81"/>
      <c r="DD936" s="81"/>
      <c r="DE936" s="81"/>
      <c r="DF936" s="81"/>
      <c r="DG936" s="81"/>
      <c r="DH936" s="81"/>
      <c r="DI936" s="81"/>
      <c r="DJ936" s="81"/>
      <c r="DK936" s="81"/>
      <c r="DL936" s="81"/>
      <c r="DM936" s="81"/>
      <c r="DN936" s="81"/>
      <c r="DO936" s="81"/>
      <c r="DP936" s="81"/>
      <c r="DQ936" s="81"/>
      <c r="DR936" s="81"/>
      <c r="DS936" s="81"/>
      <c r="DT936" s="81"/>
      <c r="DU936" s="81"/>
      <c r="DV936" s="81"/>
      <c r="DW936" s="121"/>
    </row>
    <row r="937" spans="1:127" x14ac:dyDescent="0.25">
      <c r="A937" s="2">
        <f>COUNTIF($D$2:D937,'Reporte de Nomina'!$E$2)</f>
        <v>0</v>
      </c>
      <c r="B937" s="125">
        <f>Lista!A936</f>
        <v>0</v>
      </c>
      <c r="C937" s="125">
        <f>Lista!B936</f>
        <v>0</v>
      </c>
      <c r="D937" s="125">
        <f>Lista!C936</f>
        <v>0</v>
      </c>
      <c r="E937" s="125">
        <f>Lista!D936</f>
        <v>0</v>
      </c>
      <c r="F937" s="125">
        <f>Lista!E936</f>
        <v>0</v>
      </c>
      <c r="G937" s="125">
        <f>Lista!F936</f>
        <v>0</v>
      </c>
      <c r="H937" s="125">
        <f>Lista!G936</f>
        <v>0</v>
      </c>
      <c r="I937" s="125">
        <f>Lista!H936</f>
        <v>0</v>
      </c>
      <c r="J937" s="125">
        <f>Lista!I936</f>
        <v>0</v>
      </c>
      <c r="K937" s="125">
        <f>Lista!J936</f>
        <v>0</v>
      </c>
      <c r="L937" s="125">
        <f>Lista!K936</f>
        <v>0</v>
      </c>
      <c r="M937" s="125">
        <f>Lista!L936</f>
        <v>0</v>
      </c>
      <c r="N937" s="125">
        <f>Lista!M936</f>
        <v>0</v>
      </c>
      <c r="O937" s="125">
        <f>Lista!N936</f>
        <v>0</v>
      </c>
      <c r="P937" s="125">
        <f>Lista!O936</f>
        <v>0</v>
      </c>
      <c r="Q937" s="125">
        <f>Lista!P936</f>
        <v>0</v>
      </c>
      <c r="R937" s="125">
        <f>Lista!Q936</f>
        <v>0</v>
      </c>
      <c r="S937" s="125">
        <f>Lista!R936</f>
        <v>0</v>
      </c>
      <c r="T937" s="81"/>
      <c r="U937" s="81"/>
      <c r="V937" s="81"/>
      <c r="W937" s="81"/>
      <c r="X937" s="81"/>
      <c r="Y937" s="81"/>
      <c r="Z937" s="81"/>
      <c r="AA937" s="81"/>
      <c r="AB937" s="81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  <c r="BS937" s="81"/>
      <c r="BT937" s="81"/>
      <c r="BU937" s="81"/>
      <c r="BV937" s="81"/>
      <c r="BW937" s="81"/>
      <c r="BX937" s="81"/>
      <c r="BY937" s="81"/>
      <c r="BZ937" s="81"/>
      <c r="CA937" s="81"/>
      <c r="CB937" s="81"/>
      <c r="CC937" s="81"/>
      <c r="CD937" s="81"/>
      <c r="CE937" s="81"/>
      <c r="CF937" s="81"/>
      <c r="CG937" s="81"/>
      <c r="CH937" s="81"/>
      <c r="CI937" s="81"/>
      <c r="CJ937" s="81"/>
      <c r="CK937" s="81"/>
      <c r="CL937" s="81"/>
      <c r="CM937" s="81"/>
      <c r="CN937" s="81"/>
      <c r="CO937" s="81"/>
      <c r="CP937" s="81"/>
      <c r="CQ937" s="81"/>
      <c r="CR937" s="81"/>
      <c r="CS937" s="81"/>
      <c r="CT937" s="81"/>
      <c r="CU937" s="81"/>
      <c r="CV937" s="81"/>
      <c r="CW937" s="81"/>
      <c r="CX937" s="81"/>
      <c r="CY937" s="81"/>
      <c r="CZ937" s="81"/>
      <c r="DA937" s="81"/>
      <c r="DB937" s="81"/>
      <c r="DC937" s="81"/>
      <c r="DD937" s="81"/>
      <c r="DE937" s="81"/>
      <c r="DF937" s="81"/>
      <c r="DG937" s="81"/>
      <c r="DH937" s="81"/>
      <c r="DI937" s="81"/>
      <c r="DJ937" s="81"/>
      <c r="DK937" s="81"/>
      <c r="DL937" s="81"/>
      <c r="DM937" s="81"/>
      <c r="DN937" s="81"/>
      <c r="DO937" s="81"/>
      <c r="DP937" s="81"/>
      <c r="DQ937" s="81"/>
      <c r="DR937" s="81"/>
      <c r="DS937" s="81"/>
      <c r="DT937" s="81"/>
      <c r="DU937" s="81"/>
      <c r="DV937" s="81"/>
      <c r="DW937" s="121"/>
    </row>
    <row r="938" spans="1:127" x14ac:dyDescent="0.25">
      <c r="A938" s="2">
        <f>COUNTIF($D$2:D938,'Reporte de Nomina'!$E$2)</f>
        <v>0</v>
      </c>
      <c r="B938" s="125">
        <f>Lista!A937</f>
        <v>0</v>
      </c>
      <c r="C938" s="125">
        <f>Lista!B937</f>
        <v>0</v>
      </c>
      <c r="D938" s="125">
        <f>Lista!C937</f>
        <v>0</v>
      </c>
      <c r="E938" s="125">
        <f>Lista!D937</f>
        <v>0</v>
      </c>
      <c r="F938" s="125">
        <f>Lista!E937</f>
        <v>0</v>
      </c>
      <c r="G938" s="125">
        <f>Lista!F937</f>
        <v>0</v>
      </c>
      <c r="H938" s="125">
        <f>Lista!G937</f>
        <v>0</v>
      </c>
      <c r="I938" s="125">
        <f>Lista!H937</f>
        <v>0</v>
      </c>
      <c r="J938" s="125">
        <f>Lista!I937</f>
        <v>0</v>
      </c>
      <c r="K938" s="125">
        <f>Lista!J937</f>
        <v>0</v>
      </c>
      <c r="L938" s="125">
        <f>Lista!K937</f>
        <v>0</v>
      </c>
      <c r="M938" s="125">
        <f>Lista!L937</f>
        <v>0</v>
      </c>
      <c r="N938" s="125">
        <f>Lista!M937</f>
        <v>0</v>
      </c>
      <c r="O938" s="125">
        <f>Lista!N937</f>
        <v>0</v>
      </c>
      <c r="P938" s="125">
        <f>Lista!O937</f>
        <v>0</v>
      </c>
      <c r="Q938" s="125">
        <f>Lista!P937</f>
        <v>0</v>
      </c>
      <c r="R938" s="125">
        <f>Lista!Q937</f>
        <v>0</v>
      </c>
      <c r="S938" s="125">
        <f>Lista!R937</f>
        <v>0</v>
      </c>
      <c r="T938" s="81"/>
      <c r="U938" s="81"/>
      <c r="V938" s="81"/>
      <c r="W938" s="81"/>
      <c r="X938" s="81"/>
      <c r="Y938" s="81"/>
      <c r="Z938" s="81"/>
      <c r="AA938" s="81"/>
      <c r="AB938" s="81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  <c r="BS938" s="81"/>
      <c r="BT938" s="81"/>
      <c r="BU938" s="81"/>
      <c r="BV938" s="81"/>
      <c r="BW938" s="81"/>
      <c r="BX938" s="81"/>
      <c r="BY938" s="81"/>
      <c r="BZ938" s="81"/>
      <c r="CA938" s="81"/>
      <c r="CB938" s="81"/>
      <c r="CC938" s="81"/>
      <c r="CD938" s="81"/>
      <c r="CE938" s="81"/>
      <c r="CF938" s="81"/>
      <c r="CG938" s="81"/>
      <c r="CH938" s="81"/>
      <c r="CI938" s="81"/>
      <c r="CJ938" s="81"/>
      <c r="CK938" s="81"/>
      <c r="CL938" s="81"/>
      <c r="CM938" s="81"/>
      <c r="CN938" s="81"/>
      <c r="CO938" s="81"/>
      <c r="CP938" s="81"/>
      <c r="CQ938" s="81"/>
      <c r="CR938" s="81"/>
      <c r="CS938" s="81"/>
      <c r="CT938" s="81"/>
      <c r="CU938" s="81"/>
      <c r="CV938" s="81"/>
      <c r="CW938" s="81"/>
      <c r="CX938" s="81"/>
      <c r="CY938" s="81"/>
      <c r="CZ938" s="81"/>
      <c r="DA938" s="81"/>
      <c r="DB938" s="81"/>
      <c r="DC938" s="81"/>
      <c r="DD938" s="81"/>
      <c r="DE938" s="81"/>
      <c r="DF938" s="81"/>
      <c r="DG938" s="81"/>
      <c r="DH938" s="81"/>
      <c r="DI938" s="81"/>
      <c r="DJ938" s="81"/>
      <c r="DK938" s="81"/>
      <c r="DL938" s="81"/>
      <c r="DM938" s="81"/>
      <c r="DN938" s="81"/>
      <c r="DO938" s="81"/>
      <c r="DP938" s="81"/>
      <c r="DQ938" s="81"/>
      <c r="DR938" s="81"/>
      <c r="DS938" s="81"/>
      <c r="DT938" s="81"/>
      <c r="DU938" s="81"/>
      <c r="DV938" s="81"/>
      <c r="DW938" s="121"/>
    </row>
    <row r="939" spans="1:127" x14ac:dyDescent="0.25">
      <c r="A939" s="2">
        <f>COUNTIF($D$2:D939,'Reporte de Nomina'!$E$2)</f>
        <v>0</v>
      </c>
      <c r="B939" s="125">
        <f>Lista!A938</f>
        <v>0</v>
      </c>
      <c r="C939" s="125">
        <f>Lista!B938</f>
        <v>0</v>
      </c>
      <c r="D939" s="125">
        <f>Lista!C938</f>
        <v>0</v>
      </c>
      <c r="E939" s="125">
        <f>Lista!D938</f>
        <v>0</v>
      </c>
      <c r="F939" s="125">
        <f>Lista!E938</f>
        <v>0</v>
      </c>
      <c r="G939" s="125">
        <f>Lista!F938</f>
        <v>0</v>
      </c>
      <c r="H939" s="125">
        <f>Lista!G938</f>
        <v>0</v>
      </c>
      <c r="I939" s="125">
        <f>Lista!H938</f>
        <v>0</v>
      </c>
      <c r="J939" s="125">
        <f>Lista!I938</f>
        <v>0</v>
      </c>
      <c r="K939" s="125">
        <f>Lista!J938</f>
        <v>0</v>
      </c>
      <c r="L939" s="125">
        <f>Lista!K938</f>
        <v>0</v>
      </c>
      <c r="M939" s="125">
        <f>Lista!L938</f>
        <v>0</v>
      </c>
      <c r="N939" s="125">
        <f>Lista!M938</f>
        <v>0</v>
      </c>
      <c r="O939" s="125">
        <f>Lista!N938</f>
        <v>0</v>
      </c>
      <c r="P939" s="125">
        <f>Lista!O938</f>
        <v>0</v>
      </c>
      <c r="Q939" s="125">
        <f>Lista!P938</f>
        <v>0</v>
      </c>
      <c r="R939" s="125">
        <f>Lista!Q938</f>
        <v>0</v>
      </c>
      <c r="S939" s="125">
        <f>Lista!R938</f>
        <v>0</v>
      </c>
      <c r="T939" s="81"/>
      <c r="U939" s="81"/>
      <c r="V939" s="81"/>
      <c r="W939" s="81"/>
      <c r="X939" s="81"/>
      <c r="Y939" s="81"/>
      <c r="Z939" s="81"/>
      <c r="AA939" s="81"/>
      <c r="AB939" s="81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  <c r="BS939" s="81"/>
      <c r="BT939" s="81"/>
      <c r="BU939" s="81"/>
      <c r="BV939" s="81"/>
      <c r="BW939" s="81"/>
      <c r="BX939" s="81"/>
      <c r="BY939" s="81"/>
      <c r="BZ939" s="81"/>
      <c r="CA939" s="81"/>
      <c r="CB939" s="81"/>
      <c r="CC939" s="81"/>
      <c r="CD939" s="81"/>
      <c r="CE939" s="81"/>
      <c r="CF939" s="81"/>
      <c r="CG939" s="81"/>
      <c r="CH939" s="81"/>
      <c r="CI939" s="81"/>
      <c r="CJ939" s="81"/>
      <c r="CK939" s="81"/>
      <c r="CL939" s="81"/>
      <c r="CM939" s="81"/>
      <c r="CN939" s="81"/>
      <c r="CO939" s="81"/>
      <c r="CP939" s="81"/>
      <c r="CQ939" s="81"/>
      <c r="CR939" s="81"/>
      <c r="CS939" s="81"/>
      <c r="CT939" s="81"/>
      <c r="CU939" s="81"/>
      <c r="CV939" s="81"/>
      <c r="CW939" s="81"/>
      <c r="CX939" s="81"/>
      <c r="CY939" s="81"/>
      <c r="CZ939" s="81"/>
      <c r="DA939" s="81"/>
      <c r="DB939" s="81"/>
      <c r="DC939" s="81"/>
      <c r="DD939" s="81"/>
      <c r="DE939" s="81"/>
      <c r="DF939" s="81"/>
      <c r="DG939" s="81"/>
      <c r="DH939" s="81"/>
      <c r="DI939" s="81"/>
      <c r="DJ939" s="81"/>
      <c r="DK939" s="81"/>
      <c r="DL939" s="81"/>
      <c r="DM939" s="81"/>
      <c r="DN939" s="81"/>
      <c r="DO939" s="81"/>
      <c r="DP939" s="81"/>
      <c r="DQ939" s="81"/>
      <c r="DR939" s="81"/>
      <c r="DS939" s="81"/>
      <c r="DT939" s="81"/>
      <c r="DU939" s="81"/>
      <c r="DV939" s="81"/>
      <c r="DW939" s="121"/>
    </row>
    <row r="940" spans="1:127" x14ac:dyDescent="0.25">
      <c r="A940" s="2">
        <f>COUNTIF($D$2:D940,'Reporte de Nomina'!$E$2)</f>
        <v>0</v>
      </c>
      <c r="B940" s="125">
        <f>Lista!A939</f>
        <v>0</v>
      </c>
      <c r="C940" s="125">
        <f>Lista!B939</f>
        <v>0</v>
      </c>
      <c r="D940" s="125">
        <f>Lista!C939</f>
        <v>0</v>
      </c>
      <c r="E940" s="125">
        <f>Lista!D939</f>
        <v>0</v>
      </c>
      <c r="F940" s="125">
        <f>Lista!E939</f>
        <v>0</v>
      </c>
      <c r="G940" s="125">
        <f>Lista!F939</f>
        <v>0</v>
      </c>
      <c r="H940" s="125">
        <f>Lista!G939</f>
        <v>0</v>
      </c>
      <c r="I940" s="125">
        <f>Lista!H939</f>
        <v>0</v>
      </c>
      <c r="J940" s="125">
        <f>Lista!I939</f>
        <v>0</v>
      </c>
      <c r="K940" s="125">
        <f>Lista!J939</f>
        <v>0</v>
      </c>
      <c r="L940" s="125">
        <f>Lista!K939</f>
        <v>0</v>
      </c>
      <c r="M940" s="125">
        <f>Lista!L939</f>
        <v>0</v>
      </c>
      <c r="N940" s="125">
        <f>Lista!M939</f>
        <v>0</v>
      </c>
      <c r="O940" s="125">
        <f>Lista!N939</f>
        <v>0</v>
      </c>
      <c r="P940" s="125">
        <f>Lista!O939</f>
        <v>0</v>
      </c>
      <c r="Q940" s="125">
        <f>Lista!P939</f>
        <v>0</v>
      </c>
      <c r="R940" s="125">
        <f>Lista!Q939</f>
        <v>0</v>
      </c>
      <c r="S940" s="125">
        <f>Lista!R939</f>
        <v>0</v>
      </c>
      <c r="T940" s="81"/>
      <c r="U940" s="81"/>
      <c r="V940" s="81"/>
      <c r="W940" s="81"/>
      <c r="X940" s="81"/>
      <c r="Y940" s="81"/>
      <c r="Z940" s="81"/>
      <c r="AA940" s="81"/>
      <c r="AB940" s="81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  <c r="BS940" s="81"/>
      <c r="BT940" s="81"/>
      <c r="BU940" s="81"/>
      <c r="BV940" s="81"/>
      <c r="BW940" s="81"/>
      <c r="BX940" s="81"/>
      <c r="BY940" s="81"/>
      <c r="BZ940" s="81"/>
      <c r="CA940" s="81"/>
      <c r="CB940" s="81"/>
      <c r="CC940" s="81"/>
      <c r="CD940" s="81"/>
      <c r="CE940" s="81"/>
      <c r="CF940" s="81"/>
      <c r="CG940" s="81"/>
      <c r="CH940" s="81"/>
      <c r="CI940" s="81"/>
      <c r="CJ940" s="81"/>
      <c r="CK940" s="81"/>
      <c r="CL940" s="81"/>
      <c r="CM940" s="81"/>
      <c r="CN940" s="81"/>
      <c r="CO940" s="81"/>
      <c r="CP940" s="81"/>
      <c r="CQ940" s="81"/>
      <c r="CR940" s="81"/>
      <c r="CS940" s="81"/>
      <c r="CT940" s="81"/>
      <c r="CU940" s="81"/>
      <c r="CV940" s="81"/>
      <c r="CW940" s="81"/>
      <c r="CX940" s="81"/>
      <c r="CY940" s="81"/>
      <c r="CZ940" s="81"/>
      <c r="DA940" s="81"/>
      <c r="DB940" s="81"/>
      <c r="DC940" s="81"/>
      <c r="DD940" s="81"/>
      <c r="DE940" s="81"/>
      <c r="DF940" s="81"/>
      <c r="DG940" s="81"/>
      <c r="DH940" s="81"/>
      <c r="DI940" s="81"/>
      <c r="DJ940" s="81"/>
      <c r="DK940" s="81"/>
      <c r="DL940" s="81"/>
      <c r="DM940" s="81"/>
      <c r="DN940" s="81"/>
      <c r="DO940" s="81"/>
      <c r="DP940" s="81"/>
      <c r="DQ940" s="81"/>
      <c r="DR940" s="81"/>
      <c r="DS940" s="81"/>
      <c r="DT940" s="81"/>
      <c r="DU940" s="81"/>
      <c r="DV940" s="81"/>
      <c r="DW940" s="121"/>
    </row>
    <row r="941" spans="1:127" x14ac:dyDescent="0.25">
      <c r="A941" s="2">
        <f>COUNTIF($D$2:D941,'Reporte de Nomina'!$E$2)</f>
        <v>0</v>
      </c>
      <c r="B941" s="125">
        <f>Lista!A940</f>
        <v>0</v>
      </c>
      <c r="C941" s="125">
        <f>Lista!B940</f>
        <v>0</v>
      </c>
      <c r="D941" s="125">
        <f>Lista!C940</f>
        <v>0</v>
      </c>
      <c r="E941" s="125">
        <f>Lista!D940</f>
        <v>0</v>
      </c>
      <c r="F941" s="125">
        <f>Lista!E940</f>
        <v>0</v>
      </c>
      <c r="G941" s="125">
        <f>Lista!F940</f>
        <v>0</v>
      </c>
      <c r="H941" s="125">
        <f>Lista!G940</f>
        <v>0</v>
      </c>
      <c r="I941" s="125">
        <f>Lista!H940</f>
        <v>0</v>
      </c>
      <c r="J941" s="125">
        <f>Lista!I940</f>
        <v>0</v>
      </c>
      <c r="K941" s="125">
        <f>Lista!J940</f>
        <v>0</v>
      </c>
      <c r="L941" s="125">
        <f>Lista!K940</f>
        <v>0</v>
      </c>
      <c r="M941" s="125">
        <f>Lista!L940</f>
        <v>0</v>
      </c>
      <c r="N941" s="125">
        <f>Lista!M940</f>
        <v>0</v>
      </c>
      <c r="O941" s="125">
        <f>Lista!N940</f>
        <v>0</v>
      </c>
      <c r="P941" s="125">
        <f>Lista!O940</f>
        <v>0</v>
      </c>
      <c r="Q941" s="125">
        <f>Lista!P940</f>
        <v>0</v>
      </c>
      <c r="R941" s="125">
        <f>Lista!Q940</f>
        <v>0</v>
      </c>
      <c r="S941" s="125">
        <f>Lista!R940</f>
        <v>0</v>
      </c>
      <c r="T941" s="81"/>
      <c r="U941" s="81"/>
      <c r="V941" s="81"/>
      <c r="W941" s="81"/>
      <c r="X941" s="81"/>
      <c r="Y941" s="81"/>
      <c r="Z941" s="81"/>
      <c r="AA941" s="81"/>
      <c r="AB941" s="81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  <c r="BS941" s="81"/>
      <c r="BT941" s="81"/>
      <c r="BU941" s="81"/>
      <c r="BV941" s="81"/>
      <c r="BW941" s="81"/>
      <c r="BX941" s="81"/>
      <c r="BY941" s="81"/>
      <c r="BZ941" s="81"/>
      <c r="CA941" s="81"/>
      <c r="CB941" s="81"/>
      <c r="CC941" s="81"/>
      <c r="CD941" s="81"/>
      <c r="CE941" s="81"/>
      <c r="CF941" s="81"/>
      <c r="CG941" s="81"/>
      <c r="CH941" s="81"/>
      <c r="CI941" s="81"/>
      <c r="CJ941" s="81"/>
      <c r="CK941" s="81"/>
      <c r="CL941" s="81"/>
      <c r="CM941" s="81"/>
      <c r="CN941" s="81"/>
      <c r="CO941" s="81"/>
      <c r="CP941" s="81"/>
      <c r="CQ941" s="81"/>
      <c r="CR941" s="81"/>
      <c r="CS941" s="81"/>
      <c r="CT941" s="81"/>
      <c r="CU941" s="81"/>
      <c r="CV941" s="81"/>
      <c r="CW941" s="81"/>
      <c r="CX941" s="81"/>
      <c r="CY941" s="81"/>
      <c r="CZ941" s="81"/>
      <c r="DA941" s="81"/>
      <c r="DB941" s="81"/>
      <c r="DC941" s="81"/>
      <c r="DD941" s="81"/>
      <c r="DE941" s="81"/>
      <c r="DF941" s="81"/>
      <c r="DG941" s="81"/>
      <c r="DH941" s="81"/>
      <c r="DI941" s="81"/>
      <c r="DJ941" s="81"/>
      <c r="DK941" s="81"/>
      <c r="DL941" s="81"/>
      <c r="DM941" s="81"/>
      <c r="DN941" s="81"/>
      <c r="DO941" s="81"/>
      <c r="DP941" s="81"/>
      <c r="DQ941" s="81"/>
      <c r="DR941" s="81"/>
      <c r="DS941" s="81"/>
      <c r="DT941" s="81"/>
      <c r="DU941" s="81"/>
      <c r="DV941" s="81"/>
      <c r="DW941" s="121"/>
    </row>
    <row r="942" spans="1:127" x14ac:dyDescent="0.25">
      <c r="A942" s="2">
        <f>COUNTIF($D$2:D942,'Reporte de Nomina'!$E$2)</f>
        <v>0</v>
      </c>
      <c r="B942" s="125">
        <f>Lista!A941</f>
        <v>0</v>
      </c>
      <c r="C942" s="125">
        <f>Lista!B941</f>
        <v>0</v>
      </c>
      <c r="D942" s="125">
        <f>Lista!C941</f>
        <v>0</v>
      </c>
      <c r="E942" s="125">
        <f>Lista!D941</f>
        <v>0</v>
      </c>
      <c r="F942" s="125">
        <f>Lista!E941</f>
        <v>0</v>
      </c>
      <c r="G942" s="125">
        <f>Lista!F941</f>
        <v>0</v>
      </c>
      <c r="H942" s="125">
        <f>Lista!G941</f>
        <v>0</v>
      </c>
      <c r="I942" s="125">
        <f>Lista!H941</f>
        <v>0</v>
      </c>
      <c r="J942" s="125">
        <f>Lista!I941</f>
        <v>0</v>
      </c>
      <c r="K942" s="125">
        <f>Lista!J941</f>
        <v>0</v>
      </c>
      <c r="L942" s="125">
        <f>Lista!K941</f>
        <v>0</v>
      </c>
      <c r="M942" s="125">
        <f>Lista!L941</f>
        <v>0</v>
      </c>
      <c r="N942" s="125">
        <f>Lista!M941</f>
        <v>0</v>
      </c>
      <c r="O942" s="125">
        <f>Lista!N941</f>
        <v>0</v>
      </c>
      <c r="P942" s="125">
        <f>Lista!O941</f>
        <v>0</v>
      </c>
      <c r="Q942" s="125">
        <f>Lista!P941</f>
        <v>0</v>
      </c>
      <c r="R942" s="125">
        <f>Lista!Q941</f>
        <v>0</v>
      </c>
      <c r="S942" s="125">
        <f>Lista!R941</f>
        <v>0</v>
      </c>
      <c r="T942" s="81"/>
      <c r="U942" s="81"/>
      <c r="V942" s="81"/>
      <c r="W942" s="81"/>
      <c r="X942" s="81"/>
      <c r="Y942" s="81"/>
      <c r="Z942" s="81"/>
      <c r="AA942" s="81"/>
      <c r="AB942" s="81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  <c r="BS942" s="81"/>
      <c r="BT942" s="81"/>
      <c r="BU942" s="81"/>
      <c r="BV942" s="81"/>
      <c r="BW942" s="81"/>
      <c r="BX942" s="81"/>
      <c r="BY942" s="81"/>
      <c r="BZ942" s="81"/>
      <c r="CA942" s="81"/>
      <c r="CB942" s="81"/>
      <c r="CC942" s="81"/>
      <c r="CD942" s="81"/>
      <c r="CE942" s="81"/>
      <c r="CF942" s="81"/>
      <c r="CG942" s="81"/>
      <c r="CH942" s="81"/>
      <c r="CI942" s="81"/>
      <c r="CJ942" s="81"/>
      <c r="CK942" s="81"/>
      <c r="CL942" s="81"/>
      <c r="CM942" s="81"/>
      <c r="CN942" s="81"/>
      <c r="CO942" s="81"/>
      <c r="CP942" s="81"/>
      <c r="CQ942" s="81"/>
      <c r="CR942" s="81"/>
      <c r="CS942" s="81"/>
      <c r="CT942" s="81"/>
      <c r="CU942" s="81"/>
      <c r="CV942" s="81"/>
      <c r="CW942" s="81"/>
      <c r="CX942" s="81"/>
      <c r="CY942" s="81"/>
      <c r="CZ942" s="81"/>
      <c r="DA942" s="81"/>
      <c r="DB942" s="81"/>
      <c r="DC942" s="81"/>
      <c r="DD942" s="81"/>
      <c r="DE942" s="81"/>
      <c r="DF942" s="81"/>
      <c r="DG942" s="81"/>
      <c r="DH942" s="81"/>
      <c r="DI942" s="81"/>
      <c r="DJ942" s="81"/>
      <c r="DK942" s="81"/>
      <c r="DL942" s="81"/>
      <c r="DM942" s="81"/>
      <c r="DN942" s="81"/>
      <c r="DO942" s="81"/>
      <c r="DP942" s="81"/>
      <c r="DQ942" s="81"/>
      <c r="DR942" s="81"/>
      <c r="DS942" s="81"/>
      <c r="DT942" s="81"/>
      <c r="DU942" s="81"/>
      <c r="DV942" s="81"/>
      <c r="DW942" s="121"/>
    </row>
    <row r="943" spans="1:127" x14ac:dyDescent="0.25">
      <c r="A943" s="2">
        <f>COUNTIF($D$2:D943,'Reporte de Nomina'!$E$2)</f>
        <v>0</v>
      </c>
      <c r="B943" s="125">
        <f>Lista!A942</f>
        <v>0</v>
      </c>
      <c r="C943" s="125">
        <f>Lista!B942</f>
        <v>0</v>
      </c>
      <c r="D943" s="125">
        <f>Lista!C942</f>
        <v>0</v>
      </c>
      <c r="E943" s="125">
        <f>Lista!D942</f>
        <v>0</v>
      </c>
      <c r="F943" s="125">
        <f>Lista!E942</f>
        <v>0</v>
      </c>
      <c r="G943" s="125">
        <f>Lista!F942</f>
        <v>0</v>
      </c>
      <c r="H943" s="125">
        <f>Lista!G942</f>
        <v>0</v>
      </c>
      <c r="I943" s="125">
        <f>Lista!H942</f>
        <v>0</v>
      </c>
      <c r="J943" s="125">
        <f>Lista!I942</f>
        <v>0</v>
      </c>
      <c r="K943" s="125">
        <f>Lista!J942</f>
        <v>0</v>
      </c>
      <c r="L943" s="125">
        <f>Lista!K942</f>
        <v>0</v>
      </c>
      <c r="M943" s="125">
        <f>Lista!L942</f>
        <v>0</v>
      </c>
      <c r="N943" s="125">
        <f>Lista!M942</f>
        <v>0</v>
      </c>
      <c r="O943" s="125">
        <f>Lista!N942</f>
        <v>0</v>
      </c>
      <c r="P943" s="125">
        <f>Lista!O942</f>
        <v>0</v>
      </c>
      <c r="Q943" s="125">
        <f>Lista!P942</f>
        <v>0</v>
      </c>
      <c r="R943" s="125">
        <f>Lista!Q942</f>
        <v>0</v>
      </c>
      <c r="S943" s="125">
        <f>Lista!R942</f>
        <v>0</v>
      </c>
      <c r="T943" s="81"/>
      <c r="U943" s="81"/>
      <c r="V943" s="81"/>
      <c r="W943" s="81"/>
      <c r="X943" s="81"/>
      <c r="Y943" s="81"/>
      <c r="Z943" s="81"/>
      <c r="AA943" s="81"/>
      <c r="AB943" s="81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  <c r="BS943" s="81"/>
      <c r="BT943" s="81"/>
      <c r="BU943" s="81"/>
      <c r="BV943" s="81"/>
      <c r="BW943" s="81"/>
      <c r="BX943" s="81"/>
      <c r="BY943" s="81"/>
      <c r="BZ943" s="81"/>
      <c r="CA943" s="81"/>
      <c r="CB943" s="81"/>
      <c r="CC943" s="81"/>
      <c r="CD943" s="81"/>
      <c r="CE943" s="81"/>
      <c r="CF943" s="81"/>
      <c r="CG943" s="81"/>
      <c r="CH943" s="81"/>
      <c r="CI943" s="81"/>
      <c r="CJ943" s="81"/>
      <c r="CK943" s="81"/>
      <c r="CL943" s="81"/>
      <c r="CM943" s="81"/>
      <c r="CN943" s="81"/>
      <c r="CO943" s="81"/>
      <c r="CP943" s="81"/>
      <c r="CQ943" s="81"/>
      <c r="CR943" s="81"/>
      <c r="CS943" s="81"/>
      <c r="CT943" s="81"/>
      <c r="CU943" s="81"/>
      <c r="CV943" s="81"/>
      <c r="CW943" s="81"/>
      <c r="CX943" s="81"/>
      <c r="CY943" s="81"/>
      <c r="CZ943" s="81"/>
      <c r="DA943" s="81"/>
      <c r="DB943" s="81"/>
      <c r="DC943" s="81"/>
      <c r="DD943" s="81"/>
      <c r="DE943" s="81"/>
      <c r="DF943" s="81"/>
      <c r="DG943" s="81"/>
      <c r="DH943" s="81"/>
      <c r="DI943" s="81"/>
      <c r="DJ943" s="81"/>
      <c r="DK943" s="81"/>
      <c r="DL943" s="81"/>
      <c r="DM943" s="81"/>
      <c r="DN943" s="81"/>
      <c r="DO943" s="81"/>
      <c r="DP943" s="81"/>
      <c r="DQ943" s="81"/>
      <c r="DR943" s="81"/>
      <c r="DS943" s="81"/>
      <c r="DT943" s="81"/>
      <c r="DU943" s="81"/>
      <c r="DV943" s="81"/>
      <c r="DW943" s="121"/>
    </row>
    <row r="944" spans="1:127" x14ac:dyDescent="0.25">
      <c r="A944" s="2">
        <f>COUNTIF($D$2:D944,'Reporte de Nomina'!$E$2)</f>
        <v>0</v>
      </c>
      <c r="B944" s="125">
        <f>Lista!A943</f>
        <v>0</v>
      </c>
      <c r="C944" s="125">
        <f>Lista!B943</f>
        <v>0</v>
      </c>
      <c r="D944" s="125">
        <f>Lista!C943</f>
        <v>0</v>
      </c>
      <c r="E944" s="125">
        <f>Lista!D943</f>
        <v>0</v>
      </c>
      <c r="F944" s="125">
        <f>Lista!E943</f>
        <v>0</v>
      </c>
      <c r="G944" s="125">
        <f>Lista!F943</f>
        <v>0</v>
      </c>
      <c r="H944" s="125">
        <f>Lista!G943</f>
        <v>0</v>
      </c>
      <c r="I944" s="125">
        <f>Lista!H943</f>
        <v>0</v>
      </c>
      <c r="J944" s="125">
        <f>Lista!I943</f>
        <v>0</v>
      </c>
      <c r="K944" s="125">
        <f>Lista!J943</f>
        <v>0</v>
      </c>
      <c r="L944" s="125">
        <f>Lista!K943</f>
        <v>0</v>
      </c>
      <c r="M944" s="125">
        <f>Lista!L943</f>
        <v>0</v>
      </c>
      <c r="N944" s="125">
        <f>Lista!M943</f>
        <v>0</v>
      </c>
      <c r="O944" s="125">
        <f>Lista!N943</f>
        <v>0</v>
      </c>
      <c r="P944" s="125">
        <f>Lista!O943</f>
        <v>0</v>
      </c>
      <c r="Q944" s="125">
        <f>Lista!P943</f>
        <v>0</v>
      </c>
      <c r="R944" s="125">
        <f>Lista!Q943</f>
        <v>0</v>
      </c>
      <c r="S944" s="125">
        <f>Lista!R943</f>
        <v>0</v>
      </c>
      <c r="T944" s="81"/>
      <c r="U944" s="81"/>
      <c r="V944" s="81"/>
      <c r="W944" s="81"/>
      <c r="X944" s="81"/>
      <c r="Y944" s="81"/>
      <c r="Z944" s="81"/>
      <c r="AA944" s="81"/>
      <c r="AB944" s="81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  <c r="BS944" s="81"/>
      <c r="BT944" s="81"/>
      <c r="BU944" s="81"/>
      <c r="BV944" s="81"/>
      <c r="BW944" s="81"/>
      <c r="BX944" s="81"/>
      <c r="BY944" s="81"/>
      <c r="BZ944" s="81"/>
      <c r="CA944" s="81"/>
      <c r="CB944" s="81"/>
      <c r="CC944" s="81"/>
      <c r="CD944" s="81"/>
      <c r="CE944" s="81"/>
      <c r="CF944" s="81"/>
      <c r="CG944" s="81"/>
      <c r="CH944" s="81"/>
      <c r="CI944" s="81"/>
      <c r="CJ944" s="81"/>
      <c r="CK944" s="81"/>
      <c r="CL944" s="81"/>
      <c r="CM944" s="81"/>
      <c r="CN944" s="81"/>
      <c r="CO944" s="81"/>
      <c r="CP944" s="81"/>
      <c r="CQ944" s="81"/>
      <c r="CR944" s="81"/>
      <c r="CS944" s="81"/>
      <c r="CT944" s="81"/>
      <c r="CU944" s="81"/>
      <c r="CV944" s="81"/>
      <c r="CW944" s="81"/>
      <c r="CX944" s="81"/>
      <c r="CY944" s="81"/>
      <c r="CZ944" s="81"/>
      <c r="DA944" s="81"/>
      <c r="DB944" s="81"/>
      <c r="DC944" s="81"/>
      <c r="DD944" s="81"/>
      <c r="DE944" s="81"/>
      <c r="DF944" s="81"/>
      <c r="DG944" s="81"/>
      <c r="DH944" s="81"/>
      <c r="DI944" s="81"/>
      <c r="DJ944" s="81"/>
      <c r="DK944" s="81"/>
      <c r="DL944" s="81"/>
      <c r="DM944" s="81"/>
      <c r="DN944" s="81"/>
      <c r="DO944" s="81"/>
      <c r="DP944" s="81"/>
      <c r="DQ944" s="81"/>
      <c r="DR944" s="81"/>
      <c r="DS944" s="81"/>
      <c r="DT944" s="81"/>
      <c r="DU944" s="81"/>
      <c r="DV944" s="81"/>
      <c r="DW944" s="121"/>
    </row>
    <row r="945" spans="1:127" x14ac:dyDescent="0.25">
      <c r="A945" s="2">
        <f>COUNTIF($D$2:D945,'Reporte de Nomina'!$E$2)</f>
        <v>0</v>
      </c>
      <c r="B945" s="125">
        <f>Lista!A944</f>
        <v>0</v>
      </c>
      <c r="C945" s="125">
        <f>Lista!B944</f>
        <v>0</v>
      </c>
      <c r="D945" s="125">
        <f>Lista!C944</f>
        <v>0</v>
      </c>
      <c r="E945" s="125">
        <f>Lista!D944</f>
        <v>0</v>
      </c>
      <c r="F945" s="125">
        <f>Lista!E944</f>
        <v>0</v>
      </c>
      <c r="G945" s="125">
        <f>Lista!F944</f>
        <v>0</v>
      </c>
      <c r="H945" s="125">
        <f>Lista!G944</f>
        <v>0</v>
      </c>
      <c r="I945" s="125">
        <f>Lista!H944</f>
        <v>0</v>
      </c>
      <c r="J945" s="125">
        <f>Lista!I944</f>
        <v>0</v>
      </c>
      <c r="K945" s="125">
        <f>Lista!J944</f>
        <v>0</v>
      </c>
      <c r="L945" s="125">
        <f>Lista!K944</f>
        <v>0</v>
      </c>
      <c r="M945" s="125">
        <f>Lista!L944</f>
        <v>0</v>
      </c>
      <c r="N945" s="125">
        <f>Lista!M944</f>
        <v>0</v>
      </c>
      <c r="O945" s="125">
        <f>Lista!N944</f>
        <v>0</v>
      </c>
      <c r="P945" s="125">
        <f>Lista!O944</f>
        <v>0</v>
      </c>
      <c r="Q945" s="125">
        <f>Lista!P944</f>
        <v>0</v>
      </c>
      <c r="R945" s="125">
        <f>Lista!Q944</f>
        <v>0</v>
      </c>
      <c r="S945" s="125">
        <f>Lista!R944</f>
        <v>0</v>
      </c>
      <c r="T945" s="81"/>
      <c r="U945" s="81"/>
      <c r="V945" s="81"/>
      <c r="W945" s="81"/>
      <c r="X945" s="81"/>
      <c r="Y945" s="81"/>
      <c r="Z945" s="81"/>
      <c r="AA945" s="81"/>
      <c r="AB945" s="81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  <c r="BS945" s="81"/>
      <c r="BT945" s="81"/>
      <c r="BU945" s="81"/>
      <c r="BV945" s="81"/>
      <c r="BW945" s="81"/>
      <c r="BX945" s="81"/>
      <c r="BY945" s="81"/>
      <c r="BZ945" s="81"/>
      <c r="CA945" s="81"/>
      <c r="CB945" s="81"/>
      <c r="CC945" s="81"/>
      <c r="CD945" s="81"/>
      <c r="CE945" s="81"/>
      <c r="CF945" s="81"/>
      <c r="CG945" s="81"/>
      <c r="CH945" s="81"/>
      <c r="CI945" s="81"/>
      <c r="CJ945" s="81"/>
      <c r="CK945" s="81"/>
      <c r="CL945" s="81"/>
      <c r="CM945" s="81"/>
      <c r="CN945" s="81"/>
      <c r="CO945" s="81"/>
      <c r="CP945" s="81"/>
      <c r="CQ945" s="81"/>
      <c r="CR945" s="81"/>
      <c r="CS945" s="81"/>
      <c r="CT945" s="81"/>
      <c r="CU945" s="81"/>
      <c r="CV945" s="81"/>
      <c r="CW945" s="81"/>
      <c r="CX945" s="81"/>
      <c r="CY945" s="81"/>
      <c r="CZ945" s="81"/>
      <c r="DA945" s="81"/>
      <c r="DB945" s="81"/>
      <c r="DC945" s="81"/>
      <c r="DD945" s="81"/>
      <c r="DE945" s="81"/>
      <c r="DF945" s="81"/>
      <c r="DG945" s="81"/>
      <c r="DH945" s="81"/>
      <c r="DI945" s="81"/>
      <c r="DJ945" s="81"/>
      <c r="DK945" s="81"/>
      <c r="DL945" s="81"/>
      <c r="DM945" s="81"/>
      <c r="DN945" s="81"/>
      <c r="DO945" s="81"/>
      <c r="DP945" s="81"/>
      <c r="DQ945" s="81"/>
      <c r="DR945" s="81"/>
      <c r="DS945" s="81"/>
      <c r="DT945" s="81"/>
      <c r="DU945" s="81"/>
      <c r="DV945" s="81"/>
      <c r="DW945" s="121"/>
    </row>
    <row r="946" spans="1:127" x14ac:dyDescent="0.25">
      <c r="A946" s="2">
        <f>COUNTIF($D$2:D946,'Reporte de Nomina'!$E$2)</f>
        <v>0</v>
      </c>
      <c r="B946" s="125">
        <f>Lista!A945</f>
        <v>0</v>
      </c>
      <c r="C946" s="125">
        <f>Lista!B945</f>
        <v>0</v>
      </c>
      <c r="D946" s="125">
        <f>Lista!C945</f>
        <v>0</v>
      </c>
      <c r="E946" s="125">
        <f>Lista!D945</f>
        <v>0</v>
      </c>
      <c r="F946" s="125">
        <f>Lista!E945</f>
        <v>0</v>
      </c>
      <c r="G946" s="125">
        <f>Lista!F945</f>
        <v>0</v>
      </c>
      <c r="H946" s="125">
        <f>Lista!G945</f>
        <v>0</v>
      </c>
      <c r="I946" s="125">
        <f>Lista!H945</f>
        <v>0</v>
      </c>
      <c r="J946" s="125">
        <f>Lista!I945</f>
        <v>0</v>
      </c>
      <c r="K946" s="125">
        <f>Lista!J945</f>
        <v>0</v>
      </c>
      <c r="L946" s="125">
        <f>Lista!K945</f>
        <v>0</v>
      </c>
      <c r="M946" s="125">
        <f>Lista!L945</f>
        <v>0</v>
      </c>
      <c r="N946" s="125">
        <f>Lista!M945</f>
        <v>0</v>
      </c>
      <c r="O946" s="125">
        <f>Lista!N945</f>
        <v>0</v>
      </c>
      <c r="P946" s="125">
        <f>Lista!O945</f>
        <v>0</v>
      </c>
      <c r="Q946" s="125">
        <f>Lista!P945</f>
        <v>0</v>
      </c>
      <c r="R946" s="125">
        <f>Lista!Q945</f>
        <v>0</v>
      </c>
      <c r="S946" s="125">
        <f>Lista!R945</f>
        <v>0</v>
      </c>
      <c r="T946" s="81"/>
      <c r="U946" s="81"/>
      <c r="V946" s="81"/>
      <c r="W946" s="81"/>
      <c r="X946" s="81"/>
      <c r="Y946" s="81"/>
      <c r="Z946" s="81"/>
      <c r="AA946" s="81"/>
      <c r="AB946" s="81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  <c r="BS946" s="81"/>
      <c r="BT946" s="81"/>
      <c r="BU946" s="81"/>
      <c r="BV946" s="81"/>
      <c r="BW946" s="81"/>
      <c r="BX946" s="81"/>
      <c r="BY946" s="81"/>
      <c r="BZ946" s="81"/>
      <c r="CA946" s="81"/>
      <c r="CB946" s="81"/>
      <c r="CC946" s="81"/>
      <c r="CD946" s="81"/>
      <c r="CE946" s="81"/>
      <c r="CF946" s="81"/>
      <c r="CG946" s="81"/>
      <c r="CH946" s="81"/>
      <c r="CI946" s="81"/>
      <c r="CJ946" s="81"/>
      <c r="CK946" s="81"/>
      <c r="CL946" s="81"/>
      <c r="CM946" s="81"/>
      <c r="CN946" s="81"/>
      <c r="CO946" s="81"/>
      <c r="CP946" s="81"/>
      <c r="CQ946" s="81"/>
      <c r="CR946" s="81"/>
      <c r="CS946" s="81"/>
      <c r="CT946" s="81"/>
      <c r="CU946" s="81"/>
      <c r="CV946" s="81"/>
      <c r="CW946" s="81"/>
      <c r="CX946" s="81"/>
      <c r="CY946" s="81"/>
      <c r="CZ946" s="81"/>
      <c r="DA946" s="81"/>
      <c r="DB946" s="81"/>
      <c r="DC946" s="81"/>
      <c r="DD946" s="81"/>
      <c r="DE946" s="81"/>
      <c r="DF946" s="81"/>
      <c r="DG946" s="81"/>
      <c r="DH946" s="81"/>
      <c r="DI946" s="81"/>
      <c r="DJ946" s="81"/>
      <c r="DK946" s="81"/>
      <c r="DL946" s="81"/>
      <c r="DM946" s="81"/>
      <c r="DN946" s="81"/>
      <c r="DO946" s="81"/>
      <c r="DP946" s="81"/>
      <c r="DQ946" s="81"/>
      <c r="DR946" s="81"/>
      <c r="DS946" s="81"/>
      <c r="DT946" s="81"/>
      <c r="DU946" s="81"/>
      <c r="DV946" s="81"/>
      <c r="DW946" s="121"/>
    </row>
    <row r="947" spans="1:127" x14ac:dyDescent="0.25">
      <c r="A947" s="2">
        <f>COUNTIF($D$2:D947,'Reporte de Nomina'!$E$2)</f>
        <v>0</v>
      </c>
      <c r="B947" s="125">
        <f>Lista!A946</f>
        <v>0</v>
      </c>
      <c r="C947" s="125">
        <f>Lista!B946</f>
        <v>0</v>
      </c>
      <c r="D947" s="125">
        <f>Lista!C946</f>
        <v>0</v>
      </c>
      <c r="E947" s="125">
        <f>Lista!D946</f>
        <v>0</v>
      </c>
      <c r="F947" s="125">
        <f>Lista!E946</f>
        <v>0</v>
      </c>
      <c r="G947" s="125">
        <f>Lista!F946</f>
        <v>0</v>
      </c>
      <c r="H947" s="125">
        <f>Lista!G946</f>
        <v>0</v>
      </c>
      <c r="I947" s="125">
        <f>Lista!H946</f>
        <v>0</v>
      </c>
      <c r="J947" s="125">
        <f>Lista!I946</f>
        <v>0</v>
      </c>
      <c r="K947" s="125">
        <f>Lista!J946</f>
        <v>0</v>
      </c>
      <c r="L947" s="125">
        <f>Lista!K946</f>
        <v>0</v>
      </c>
      <c r="M947" s="125">
        <f>Lista!L946</f>
        <v>0</v>
      </c>
      <c r="N947" s="125">
        <f>Lista!M946</f>
        <v>0</v>
      </c>
      <c r="O947" s="125">
        <f>Lista!N946</f>
        <v>0</v>
      </c>
      <c r="P947" s="125">
        <f>Lista!O946</f>
        <v>0</v>
      </c>
      <c r="Q947" s="125">
        <f>Lista!P946</f>
        <v>0</v>
      </c>
      <c r="R947" s="125">
        <f>Lista!Q946</f>
        <v>0</v>
      </c>
      <c r="S947" s="125">
        <f>Lista!R946</f>
        <v>0</v>
      </c>
      <c r="T947" s="81"/>
      <c r="U947" s="81"/>
      <c r="V947" s="81"/>
      <c r="W947" s="81"/>
      <c r="X947" s="81"/>
      <c r="Y947" s="81"/>
      <c r="Z947" s="81"/>
      <c r="AA947" s="81"/>
      <c r="AB947" s="81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  <c r="BS947" s="81"/>
      <c r="BT947" s="81"/>
      <c r="BU947" s="81"/>
      <c r="BV947" s="81"/>
      <c r="BW947" s="81"/>
      <c r="BX947" s="81"/>
      <c r="BY947" s="81"/>
      <c r="BZ947" s="81"/>
      <c r="CA947" s="81"/>
      <c r="CB947" s="81"/>
      <c r="CC947" s="81"/>
      <c r="CD947" s="81"/>
      <c r="CE947" s="81"/>
      <c r="CF947" s="81"/>
      <c r="CG947" s="81"/>
      <c r="CH947" s="81"/>
      <c r="CI947" s="81"/>
      <c r="CJ947" s="81"/>
      <c r="CK947" s="81"/>
      <c r="CL947" s="81"/>
      <c r="CM947" s="81"/>
      <c r="CN947" s="81"/>
      <c r="CO947" s="81"/>
      <c r="CP947" s="81"/>
      <c r="CQ947" s="81"/>
      <c r="CR947" s="81"/>
      <c r="CS947" s="81"/>
      <c r="CT947" s="81"/>
      <c r="CU947" s="81"/>
      <c r="CV947" s="81"/>
      <c r="CW947" s="81"/>
      <c r="CX947" s="81"/>
      <c r="CY947" s="81"/>
      <c r="CZ947" s="81"/>
      <c r="DA947" s="81"/>
      <c r="DB947" s="81"/>
      <c r="DC947" s="81"/>
      <c r="DD947" s="81"/>
      <c r="DE947" s="81"/>
      <c r="DF947" s="81"/>
      <c r="DG947" s="81"/>
      <c r="DH947" s="81"/>
      <c r="DI947" s="81"/>
      <c r="DJ947" s="81"/>
      <c r="DK947" s="81"/>
      <c r="DL947" s="81"/>
      <c r="DM947" s="81"/>
      <c r="DN947" s="81"/>
      <c r="DO947" s="81"/>
      <c r="DP947" s="81"/>
      <c r="DQ947" s="81"/>
      <c r="DR947" s="81"/>
      <c r="DS947" s="81"/>
      <c r="DT947" s="81"/>
      <c r="DU947" s="81"/>
      <c r="DV947" s="81"/>
      <c r="DW947" s="121"/>
    </row>
    <row r="948" spans="1:127" x14ac:dyDescent="0.25">
      <c r="A948" s="2">
        <f>COUNTIF($D$2:D948,'Reporte de Nomina'!$E$2)</f>
        <v>0</v>
      </c>
      <c r="B948" s="125">
        <f>Lista!A947</f>
        <v>0</v>
      </c>
      <c r="C948" s="125">
        <f>Lista!B947</f>
        <v>0</v>
      </c>
      <c r="D948" s="125">
        <f>Lista!C947</f>
        <v>0</v>
      </c>
      <c r="E948" s="125">
        <f>Lista!D947</f>
        <v>0</v>
      </c>
      <c r="F948" s="125">
        <f>Lista!E947</f>
        <v>0</v>
      </c>
      <c r="G948" s="125">
        <f>Lista!F947</f>
        <v>0</v>
      </c>
      <c r="H948" s="125">
        <f>Lista!G947</f>
        <v>0</v>
      </c>
      <c r="I948" s="125">
        <f>Lista!H947</f>
        <v>0</v>
      </c>
      <c r="J948" s="125">
        <f>Lista!I947</f>
        <v>0</v>
      </c>
      <c r="K948" s="125">
        <f>Lista!J947</f>
        <v>0</v>
      </c>
      <c r="L948" s="125">
        <f>Lista!K947</f>
        <v>0</v>
      </c>
      <c r="M948" s="125">
        <f>Lista!L947</f>
        <v>0</v>
      </c>
      <c r="N948" s="125">
        <f>Lista!M947</f>
        <v>0</v>
      </c>
      <c r="O948" s="125">
        <f>Lista!N947</f>
        <v>0</v>
      </c>
      <c r="P948" s="125">
        <f>Lista!O947</f>
        <v>0</v>
      </c>
      <c r="Q948" s="125">
        <f>Lista!P947</f>
        <v>0</v>
      </c>
      <c r="R948" s="125">
        <f>Lista!Q947</f>
        <v>0</v>
      </c>
      <c r="S948" s="125">
        <f>Lista!R947</f>
        <v>0</v>
      </c>
      <c r="T948" s="81"/>
      <c r="U948" s="81"/>
      <c r="V948" s="81"/>
      <c r="W948" s="81"/>
      <c r="X948" s="81"/>
      <c r="Y948" s="81"/>
      <c r="Z948" s="81"/>
      <c r="AA948" s="81"/>
      <c r="AB948" s="81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  <c r="BS948" s="81"/>
      <c r="BT948" s="81"/>
      <c r="BU948" s="81"/>
      <c r="BV948" s="81"/>
      <c r="BW948" s="81"/>
      <c r="BX948" s="81"/>
      <c r="BY948" s="81"/>
      <c r="BZ948" s="81"/>
      <c r="CA948" s="81"/>
      <c r="CB948" s="81"/>
      <c r="CC948" s="81"/>
      <c r="CD948" s="81"/>
      <c r="CE948" s="81"/>
      <c r="CF948" s="81"/>
      <c r="CG948" s="81"/>
      <c r="CH948" s="81"/>
      <c r="CI948" s="81"/>
      <c r="CJ948" s="81"/>
      <c r="CK948" s="81"/>
      <c r="CL948" s="81"/>
      <c r="CM948" s="81"/>
      <c r="CN948" s="81"/>
      <c r="CO948" s="81"/>
      <c r="CP948" s="81"/>
      <c r="CQ948" s="81"/>
      <c r="CR948" s="81"/>
      <c r="CS948" s="81"/>
      <c r="CT948" s="81"/>
      <c r="CU948" s="81"/>
      <c r="CV948" s="81"/>
      <c r="CW948" s="81"/>
      <c r="CX948" s="81"/>
      <c r="CY948" s="81"/>
      <c r="CZ948" s="81"/>
      <c r="DA948" s="81"/>
      <c r="DB948" s="81"/>
      <c r="DC948" s="81"/>
      <c r="DD948" s="81"/>
      <c r="DE948" s="81"/>
      <c r="DF948" s="81"/>
      <c r="DG948" s="81"/>
      <c r="DH948" s="81"/>
      <c r="DI948" s="81"/>
      <c r="DJ948" s="81"/>
      <c r="DK948" s="81"/>
      <c r="DL948" s="81"/>
      <c r="DM948" s="81"/>
      <c r="DN948" s="81"/>
      <c r="DO948" s="81"/>
      <c r="DP948" s="81"/>
      <c r="DQ948" s="81"/>
      <c r="DR948" s="81"/>
      <c r="DS948" s="81"/>
      <c r="DT948" s="81"/>
      <c r="DU948" s="81"/>
      <c r="DV948" s="81"/>
      <c r="DW948" s="121"/>
    </row>
    <row r="949" spans="1:127" x14ac:dyDescent="0.25">
      <c r="A949" s="2">
        <f>COUNTIF($D$2:D949,'Reporte de Nomina'!$E$2)</f>
        <v>0</v>
      </c>
      <c r="B949" s="125">
        <f>Lista!A948</f>
        <v>0</v>
      </c>
      <c r="C949" s="125">
        <f>Lista!B948</f>
        <v>0</v>
      </c>
      <c r="D949" s="125">
        <f>Lista!C948</f>
        <v>0</v>
      </c>
      <c r="E949" s="125">
        <f>Lista!D948</f>
        <v>0</v>
      </c>
      <c r="F949" s="125">
        <f>Lista!E948</f>
        <v>0</v>
      </c>
      <c r="G949" s="125">
        <f>Lista!F948</f>
        <v>0</v>
      </c>
      <c r="H949" s="125">
        <f>Lista!G948</f>
        <v>0</v>
      </c>
      <c r="I949" s="125">
        <f>Lista!H948</f>
        <v>0</v>
      </c>
      <c r="J949" s="125">
        <f>Lista!I948</f>
        <v>0</v>
      </c>
      <c r="K949" s="125">
        <f>Lista!J948</f>
        <v>0</v>
      </c>
      <c r="L949" s="125">
        <f>Lista!K948</f>
        <v>0</v>
      </c>
      <c r="M949" s="125">
        <f>Lista!L948</f>
        <v>0</v>
      </c>
      <c r="N949" s="125">
        <f>Lista!M948</f>
        <v>0</v>
      </c>
      <c r="O949" s="125">
        <f>Lista!N948</f>
        <v>0</v>
      </c>
      <c r="P949" s="125">
        <f>Lista!O948</f>
        <v>0</v>
      </c>
      <c r="Q949" s="125">
        <f>Lista!P948</f>
        <v>0</v>
      </c>
      <c r="R949" s="125">
        <f>Lista!Q948</f>
        <v>0</v>
      </c>
      <c r="S949" s="125">
        <f>Lista!R948</f>
        <v>0</v>
      </c>
      <c r="T949" s="81"/>
      <c r="U949" s="81"/>
      <c r="V949" s="81"/>
      <c r="W949" s="81"/>
      <c r="X949" s="81"/>
      <c r="Y949" s="81"/>
      <c r="Z949" s="81"/>
      <c r="AA949" s="81"/>
      <c r="AB949" s="81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  <c r="BS949" s="81"/>
      <c r="BT949" s="81"/>
      <c r="BU949" s="81"/>
      <c r="BV949" s="81"/>
      <c r="BW949" s="81"/>
      <c r="BX949" s="81"/>
      <c r="BY949" s="81"/>
      <c r="BZ949" s="81"/>
      <c r="CA949" s="81"/>
      <c r="CB949" s="81"/>
      <c r="CC949" s="81"/>
      <c r="CD949" s="81"/>
      <c r="CE949" s="81"/>
      <c r="CF949" s="81"/>
      <c r="CG949" s="81"/>
      <c r="CH949" s="81"/>
      <c r="CI949" s="81"/>
      <c r="CJ949" s="81"/>
      <c r="CK949" s="81"/>
      <c r="CL949" s="81"/>
      <c r="CM949" s="81"/>
      <c r="CN949" s="81"/>
      <c r="CO949" s="81"/>
      <c r="CP949" s="81"/>
      <c r="CQ949" s="81"/>
      <c r="CR949" s="81"/>
      <c r="CS949" s="81"/>
      <c r="CT949" s="81"/>
      <c r="CU949" s="81"/>
      <c r="CV949" s="81"/>
      <c r="CW949" s="81"/>
      <c r="CX949" s="81"/>
      <c r="CY949" s="81"/>
      <c r="CZ949" s="81"/>
      <c r="DA949" s="81"/>
      <c r="DB949" s="81"/>
      <c r="DC949" s="81"/>
      <c r="DD949" s="81"/>
      <c r="DE949" s="81"/>
      <c r="DF949" s="81"/>
      <c r="DG949" s="81"/>
      <c r="DH949" s="81"/>
      <c r="DI949" s="81"/>
      <c r="DJ949" s="81"/>
      <c r="DK949" s="81"/>
      <c r="DL949" s="81"/>
      <c r="DM949" s="81"/>
      <c r="DN949" s="81"/>
      <c r="DO949" s="81"/>
      <c r="DP949" s="81"/>
      <c r="DQ949" s="81"/>
      <c r="DR949" s="81"/>
      <c r="DS949" s="81"/>
      <c r="DT949" s="81"/>
      <c r="DU949" s="81"/>
      <c r="DV949" s="81"/>
      <c r="DW949" s="121"/>
    </row>
    <row r="950" spans="1:127" x14ac:dyDescent="0.25">
      <c r="A950" s="2">
        <f>COUNTIF($D$2:D950,'Reporte de Nomina'!$E$2)</f>
        <v>0</v>
      </c>
      <c r="B950" s="125">
        <f>Lista!A949</f>
        <v>0</v>
      </c>
      <c r="C950" s="125">
        <f>Lista!B949</f>
        <v>0</v>
      </c>
      <c r="D950" s="125">
        <f>Lista!C949</f>
        <v>0</v>
      </c>
      <c r="E950" s="125">
        <f>Lista!D949</f>
        <v>0</v>
      </c>
      <c r="F950" s="125">
        <f>Lista!E949</f>
        <v>0</v>
      </c>
      <c r="G950" s="125">
        <f>Lista!F949</f>
        <v>0</v>
      </c>
      <c r="H950" s="125">
        <f>Lista!G949</f>
        <v>0</v>
      </c>
      <c r="I950" s="125">
        <f>Lista!H949</f>
        <v>0</v>
      </c>
      <c r="J950" s="125">
        <f>Lista!I949</f>
        <v>0</v>
      </c>
      <c r="K950" s="125">
        <f>Lista!J949</f>
        <v>0</v>
      </c>
      <c r="L950" s="125">
        <f>Lista!K949</f>
        <v>0</v>
      </c>
      <c r="M950" s="125">
        <f>Lista!L949</f>
        <v>0</v>
      </c>
      <c r="N950" s="125">
        <f>Lista!M949</f>
        <v>0</v>
      </c>
      <c r="O950" s="125">
        <f>Lista!N949</f>
        <v>0</v>
      </c>
      <c r="P950" s="125">
        <f>Lista!O949</f>
        <v>0</v>
      </c>
      <c r="Q950" s="125">
        <f>Lista!P949</f>
        <v>0</v>
      </c>
      <c r="R950" s="125">
        <f>Lista!Q949</f>
        <v>0</v>
      </c>
      <c r="S950" s="125">
        <f>Lista!R949</f>
        <v>0</v>
      </c>
      <c r="T950" s="81"/>
      <c r="U950" s="81"/>
      <c r="V950" s="81"/>
      <c r="W950" s="81"/>
      <c r="X950" s="81"/>
      <c r="Y950" s="81"/>
      <c r="Z950" s="81"/>
      <c r="AA950" s="81"/>
      <c r="AB950" s="81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  <c r="BS950" s="81"/>
      <c r="BT950" s="81"/>
      <c r="BU950" s="81"/>
      <c r="BV950" s="81"/>
      <c r="BW950" s="81"/>
      <c r="BX950" s="81"/>
      <c r="BY950" s="81"/>
      <c r="BZ950" s="81"/>
      <c r="CA950" s="81"/>
      <c r="CB950" s="81"/>
      <c r="CC950" s="81"/>
      <c r="CD950" s="81"/>
      <c r="CE950" s="81"/>
      <c r="CF950" s="81"/>
      <c r="CG950" s="81"/>
      <c r="CH950" s="81"/>
      <c r="CI950" s="81"/>
      <c r="CJ950" s="81"/>
      <c r="CK950" s="81"/>
      <c r="CL950" s="81"/>
      <c r="CM950" s="81"/>
      <c r="CN950" s="81"/>
      <c r="CO950" s="81"/>
      <c r="CP950" s="81"/>
      <c r="CQ950" s="81"/>
      <c r="CR950" s="81"/>
      <c r="CS950" s="81"/>
      <c r="CT950" s="81"/>
      <c r="CU950" s="81"/>
      <c r="CV950" s="81"/>
      <c r="CW950" s="81"/>
      <c r="CX950" s="81"/>
      <c r="CY950" s="81"/>
      <c r="CZ950" s="81"/>
      <c r="DA950" s="81"/>
      <c r="DB950" s="81"/>
      <c r="DC950" s="81"/>
      <c r="DD950" s="81"/>
      <c r="DE950" s="81"/>
      <c r="DF950" s="81"/>
      <c r="DG950" s="81"/>
      <c r="DH950" s="81"/>
      <c r="DI950" s="81"/>
      <c r="DJ950" s="81"/>
      <c r="DK950" s="81"/>
      <c r="DL950" s="81"/>
      <c r="DM950" s="81"/>
      <c r="DN950" s="81"/>
      <c r="DO950" s="81"/>
      <c r="DP950" s="81"/>
      <c r="DQ950" s="81"/>
      <c r="DR950" s="81"/>
      <c r="DS950" s="81"/>
      <c r="DT950" s="81"/>
      <c r="DU950" s="81"/>
      <c r="DV950" s="81"/>
      <c r="DW950" s="121"/>
    </row>
    <row r="951" spans="1:127" x14ac:dyDescent="0.25">
      <c r="A951" s="2">
        <f>COUNTIF($D$2:D951,'Reporte de Nomina'!$E$2)</f>
        <v>0</v>
      </c>
      <c r="B951" s="125">
        <f>Lista!A950</f>
        <v>0</v>
      </c>
      <c r="C951" s="125">
        <f>Lista!B950</f>
        <v>0</v>
      </c>
      <c r="D951" s="125">
        <f>Lista!C950</f>
        <v>0</v>
      </c>
      <c r="E951" s="125">
        <f>Lista!D950</f>
        <v>0</v>
      </c>
      <c r="F951" s="125">
        <f>Lista!E950</f>
        <v>0</v>
      </c>
      <c r="G951" s="125">
        <f>Lista!F950</f>
        <v>0</v>
      </c>
      <c r="H951" s="125">
        <f>Lista!G950</f>
        <v>0</v>
      </c>
      <c r="I951" s="125">
        <f>Lista!H950</f>
        <v>0</v>
      </c>
      <c r="J951" s="125">
        <f>Lista!I950</f>
        <v>0</v>
      </c>
      <c r="K951" s="125">
        <f>Lista!J950</f>
        <v>0</v>
      </c>
      <c r="L951" s="125">
        <f>Lista!K950</f>
        <v>0</v>
      </c>
      <c r="M951" s="125">
        <f>Lista!L950</f>
        <v>0</v>
      </c>
      <c r="N951" s="125">
        <f>Lista!M950</f>
        <v>0</v>
      </c>
      <c r="O951" s="125">
        <f>Lista!N950</f>
        <v>0</v>
      </c>
      <c r="P951" s="125">
        <f>Lista!O950</f>
        <v>0</v>
      </c>
      <c r="Q951" s="125">
        <f>Lista!P950</f>
        <v>0</v>
      </c>
      <c r="R951" s="125">
        <f>Lista!Q950</f>
        <v>0</v>
      </c>
      <c r="S951" s="125">
        <f>Lista!R950</f>
        <v>0</v>
      </c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  <c r="BS951" s="81"/>
      <c r="BT951" s="81"/>
      <c r="BU951" s="81"/>
      <c r="BV951" s="81"/>
      <c r="BW951" s="81"/>
      <c r="BX951" s="81"/>
      <c r="BY951" s="81"/>
      <c r="BZ951" s="81"/>
      <c r="CA951" s="81"/>
      <c r="CB951" s="81"/>
      <c r="CC951" s="81"/>
      <c r="CD951" s="81"/>
      <c r="CE951" s="81"/>
      <c r="CF951" s="81"/>
      <c r="CG951" s="81"/>
      <c r="CH951" s="81"/>
      <c r="CI951" s="81"/>
      <c r="CJ951" s="81"/>
      <c r="CK951" s="81"/>
      <c r="CL951" s="81"/>
      <c r="CM951" s="81"/>
      <c r="CN951" s="81"/>
      <c r="CO951" s="81"/>
      <c r="CP951" s="81"/>
      <c r="CQ951" s="81"/>
      <c r="CR951" s="81"/>
      <c r="CS951" s="81"/>
      <c r="CT951" s="81"/>
      <c r="CU951" s="81"/>
      <c r="CV951" s="81"/>
      <c r="CW951" s="81"/>
      <c r="CX951" s="81"/>
      <c r="CY951" s="81"/>
      <c r="CZ951" s="81"/>
      <c r="DA951" s="81"/>
      <c r="DB951" s="81"/>
      <c r="DC951" s="81"/>
      <c r="DD951" s="81"/>
      <c r="DE951" s="81"/>
      <c r="DF951" s="81"/>
      <c r="DG951" s="81"/>
      <c r="DH951" s="81"/>
      <c r="DI951" s="81"/>
      <c r="DJ951" s="81"/>
      <c r="DK951" s="81"/>
      <c r="DL951" s="81"/>
      <c r="DM951" s="81"/>
      <c r="DN951" s="81"/>
      <c r="DO951" s="81"/>
      <c r="DP951" s="81"/>
      <c r="DQ951" s="81"/>
      <c r="DR951" s="81"/>
      <c r="DS951" s="81"/>
      <c r="DT951" s="81"/>
      <c r="DU951" s="81"/>
      <c r="DV951" s="81"/>
      <c r="DW951" s="121"/>
    </row>
    <row r="952" spans="1:127" x14ac:dyDescent="0.25">
      <c r="A952" s="2">
        <f>COUNTIF($D$2:D952,'Reporte de Nomina'!$E$2)</f>
        <v>0</v>
      </c>
      <c r="B952" s="125">
        <f>Lista!A951</f>
        <v>0</v>
      </c>
      <c r="C952" s="125">
        <f>Lista!B951</f>
        <v>0</v>
      </c>
      <c r="D952" s="125">
        <f>Lista!C951</f>
        <v>0</v>
      </c>
      <c r="E952" s="125">
        <f>Lista!D951</f>
        <v>0</v>
      </c>
      <c r="F952" s="125">
        <f>Lista!E951</f>
        <v>0</v>
      </c>
      <c r="G952" s="125">
        <f>Lista!F951</f>
        <v>0</v>
      </c>
      <c r="H952" s="125">
        <f>Lista!G951</f>
        <v>0</v>
      </c>
      <c r="I952" s="125">
        <f>Lista!H951</f>
        <v>0</v>
      </c>
      <c r="J952" s="125">
        <f>Lista!I951</f>
        <v>0</v>
      </c>
      <c r="K952" s="125">
        <f>Lista!J951</f>
        <v>0</v>
      </c>
      <c r="L952" s="125">
        <f>Lista!K951</f>
        <v>0</v>
      </c>
      <c r="M952" s="125">
        <f>Lista!L951</f>
        <v>0</v>
      </c>
      <c r="N952" s="125">
        <f>Lista!M951</f>
        <v>0</v>
      </c>
      <c r="O952" s="125">
        <f>Lista!N951</f>
        <v>0</v>
      </c>
      <c r="P952" s="125">
        <f>Lista!O951</f>
        <v>0</v>
      </c>
      <c r="Q952" s="125">
        <f>Lista!P951</f>
        <v>0</v>
      </c>
      <c r="R952" s="125">
        <f>Lista!Q951</f>
        <v>0</v>
      </c>
      <c r="S952" s="125">
        <f>Lista!R951</f>
        <v>0</v>
      </c>
      <c r="T952" s="81"/>
      <c r="U952" s="81"/>
      <c r="V952" s="81"/>
      <c r="W952" s="81"/>
      <c r="X952" s="81"/>
      <c r="Y952" s="81"/>
      <c r="Z952" s="81"/>
      <c r="AA952" s="81"/>
      <c r="AB952" s="81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  <c r="BS952" s="81"/>
      <c r="BT952" s="81"/>
      <c r="BU952" s="81"/>
      <c r="BV952" s="81"/>
      <c r="BW952" s="81"/>
      <c r="BX952" s="81"/>
      <c r="BY952" s="81"/>
      <c r="BZ952" s="81"/>
      <c r="CA952" s="81"/>
      <c r="CB952" s="81"/>
      <c r="CC952" s="81"/>
      <c r="CD952" s="81"/>
      <c r="CE952" s="81"/>
      <c r="CF952" s="81"/>
      <c r="CG952" s="81"/>
      <c r="CH952" s="81"/>
      <c r="CI952" s="81"/>
      <c r="CJ952" s="81"/>
      <c r="CK952" s="81"/>
      <c r="CL952" s="81"/>
      <c r="CM952" s="81"/>
      <c r="CN952" s="81"/>
      <c r="CO952" s="81"/>
      <c r="CP952" s="81"/>
      <c r="CQ952" s="81"/>
      <c r="CR952" s="81"/>
      <c r="CS952" s="81"/>
      <c r="CT952" s="81"/>
      <c r="CU952" s="81"/>
      <c r="CV952" s="81"/>
      <c r="CW952" s="81"/>
      <c r="CX952" s="81"/>
      <c r="CY952" s="81"/>
      <c r="CZ952" s="81"/>
      <c r="DA952" s="81"/>
      <c r="DB952" s="81"/>
      <c r="DC952" s="81"/>
      <c r="DD952" s="81"/>
      <c r="DE952" s="81"/>
      <c r="DF952" s="81"/>
      <c r="DG952" s="81"/>
      <c r="DH952" s="81"/>
      <c r="DI952" s="81"/>
      <c r="DJ952" s="81"/>
      <c r="DK952" s="81"/>
      <c r="DL952" s="81"/>
      <c r="DM952" s="81"/>
      <c r="DN952" s="81"/>
      <c r="DO952" s="81"/>
      <c r="DP952" s="81"/>
      <c r="DQ952" s="81"/>
      <c r="DR952" s="81"/>
      <c r="DS952" s="81"/>
      <c r="DT952" s="81"/>
      <c r="DU952" s="81"/>
      <c r="DV952" s="81"/>
      <c r="DW952" s="121"/>
    </row>
    <row r="953" spans="1:127" x14ac:dyDescent="0.25">
      <c r="A953" s="2">
        <f>COUNTIF($D$2:D953,'Reporte de Nomina'!$E$2)</f>
        <v>0</v>
      </c>
      <c r="B953" s="125">
        <f>Lista!A952</f>
        <v>0</v>
      </c>
      <c r="C953" s="125">
        <f>Lista!B952</f>
        <v>0</v>
      </c>
      <c r="D953" s="125">
        <f>Lista!C952</f>
        <v>0</v>
      </c>
      <c r="E953" s="125">
        <f>Lista!D952</f>
        <v>0</v>
      </c>
      <c r="F953" s="125">
        <f>Lista!E952</f>
        <v>0</v>
      </c>
      <c r="G953" s="125">
        <f>Lista!F952</f>
        <v>0</v>
      </c>
      <c r="H953" s="125">
        <f>Lista!G952</f>
        <v>0</v>
      </c>
      <c r="I953" s="125">
        <f>Lista!H952</f>
        <v>0</v>
      </c>
      <c r="J953" s="125">
        <f>Lista!I952</f>
        <v>0</v>
      </c>
      <c r="K953" s="125">
        <f>Lista!J952</f>
        <v>0</v>
      </c>
      <c r="L953" s="125">
        <f>Lista!K952</f>
        <v>0</v>
      </c>
      <c r="M953" s="125">
        <f>Lista!L952</f>
        <v>0</v>
      </c>
      <c r="N953" s="125">
        <f>Lista!M952</f>
        <v>0</v>
      </c>
      <c r="O953" s="125">
        <f>Lista!N952</f>
        <v>0</v>
      </c>
      <c r="P953" s="125">
        <f>Lista!O952</f>
        <v>0</v>
      </c>
      <c r="Q953" s="125">
        <f>Lista!P952</f>
        <v>0</v>
      </c>
      <c r="R953" s="125">
        <f>Lista!Q952</f>
        <v>0</v>
      </c>
      <c r="S953" s="125">
        <f>Lista!R952</f>
        <v>0</v>
      </c>
      <c r="T953" s="81"/>
      <c r="U953" s="81"/>
      <c r="V953" s="81"/>
      <c r="W953" s="81"/>
      <c r="X953" s="81"/>
      <c r="Y953" s="81"/>
      <c r="Z953" s="81"/>
      <c r="AA953" s="81"/>
      <c r="AB953" s="81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  <c r="BS953" s="81"/>
      <c r="BT953" s="81"/>
      <c r="BU953" s="81"/>
      <c r="BV953" s="81"/>
      <c r="BW953" s="81"/>
      <c r="BX953" s="81"/>
      <c r="BY953" s="81"/>
      <c r="BZ953" s="81"/>
      <c r="CA953" s="81"/>
      <c r="CB953" s="81"/>
      <c r="CC953" s="81"/>
      <c r="CD953" s="81"/>
      <c r="CE953" s="81"/>
      <c r="CF953" s="81"/>
      <c r="CG953" s="81"/>
      <c r="CH953" s="81"/>
      <c r="CI953" s="81"/>
      <c r="CJ953" s="81"/>
      <c r="CK953" s="81"/>
      <c r="CL953" s="81"/>
      <c r="CM953" s="81"/>
      <c r="CN953" s="81"/>
      <c r="CO953" s="81"/>
      <c r="CP953" s="81"/>
      <c r="CQ953" s="81"/>
      <c r="CR953" s="81"/>
      <c r="CS953" s="81"/>
      <c r="CT953" s="81"/>
      <c r="CU953" s="81"/>
      <c r="CV953" s="81"/>
      <c r="CW953" s="81"/>
      <c r="CX953" s="81"/>
      <c r="CY953" s="81"/>
      <c r="CZ953" s="81"/>
      <c r="DA953" s="81"/>
      <c r="DB953" s="81"/>
      <c r="DC953" s="81"/>
      <c r="DD953" s="81"/>
      <c r="DE953" s="81"/>
      <c r="DF953" s="81"/>
      <c r="DG953" s="81"/>
      <c r="DH953" s="81"/>
      <c r="DI953" s="81"/>
      <c r="DJ953" s="81"/>
      <c r="DK953" s="81"/>
      <c r="DL953" s="81"/>
      <c r="DM953" s="81"/>
      <c r="DN953" s="81"/>
      <c r="DO953" s="81"/>
      <c r="DP953" s="81"/>
      <c r="DQ953" s="81"/>
      <c r="DR953" s="81"/>
      <c r="DS953" s="81"/>
      <c r="DT953" s="81"/>
      <c r="DU953" s="81"/>
      <c r="DV953" s="81"/>
      <c r="DW953" s="121"/>
    </row>
    <row r="954" spans="1:127" x14ac:dyDescent="0.25">
      <c r="A954" s="2">
        <f>COUNTIF($D$2:D954,'Reporte de Nomina'!$E$2)</f>
        <v>0</v>
      </c>
      <c r="B954" s="125">
        <f>Lista!A953</f>
        <v>0</v>
      </c>
      <c r="C954" s="125">
        <f>Lista!B953</f>
        <v>0</v>
      </c>
      <c r="D954" s="125">
        <f>Lista!C953</f>
        <v>0</v>
      </c>
      <c r="E954" s="125">
        <f>Lista!D953</f>
        <v>0</v>
      </c>
      <c r="F954" s="125">
        <f>Lista!E953</f>
        <v>0</v>
      </c>
      <c r="G954" s="125">
        <f>Lista!F953</f>
        <v>0</v>
      </c>
      <c r="H954" s="125">
        <f>Lista!G953</f>
        <v>0</v>
      </c>
      <c r="I954" s="125">
        <f>Lista!H953</f>
        <v>0</v>
      </c>
      <c r="J954" s="125">
        <f>Lista!I953</f>
        <v>0</v>
      </c>
      <c r="K954" s="125">
        <f>Lista!J953</f>
        <v>0</v>
      </c>
      <c r="L954" s="125">
        <f>Lista!K953</f>
        <v>0</v>
      </c>
      <c r="M954" s="125">
        <f>Lista!L953</f>
        <v>0</v>
      </c>
      <c r="N954" s="125">
        <f>Lista!M953</f>
        <v>0</v>
      </c>
      <c r="O954" s="125">
        <f>Lista!N953</f>
        <v>0</v>
      </c>
      <c r="P954" s="125">
        <f>Lista!O953</f>
        <v>0</v>
      </c>
      <c r="Q954" s="125">
        <f>Lista!P953</f>
        <v>0</v>
      </c>
      <c r="R954" s="125">
        <f>Lista!Q953</f>
        <v>0</v>
      </c>
      <c r="S954" s="125">
        <f>Lista!R953</f>
        <v>0</v>
      </c>
      <c r="T954" s="81"/>
      <c r="U954" s="81"/>
      <c r="V954" s="81"/>
      <c r="W954" s="81"/>
      <c r="X954" s="81"/>
      <c r="Y954" s="81"/>
      <c r="Z954" s="81"/>
      <c r="AA954" s="81"/>
      <c r="AB954" s="81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  <c r="BS954" s="81"/>
      <c r="BT954" s="81"/>
      <c r="BU954" s="81"/>
      <c r="BV954" s="81"/>
      <c r="BW954" s="81"/>
      <c r="BX954" s="81"/>
      <c r="BY954" s="81"/>
      <c r="BZ954" s="81"/>
      <c r="CA954" s="81"/>
      <c r="CB954" s="81"/>
      <c r="CC954" s="81"/>
      <c r="CD954" s="81"/>
      <c r="CE954" s="81"/>
      <c r="CF954" s="81"/>
      <c r="CG954" s="81"/>
      <c r="CH954" s="81"/>
      <c r="CI954" s="81"/>
      <c r="CJ954" s="81"/>
      <c r="CK954" s="81"/>
      <c r="CL954" s="81"/>
      <c r="CM954" s="81"/>
      <c r="CN954" s="81"/>
      <c r="CO954" s="81"/>
      <c r="CP954" s="81"/>
      <c r="CQ954" s="81"/>
      <c r="CR954" s="81"/>
      <c r="CS954" s="81"/>
      <c r="CT954" s="81"/>
      <c r="CU954" s="81"/>
      <c r="CV954" s="81"/>
      <c r="CW954" s="81"/>
      <c r="CX954" s="81"/>
      <c r="CY954" s="81"/>
      <c r="CZ954" s="81"/>
      <c r="DA954" s="81"/>
      <c r="DB954" s="81"/>
      <c r="DC954" s="81"/>
      <c r="DD954" s="81"/>
      <c r="DE954" s="81"/>
      <c r="DF954" s="81"/>
      <c r="DG954" s="81"/>
      <c r="DH954" s="81"/>
      <c r="DI954" s="81"/>
      <c r="DJ954" s="81"/>
      <c r="DK954" s="81"/>
      <c r="DL954" s="81"/>
      <c r="DM954" s="81"/>
      <c r="DN954" s="81"/>
      <c r="DO954" s="81"/>
      <c r="DP954" s="81"/>
      <c r="DQ954" s="81"/>
      <c r="DR954" s="81"/>
      <c r="DS954" s="81"/>
      <c r="DT954" s="81"/>
      <c r="DU954" s="81"/>
      <c r="DV954" s="81"/>
      <c r="DW954" s="121"/>
    </row>
    <row r="955" spans="1:127" x14ac:dyDescent="0.25">
      <c r="A955" s="2">
        <f>COUNTIF($D$2:D955,'Reporte de Nomina'!$E$2)</f>
        <v>0</v>
      </c>
      <c r="B955" s="125">
        <f>Lista!A954</f>
        <v>0</v>
      </c>
      <c r="C955" s="125">
        <f>Lista!B954</f>
        <v>0</v>
      </c>
      <c r="D955" s="125">
        <f>Lista!C954</f>
        <v>0</v>
      </c>
      <c r="E955" s="125">
        <f>Lista!D954</f>
        <v>0</v>
      </c>
      <c r="F955" s="125">
        <f>Lista!E954</f>
        <v>0</v>
      </c>
      <c r="G955" s="125">
        <f>Lista!F954</f>
        <v>0</v>
      </c>
      <c r="H955" s="125">
        <f>Lista!G954</f>
        <v>0</v>
      </c>
      <c r="I955" s="125">
        <f>Lista!H954</f>
        <v>0</v>
      </c>
      <c r="J955" s="125">
        <f>Lista!I954</f>
        <v>0</v>
      </c>
      <c r="K955" s="125">
        <f>Lista!J954</f>
        <v>0</v>
      </c>
      <c r="L955" s="125">
        <f>Lista!K954</f>
        <v>0</v>
      </c>
      <c r="M955" s="125">
        <f>Lista!L954</f>
        <v>0</v>
      </c>
      <c r="N955" s="125">
        <f>Lista!M954</f>
        <v>0</v>
      </c>
      <c r="O955" s="125">
        <f>Lista!N954</f>
        <v>0</v>
      </c>
      <c r="P955" s="125">
        <f>Lista!O954</f>
        <v>0</v>
      </c>
      <c r="Q955" s="125">
        <f>Lista!P954</f>
        <v>0</v>
      </c>
      <c r="R955" s="125">
        <f>Lista!Q954</f>
        <v>0</v>
      </c>
      <c r="S955" s="125">
        <f>Lista!R954</f>
        <v>0</v>
      </c>
      <c r="T955" s="81"/>
      <c r="U955" s="81"/>
      <c r="V955" s="81"/>
      <c r="W955" s="81"/>
      <c r="X955" s="81"/>
      <c r="Y955" s="81"/>
      <c r="Z955" s="81"/>
      <c r="AA955" s="81"/>
      <c r="AB955" s="81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  <c r="BS955" s="81"/>
      <c r="BT955" s="81"/>
      <c r="BU955" s="81"/>
      <c r="BV955" s="81"/>
      <c r="BW955" s="81"/>
      <c r="BX955" s="81"/>
      <c r="BY955" s="81"/>
      <c r="BZ955" s="81"/>
      <c r="CA955" s="81"/>
      <c r="CB955" s="81"/>
      <c r="CC955" s="81"/>
      <c r="CD955" s="81"/>
      <c r="CE955" s="81"/>
      <c r="CF955" s="81"/>
      <c r="CG955" s="81"/>
      <c r="CH955" s="81"/>
      <c r="CI955" s="81"/>
      <c r="CJ955" s="81"/>
      <c r="CK955" s="81"/>
      <c r="CL955" s="81"/>
      <c r="CM955" s="81"/>
      <c r="CN955" s="81"/>
      <c r="CO955" s="81"/>
      <c r="CP955" s="81"/>
      <c r="CQ955" s="81"/>
      <c r="CR955" s="81"/>
      <c r="CS955" s="81"/>
      <c r="CT955" s="81"/>
      <c r="CU955" s="81"/>
      <c r="CV955" s="81"/>
      <c r="CW955" s="81"/>
      <c r="CX955" s="81"/>
      <c r="CY955" s="81"/>
      <c r="CZ955" s="81"/>
      <c r="DA955" s="81"/>
      <c r="DB955" s="81"/>
      <c r="DC955" s="81"/>
      <c r="DD955" s="81"/>
      <c r="DE955" s="81"/>
      <c r="DF955" s="81"/>
      <c r="DG955" s="81"/>
      <c r="DH955" s="81"/>
      <c r="DI955" s="81"/>
      <c r="DJ955" s="81"/>
      <c r="DK955" s="81"/>
      <c r="DL955" s="81"/>
      <c r="DM955" s="81"/>
      <c r="DN955" s="81"/>
      <c r="DO955" s="81"/>
      <c r="DP955" s="81"/>
      <c r="DQ955" s="81"/>
      <c r="DR955" s="81"/>
      <c r="DS955" s="81"/>
      <c r="DT955" s="81"/>
      <c r="DU955" s="81"/>
      <c r="DV955" s="81"/>
      <c r="DW955" s="121"/>
    </row>
    <row r="956" spans="1:127" x14ac:dyDescent="0.25">
      <c r="A956" s="2">
        <f>COUNTIF($D$2:D956,'Reporte de Nomina'!$E$2)</f>
        <v>0</v>
      </c>
      <c r="B956" s="125">
        <f>Lista!A955</f>
        <v>0</v>
      </c>
      <c r="C956" s="125">
        <f>Lista!B955</f>
        <v>0</v>
      </c>
      <c r="D956" s="125">
        <f>Lista!C955</f>
        <v>0</v>
      </c>
      <c r="E956" s="125">
        <f>Lista!D955</f>
        <v>0</v>
      </c>
      <c r="F956" s="125">
        <f>Lista!E955</f>
        <v>0</v>
      </c>
      <c r="G956" s="125">
        <f>Lista!F955</f>
        <v>0</v>
      </c>
      <c r="H956" s="125">
        <f>Lista!G955</f>
        <v>0</v>
      </c>
      <c r="I956" s="125">
        <f>Lista!H955</f>
        <v>0</v>
      </c>
      <c r="J956" s="125">
        <f>Lista!I955</f>
        <v>0</v>
      </c>
      <c r="K956" s="125">
        <f>Lista!J955</f>
        <v>0</v>
      </c>
      <c r="L956" s="125">
        <f>Lista!K955</f>
        <v>0</v>
      </c>
      <c r="M956" s="125">
        <f>Lista!L955</f>
        <v>0</v>
      </c>
      <c r="N956" s="125">
        <f>Lista!M955</f>
        <v>0</v>
      </c>
      <c r="O956" s="125">
        <f>Lista!N955</f>
        <v>0</v>
      </c>
      <c r="P956" s="125">
        <f>Lista!O955</f>
        <v>0</v>
      </c>
      <c r="Q956" s="125">
        <f>Lista!P955</f>
        <v>0</v>
      </c>
      <c r="R956" s="125">
        <f>Lista!Q955</f>
        <v>0</v>
      </c>
      <c r="S956" s="125">
        <f>Lista!R955</f>
        <v>0</v>
      </c>
      <c r="T956" s="81"/>
      <c r="U956" s="81"/>
      <c r="V956" s="81"/>
      <c r="W956" s="81"/>
      <c r="X956" s="81"/>
      <c r="Y956" s="81"/>
      <c r="Z956" s="81"/>
      <c r="AA956" s="81"/>
      <c r="AB956" s="81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  <c r="BS956" s="81"/>
      <c r="BT956" s="81"/>
      <c r="BU956" s="81"/>
      <c r="BV956" s="81"/>
      <c r="BW956" s="81"/>
      <c r="BX956" s="81"/>
      <c r="BY956" s="81"/>
      <c r="BZ956" s="81"/>
      <c r="CA956" s="81"/>
      <c r="CB956" s="81"/>
      <c r="CC956" s="81"/>
      <c r="CD956" s="81"/>
      <c r="CE956" s="81"/>
      <c r="CF956" s="81"/>
      <c r="CG956" s="81"/>
      <c r="CH956" s="81"/>
      <c r="CI956" s="81"/>
      <c r="CJ956" s="81"/>
      <c r="CK956" s="81"/>
      <c r="CL956" s="81"/>
      <c r="CM956" s="81"/>
      <c r="CN956" s="81"/>
      <c r="CO956" s="81"/>
      <c r="CP956" s="81"/>
      <c r="CQ956" s="81"/>
      <c r="CR956" s="81"/>
      <c r="CS956" s="81"/>
      <c r="CT956" s="81"/>
      <c r="CU956" s="81"/>
      <c r="CV956" s="81"/>
      <c r="CW956" s="81"/>
      <c r="CX956" s="81"/>
      <c r="CY956" s="81"/>
      <c r="CZ956" s="81"/>
      <c r="DA956" s="81"/>
      <c r="DB956" s="81"/>
      <c r="DC956" s="81"/>
      <c r="DD956" s="81"/>
      <c r="DE956" s="81"/>
      <c r="DF956" s="81"/>
      <c r="DG956" s="81"/>
      <c r="DH956" s="81"/>
      <c r="DI956" s="81"/>
      <c r="DJ956" s="81"/>
      <c r="DK956" s="81"/>
      <c r="DL956" s="81"/>
      <c r="DM956" s="81"/>
      <c r="DN956" s="81"/>
      <c r="DO956" s="81"/>
      <c r="DP956" s="81"/>
      <c r="DQ956" s="81"/>
      <c r="DR956" s="81"/>
      <c r="DS956" s="81"/>
      <c r="DT956" s="81"/>
      <c r="DU956" s="81"/>
      <c r="DV956" s="81"/>
      <c r="DW956" s="121"/>
    </row>
    <row r="957" spans="1:127" x14ac:dyDescent="0.25">
      <c r="A957" s="2">
        <f>COUNTIF($D$2:D957,'Reporte de Nomina'!$E$2)</f>
        <v>0</v>
      </c>
      <c r="B957" s="125">
        <f>Lista!A956</f>
        <v>0</v>
      </c>
      <c r="C957" s="125">
        <f>Lista!B956</f>
        <v>0</v>
      </c>
      <c r="D957" s="125">
        <f>Lista!C956</f>
        <v>0</v>
      </c>
      <c r="E957" s="125">
        <f>Lista!D956</f>
        <v>0</v>
      </c>
      <c r="F957" s="125">
        <f>Lista!E956</f>
        <v>0</v>
      </c>
      <c r="G957" s="125">
        <f>Lista!F956</f>
        <v>0</v>
      </c>
      <c r="H957" s="125">
        <f>Lista!G956</f>
        <v>0</v>
      </c>
      <c r="I957" s="125">
        <f>Lista!H956</f>
        <v>0</v>
      </c>
      <c r="J957" s="125">
        <f>Lista!I956</f>
        <v>0</v>
      </c>
      <c r="K957" s="125">
        <f>Lista!J956</f>
        <v>0</v>
      </c>
      <c r="L957" s="125">
        <f>Lista!K956</f>
        <v>0</v>
      </c>
      <c r="M957" s="125">
        <f>Lista!L956</f>
        <v>0</v>
      </c>
      <c r="N957" s="125">
        <f>Lista!M956</f>
        <v>0</v>
      </c>
      <c r="O957" s="125">
        <f>Lista!N956</f>
        <v>0</v>
      </c>
      <c r="P957" s="125">
        <f>Lista!O956</f>
        <v>0</v>
      </c>
      <c r="Q957" s="125">
        <f>Lista!P956</f>
        <v>0</v>
      </c>
      <c r="R957" s="125">
        <f>Lista!Q956</f>
        <v>0</v>
      </c>
      <c r="S957" s="125">
        <f>Lista!R956</f>
        <v>0</v>
      </c>
      <c r="T957" s="81"/>
      <c r="U957" s="81"/>
      <c r="V957" s="81"/>
      <c r="W957" s="81"/>
      <c r="X957" s="81"/>
      <c r="Y957" s="81"/>
      <c r="Z957" s="81"/>
      <c r="AA957" s="81"/>
      <c r="AB957" s="81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  <c r="BS957" s="81"/>
      <c r="BT957" s="81"/>
      <c r="BU957" s="81"/>
      <c r="BV957" s="81"/>
      <c r="BW957" s="81"/>
      <c r="BX957" s="81"/>
      <c r="BY957" s="81"/>
      <c r="BZ957" s="81"/>
      <c r="CA957" s="81"/>
      <c r="CB957" s="81"/>
      <c r="CC957" s="81"/>
      <c r="CD957" s="81"/>
      <c r="CE957" s="81"/>
      <c r="CF957" s="81"/>
      <c r="CG957" s="81"/>
      <c r="CH957" s="81"/>
      <c r="CI957" s="81"/>
      <c r="CJ957" s="81"/>
      <c r="CK957" s="81"/>
      <c r="CL957" s="81"/>
      <c r="CM957" s="81"/>
      <c r="CN957" s="81"/>
      <c r="CO957" s="81"/>
      <c r="CP957" s="81"/>
      <c r="CQ957" s="81"/>
      <c r="CR957" s="81"/>
      <c r="CS957" s="81"/>
      <c r="CT957" s="81"/>
      <c r="CU957" s="81"/>
      <c r="CV957" s="81"/>
      <c r="CW957" s="81"/>
      <c r="CX957" s="81"/>
      <c r="CY957" s="81"/>
      <c r="CZ957" s="81"/>
      <c r="DA957" s="81"/>
      <c r="DB957" s="81"/>
      <c r="DC957" s="81"/>
      <c r="DD957" s="81"/>
      <c r="DE957" s="81"/>
      <c r="DF957" s="81"/>
      <c r="DG957" s="81"/>
      <c r="DH957" s="81"/>
      <c r="DI957" s="81"/>
      <c r="DJ957" s="81"/>
      <c r="DK957" s="81"/>
      <c r="DL957" s="81"/>
      <c r="DM957" s="81"/>
      <c r="DN957" s="81"/>
      <c r="DO957" s="81"/>
      <c r="DP957" s="81"/>
      <c r="DQ957" s="81"/>
      <c r="DR957" s="81"/>
      <c r="DS957" s="81"/>
      <c r="DT957" s="81"/>
      <c r="DU957" s="81"/>
      <c r="DV957" s="81"/>
      <c r="DW957" s="121"/>
    </row>
    <row r="958" spans="1:127" x14ac:dyDescent="0.25">
      <c r="A958" s="2">
        <f>COUNTIF($D$2:D958,'Reporte de Nomina'!$E$2)</f>
        <v>0</v>
      </c>
      <c r="B958" s="125">
        <f>Lista!A957</f>
        <v>0</v>
      </c>
      <c r="C958" s="125">
        <f>Lista!B957</f>
        <v>0</v>
      </c>
      <c r="D958" s="125">
        <f>Lista!C957</f>
        <v>0</v>
      </c>
      <c r="E958" s="125">
        <f>Lista!D957</f>
        <v>0</v>
      </c>
      <c r="F958" s="125">
        <f>Lista!E957</f>
        <v>0</v>
      </c>
      <c r="G958" s="125">
        <f>Lista!F957</f>
        <v>0</v>
      </c>
      <c r="H958" s="125">
        <f>Lista!G957</f>
        <v>0</v>
      </c>
      <c r="I958" s="125">
        <f>Lista!H957</f>
        <v>0</v>
      </c>
      <c r="J958" s="125">
        <f>Lista!I957</f>
        <v>0</v>
      </c>
      <c r="K958" s="125">
        <f>Lista!J957</f>
        <v>0</v>
      </c>
      <c r="L958" s="125">
        <f>Lista!K957</f>
        <v>0</v>
      </c>
      <c r="M958" s="125">
        <f>Lista!L957</f>
        <v>0</v>
      </c>
      <c r="N958" s="125">
        <f>Lista!M957</f>
        <v>0</v>
      </c>
      <c r="O958" s="125">
        <f>Lista!N957</f>
        <v>0</v>
      </c>
      <c r="P958" s="125">
        <f>Lista!O957</f>
        <v>0</v>
      </c>
      <c r="Q958" s="125">
        <f>Lista!P957</f>
        <v>0</v>
      </c>
      <c r="R958" s="125">
        <f>Lista!Q957</f>
        <v>0</v>
      </c>
      <c r="S958" s="125">
        <f>Lista!R957</f>
        <v>0</v>
      </c>
      <c r="T958" s="81"/>
      <c r="U958" s="81"/>
      <c r="V958" s="81"/>
      <c r="W958" s="81"/>
      <c r="X958" s="81"/>
      <c r="Y958" s="81"/>
      <c r="Z958" s="81"/>
      <c r="AA958" s="81"/>
      <c r="AB958" s="81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  <c r="BS958" s="81"/>
      <c r="BT958" s="81"/>
      <c r="BU958" s="81"/>
      <c r="BV958" s="81"/>
      <c r="BW958" s="81"/>
      <c r="BX958" s="81"/>
      <c r="BY958" s="81"/>
      <c r="BZ958" s="81"/>
      <c r="CA958" s="81"/>
      <c r="CB958" s="81"/>
      <c r="CC958" s="81"/>
      <c r="CD958" s="81"/>
      <c r="CE958" s="81"/>
      <c r="CF958" s="81"/>
      <c r="CG958" s="81"/>
      <c r="CH958" s="81"/>
      <c r="CI958" s="81"/>
      <c r="CJ958" s="81"/>
      <c r="CK958" s="81"/>
      <c r="CL958" s="81"/>
      <c r="CM958" s="81"/>
      <c r="CN958" s="81"/>
      <c r="CO958" s="81"/>
      <c r="CP958" s="81"/>
      <c r="CQ958" s="81"/>
      <c r="CR958" s="81"/>
      <c r="CS958" s="81"/>
      <c r="CT958" s="81"/>
      <c r="CU958" s="81"/>
      <c r="CV958" s="81"/>
      <c r="CW958" s="81"/>
      <c r="CX958" s="81"/>
      <c r="CY958" s="81"/>
      <c r="CZ958" s="81"/>
      <c r="DA958" s="81"/>
      <c r="DB958" s="81"/>
      <c r="DC958" s="81"/>
      <c r="DD958" s="81"/>
      <c r="DE958" s="81"/>
      <c r="DF958" s="81"/>
      <c r="DG958" s="81"/>
      <c r="DH958" s="81"/>
      <c r="DI958" s="81"/>
      <c r="DJ958" s="81"/>
      <c r="DK958" s="81"/>
      <c r="DL958" s="81"/>
      <c r="DM958" s="81"/>
      <c r="DN958" s="81"/>
      <c r="DO958" s="81"/>
      <c r="DP958" s="81"/>
      <c r="DQ958" s="81"/>
      <c r="DR958" s="81"/>
      <c r="DS958" s="81"/>
      <c r="DT958" s="81"/>
      <c r="DU958" s="81"/>
      <c r="DV958" s="81"/>
      <c r="DW958" s="121"/>
    </row>
    <row r="959" spans="1:127" x14ac:dyDescent="0.25">
      <c r="A959" s="2">
        <f>COUNTIF($D$2:D959,'Reporte de Nomina'!$E$2)</f>
        <v>0</v>
      </c>
      <c r="B959" s="125">
        <f>Lista!A958</f>
        <v>0</v>
      </c>
      <c r="C959" s="125">
        <f>Lista!B958</f>
        <v>0</v>
      </c>
      <c r="D959" s="125">
        <f>Lista!C958</f>
        <v>0</v>
      </c>
      <c r="E959" s="125">
        <f>Lista!D958</f>
        <v>0</v>
      </c>
      <c r="F959" s="125">
        <f>Lista!E958</f>
        <v>0</v>
      </c>
      <c r="G959" s="125">
        <f>Lista!F958</f>
        <v>0</v>
      </c>
      <c r="H959" s="125">
        <f>Lista!G958</f>
        <v>0</v>
      </c>
      <c r="I959" s="125">
        <f>Lista!H958</f>
        <v>0</v>
      </c>
      <c r="J959" s="125">
        <f>Lista!I958</f>
        <v>0</v>
      </c>
      <c r="K959" s="125">
        <f>Lista!J958</f>
        <v>0</v>
      </c>
      <c r="L959" s="125">
        <f>Lista!K958</f>
        <v>0</v>
      </c>
      <c r="M959" s="125">
        <f>Lista!L958</f>
        <v>0</v>
      </c>
      <c r="N959" s="125">
        <f>Lista!M958</f>
        <v>0</v>
      </c>
      <c r="O959" s="125">
        <f>Lista!N958</f>
        <v>0</v>
      </c>
      <c r="P959" s="125">
        <f>Lista!O958</f>
        <v>0</v>
      </c>
      <c r="Q959" s="125">
        <f>Lista!P958</f>
        <v>0</v>
      </c>
      <c r="R959" s="125">
        <f>Lista!Q958</f>
        <v>0</v>
      </c>
      <c r="S959" s="125">
        <f>Lista!R958</f>
        <v>0</v>
      </c>
      <c r="T959" s="81"/>
      <c r="U959" s="81"/>
      <c r="V959" s="81"/>
      <c r="W959" s="81"/>
      <c r="X959" s="81"/>
      <c r="Y959" s="81"/>
      <c r="Z959" s="81"/>
      <c r="AA959" s="81"/>
      <c r="AB959" s="81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  <c r="BS959" s="81"/>
      <c r="BT959" s="81"/>
      <c r="BU959" s="81"/>
      <c r="BV959" s="81"/>
      <c r="BW959" s="81"/>
      <c r="BX959" s="81"/>
      <c r="BY959" s="81"/>
      <c r="BZ959" s="81"/>
      <c r="CA959" s="81"/>
      <c r="CB959" s="81"/>
      <c r="CC959" s="81"/>
      <c r="CD959" s="81"/>
      <c r="CE959" s="81"/>
      <c r="CF959" s="81"/>
      <c r="CG959" s="81"/>
      <c r="CH959" s="81"/>
      <c r="CI959" s="81"/>
      <c r="CJ959" s="81"/>
      <c r="CK959" s="81"/>
      <c r="CL959" s="81"/>
      <c r="CM959" s="81"/>
      <c r="CN959" s="81"/>
      <c r="CO959" s="81"/>
      <c r="CP959" s="81"/>
      <c r="CQ959" s="81"/>
      <c r="CR959" s="81"/>
      <c r="CS959" s="81"/>
      <c r="CT959" s="81"/>
      <c r="CU959" s="81"/>
      <c r="CV959" s="81"/>
      <c r="CW959" s="81"/>
      <c r="CX959" s="81"/>
      <c r="CY959" s="81"/>
      <c r="CZ959" s="81"/>
      <c r="DA959" s="81"/>
      <c r="DB959" s="81"/>
      <c r="DC959" s="81"/>
      <c r="DD959" s="81"/>
      <c r="DE959" s="81"/>
      <c r="DF959" s="81"/>
      <c r="DG959" s="81"/>
      <c r="DH959" s="81"/>
      <c r="DI959" s="81"/>
      <c r="DJ959" s="81"/>
      <c r="DK959" s="81"/>
      <c r="DL959" s="81"/>
      <c r="DM959" s="81"/>
      <c r="DN959" s="81"/>
      <c r="DO959" s="81"/>
      <c r="DP959" s="81"/>
      <c r="DQ959" s="81"/>
      <c r="DR959" s="81"/>
      <c r="DS959" s="81"/>
      <c r="DT959" s="81"/>
      <c r="DU959" s="81"/>
      <c r="DV959" s="81"/>
      <c r="DW959" s="121"/>
    </row>
    <row r="960" spans="1:127" x14ac:dyDescent="0.25">
      <c r="A960" s="2">
        <f>COUNTIF($D$2:D960,'Reporte de Nomina'!$E$2)</f>
        <v>0</v>
      </c>
      <c r="B960" s="125">
        <f>Lista!A959</f>
        <v>0</v>
      </c>
      <c r="C960" s="125">
        <f>Lista!B959</f>
        <v>0</v>
      </c>
      <c r="D960" s="125">
        <f>Lista!C959</f>
        <v>0</v>
      </c>
      <c r="E960" s="125">
        <f>Lista!D959</f>
        <v>0</v>
      </c>
      <c r="F960" s="125">
        <f>Lista!E959</f>
        <v>0</v>
      </c>
      <c r="G960" s="125">
        <f>Lista!F959</f>
        <v>0</v>
      </c>
      <c r="H960" s="125">
        <f>Lista!G959</f>
        <v>0</v>
      </c>
      <c r="I960" s="125">
        <f>Lista!H959</f>
        <v>0</v>
      </c>
      <c r="J960" s="125">
        <f>Lista!I959</f>
        <v>0</v>
      </c>
      <c r="K960" s="125">
        <f>Lista!J959</f>
        <v>0</v>
      </c>
      <c r="L960" s="125">
        <f>Lista!K959</f>
        <v>0</v>
      </c>
      <c r="M960" s="125">
        <f>Lista!L959</f>
        <v>0</v>
      </c>
      <c r="N960" s="125">
        <f>Lista!M959</f>
        <v>0</v>
      </c>
      <c r="O960" s="125">
        <f>Lista!N959</f>
        <v>0</v>
      </c>
      <c r="P960" s="125">
        <f>Lista!O959</f>
        <v>0</v>
      </c>
      <c r="Q960" s="125">
        <f>Lista!P959</f>
        <v>0</v>
      </c>
      <c r="R960" s="125">
        <f>Lista!Q959</f>
        <v>0</v>
      </c>
      <c r="S960" s="125">
        <f>Lista!R959</f>
        <v>0</v>
      </c>
      <c r="T960" s="81"/>
      <c r="U960" s="81"/>
      <c r="V960" s="81"/>
      <c r="W960" s="81"/>
      <c r="X960" s="81"/>
      <c r="Y960" s="81"/>
      <c r="Z960" s="81"/>
      <c r="AA960" s="81"/>
      <c r="AB960" s="81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  <c r="BS960" s="81"/>
      <c r="BT960" s="81"/>
      <c r="BU960" s="81"/>
      <c r="BV960" s="81"/>
      <c r="BW960" s="81"/>
      <c r="BX960" s="81"/>
      <c r="BY960" s="81"/>
      <c r="BZ960" s="81"/>
      <c r="CA960" s="81"/>
      <c r="CB960" s="81"/>
      <c r="CC960" s="81"/>
      <c r="CD960" s="81"/>
      <c r="CE960" s="81"/>
      <c r="CF960" s="81"/>
      <c r="CG960" s="81"/>
      <c r="CH960" s="81"/>
      <c r="CI960" s="81"/>
      <c r="CJ960" s="81"/>
      <c r="CK960" s="81"/>
      <c r="CL960" s="81"/>
      <c r="CM960" s="81"/>
      <c r="CN960" s="81"/>
      <c r="CO960" s="81"/>
      <c r="CP960" s="81"/>
      <c r="CQ960" s="81"/>
      <c r="CR960" s="81"/>
      <c r="CS960" s="81"/>
      <c r="CT960" s="81"/>
      <c r="CU960" s="81"/>
      <c r="CV960" s="81"/>
      <c r="CW960" s="81"/>
      <c r="CX960" s="81"/>
      <c r="CY960" s="81"/>
      <c r="CZ960" s="81"/>
      <c r="DA960" s="81"/>
      <c r="DB960" s="81"/>
      <c r="DC960" s="81"/>
      <c r="DD960" s="81"/>
      <c r="DE960" s="81"/>
      <c r="DF960" s="81"/>
      <c r="DG960" s="81"/>
      <c r="DH960" s="81"/>
      <c r="DI960" s="81"/>
      <c r="DJ960" s="81"/>
      <c r="DK960" s="81"/>
      <c r="DL960" s="81"/>
      <c r="DM960" s="81"/>
      <c r="DN960" s="81"/>
      <c r="DO960" s="81"/>
      <c r="DP960" s="81"/>
      <c r="DQ960" s="81"/>
      <c r="DR960" s="81"/>
      <c r="DS960" s="81"/>
      <c r="DT960" s="81"/>
      <c r="DU960" s="81"/>
      <c r="DV960" s="81"/>
      <c r="DW960" s="121"/>
    </row>
    <row r="961" spans="1:127" x14ac:dyDescent="0.25">
      <c r="A961" s="2">
        <f>COUNTIF($D$2:D961,'Reporte de Nomina'!$E$2)</f>
        <v>0</v>
      </c>
      <c r="B961" s="125">
        <f>Lista!A960</f>
        <v>0</v>
      </c>
      <c r="C961" s="125">
        <f>Lista!B960</f>
        <v>0</v>
      </c>
      <c r="D961" s="125">
        <f>Lista!C960</f>
        <v>0</v>
      </c>
      <c r="E961" s="125">
        <f>Lista!D960</f>
        <v>0</v>
      </c>
      <c r="F961" s="125">
        <f>Lista!E960</f>
        <v>0</v>
      </c>
      <c r="G961" s="125">
        <f>Lista!F960</f>
        <v>0</v>
      </c>
      <c r="H961" s="125">
        <f>Lista!G960</f>
        <v>0</v>
      </c>
      <c r="I961" s="125">
        <f>Lista!H960</f>
        <v>0</v>
      </c>
      <c r="J961" s="125">
        <f>Lista!I960</f>
        <v>0</v>
      </c>
      <c r="K961" s="125">
        <f>Lista!J960</f>
        <v>0</v>
      </c>
      <c r="L961" s="125">
        <f>Lista!K960</f>
        <v>0</v>
      </c>
      <c r="M961" s="125">
        <f>Lista!L960</f>
        <v>0</v>
      </c>
      <c r="N961" s="125">
        <f>Lista!M960</f>
        <v>0</v>
      </c>
      <c r="O961" s="125">
        <f>Lista!N960</f>
        <v>0</v>
      </c>
      <c r="P961" s="125">
        <f>Lista!O960</f>
        <v>0</v>
      </c>
      <c r="Q961" s="125">
        <f>Lista!P960</f>
        <v>0</v>
      </c>
      <c r="R961" s="125">
        <f>Lista!Q960</f>
        <v>0</v>
      </c>
      <c r="S961" s="125">
        <f>Lista!R960</f>
        <v>0</v>
      </c>
      <c r="T961" s="81"/>
      <c r="U961" s="81"/>
      <c r="V961" s="81"/>
      <c r="W961" s="81"/>
      <c r="X961" s="81"/>
      <c r="Y961" s="81"/>
      <c r="Z961" s="81"/>
      <c r="AA961" s="81"/>
      <c r="AB961" s="81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  <c r="BS961" s="81"/>
      <c r="BT961" s="81"/>
      <c r="BU961" s="81"/>
      <c r="BV961" s="81"/>
      <c r="BW961" s="81"/>
      <c r="BX961" s="81"/>
      <c r="BY961" s="81"/>
      <c r="BZ961" s="81"/>
      <c r="CA961" s="81"/>
      <c r="CB961" s="81"/>
      <c r="CC961" s="81"/>
      <c r="CD961" s="81"/>
      <c r="CE961" s="81"/>
      <c r="CF961" s="81"/>
      <c r="CG961" s="81"/>
      <c r="CH961" s="81"/>
      <c r="CI961" s="81"/>
      <c r="CJ961" s="81"/>
      <c r="CK961" s="81"/>
      <c r="CL961" s="81"/>
      <c r="CM961" s="81"/>
      <c r="CN961" s="81"/>
      <c r="CO961" s="81"/>
      <c r="CP961" s="81"/>
      <c r="CQ961" s="81"/>
      <c r="CR961" s="81"/>
      <c r="CS961" s="81"/>
      <c r="CT961" s="81"/>
      <c r="CU961" s="81"/>
      <c r="CV961" s="81"/>
      <c r="CW961" s="81"/>
      <c r="CX961" s="81"/>
      <c r="CY961" s="81"/>
      <c r="CZ961" s="81"/>
      <c r="DA961" s="81"/>
      <c r="DB961" s="81"/>
      <c r="DC961" s="81"/>
      <c r="DD961" s="81"/>
      <c r="DE961" s="81"/>
      <c r="DF961" s="81"/>
      <c r="DG961" s="81"/>
      <c r="DH961" s="81"/>
      <c r="DI961" s="81"/>
      <c r="DJ961" s="81"/>
      <c r="DK961" s="81"/>
      <c r="DL961" s="81"/>
      <c r="DM961" s="81"/>
      <c r="DN961" s="81"/>
      <c r="DO961" s="81"/>
      <c r="DP961" s="81"/>
      <c r="DQ961" s="81"/>
      <c r="DR961" s="81"/>
      <c r="DS961" s="81"/>
      <c r="DT961" s="81"/>
      <c r="DU961" s="81"/>
      <c r="DV961" s="81"/>
      <c r="DW961" s="121"/>
    </row>
    <row r="962" spans="1:127" x14ac:dyDescent="0.25">
      <c r="A962" s="2">
        <f>COUNTIF($D$2:D962,'Reporte de Nomina'!$E$2)</f>
        <v>0</v>
      </c>
      <c r="B962" s="125">
        <f>Lista!A961</f>
        <v>0</v>
      </c>
      <c r="C962" s="125">
        <f>Lista!B961</f>
        <v>0</v>
      </c>
      <c r="D962" s="125">
        <f>Lista!C961</f>
        <v>0</v>
      </c>
      <c r="E962" s="125">
        <f>Lista!D961</f>
        <v>0</v>
      </c>
      <c r="F962" s="125">
        <f>Lista!E961</f>
        <v>0</v>
      </c>
      <c r="G962" s="125">
        <f>Lista!F961</f>
        <v>0</v>
      </c>
      <c r="H962" s="125">
        <f>Lista!G961</f>
        <v>0</v>
      </c>
      <c r="I962" s="125">
        <f>Lista!H961</f>
        <v>0</v>
      </c>
      <c r="J962" s="125">
        <f>Lista!I961</f>
        <v>0</v>
      </c>
      <c r="K962" s="125">
        <f>Lista!J961</f>
        <v>0</v>
      </c>
      <c r="L962" s="125">
        <f>Lista!K961</f>
        <v>0</v>
      </c>
      <c r="M962" s="125">
        <f>Lista!L961</f>
        <v>0</v>
      </c>
      <c r="N962" s="125">
        <f>Lista!M961</f>
        <v>0</v>
      </c>
      <c r="O962" s="125">
        <f>Lista!N961</f>
        <v>0</v>
      </c>
      <c r="P962" s="125">
        <f>Lista!O961</f>
        <v>0</v>
      </c>
      <c r="Q962" s="125">
        <f>Lista!P961</f>
        <v>0</v>
      </c>
      <c r="R962" s="125">
        <f>Lista!Q961</f>
        <v>0</v>
      </c>
      <c r="S962" s="125">
        <f>Lista!R961</f>
        <v>0</v>
      </c>
      <c r="T962" s="81"/>
      <c r="U962" s="81"/>
      <c r="V962" s="81"/>
      <c r="W962" s="81"/>
      <c r="X962" s="81"/>
      <c r="Y962" s="81"/>
      <c r="Z962" s="81"/>
      <c r="AA962" s="81"/>
      <c r="AB962" s="81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  <c r="BS962" s="81"/>
      <c r="BT962" s="81"/>
      <c r="BU962" s="81"/>
      <c r="BV962" s="81"/>
      <c r="BW962" s="81"/>
      <c r="BX962" s="81"/>
      <c r="BY962" s="81"/>
      <c r="BZ962" s="81"/>
      <c r="CA962" s="81"/>
      <c r="CB962" s="81"/>
      <c r="CC962" s="81"/>
      <c r="CD962" s="81"/>
      <c r="CE962" s="81"/>
      <c r="CF962" s="81"/>
      <c r="CG962" s="81"/>
      <c r="CH962" s="81"/>
      <c r="CI962" s="81"/>
      <c r="CJ962" s="81"/>
      <c r="CK962" s="81"/>
      <c r="CL962" s="81"/>
      <c r="CM962" s="81"/>
      <c r="CN962" s="81"/>
      <c r="CO962" s="81"/>
      <c r="CP962" s="81"/>
      <c r="CQ962" s="81"/>
      <c r="CR962" s="81"/>
      <c r="CS962" s="81"/>
      <c r="CT962" s="81"/>
      <c r="CU962" s="81"/>
      <c r="CV962" s="81"/>
      <c r="CW962" s="81"/>
      <c r="CX962" s="81"/>
      <c r="CY962" s="81"/>
      <c r="CZ962" s="81"/>
      <c r="DA962" s="81"/>
      <c r="DB962" s="81"/>
      <c r="DC962" s="81"/>
      <c r="DD962" s="81"/>
      <c r="DE962" s="81"/>
      <c r="DF962" s="81"/>
      <c r="DG962" s="81"/>
      <c r="DH962" s="81"/>
      <c r="DI962" s="81"/>
      <c r="DJ962" s="81"/>
      <c r="DK962" s="81"/>
      <c r="DL962" s="81"/>
      <c r="DM962" s="81"/>
      <c r="DN962" s="81"/>
      <c r="DO962" s="81"/>
      <c r="DP962" s="81"/>
      <c r="DQ962" s="81"/>
      <c r="DR962" s="81"/>
      <c r="DS962" s="81"/>
      <c r="DT962" s="81"/>
      <c r="DU962" s="81"/>
      <c r="DV962" s="81"/>
      <c r="DW962" s="121"/>
    </row>
    <row r="963" spans="1:127" x14ac:dyDescent="0.25">
      <c r="A963" s="2">
        <f>COUNTIF($D$2:D963,'Reporte de Nomina'!$E$2)</f>
        <v>0</v>
      </c>
      <c r="B963" s="125">
        <f>Lista!A962</f>
        <v>0</v>
      </c>
      <c r="C963" s="125">
        <f>Lista!B962</f>
        <v>0</v>
      </c>
      <c r="D963" s="125">
        <f>Lista!C962</f>
        <v>0</v>
      </c>
      <c r="E963" s="125">
        <f>Lista!D962</f>
        <v>0</v>
      </c>
      <c r="F963" s="125">
        <f>Lista!E962</f>
        <v>0</v>
      </c>
      <c r="G963" s="125">
        <f>Lista!F962</f>
        <v>0</v>
      </c>
      <c r="H963" s="125">
        <f>Lista!G962</f>
        <v>0</v>
      </c>
      <c r="I963" s="125">
        <f>Lista!H962</f>
        <v>0</v>
      </c>
      <c r="J963" s="125">
        <f>Lista!I962</f>
        <v>0</v>
      </c>
      <c r="K963" s="125">
        <f>Lista!J962</f>
        <v>0</v>
      </c>
      <c r="L963" s="125">
        <f>Lista!K962</f>
        <v>0</v>
      </c>
      <c r="M963" s="125">
        <f>Lista!L962</f>
        <v>0</v>
      </c>
      <c r="N963" s="125">
        <f>Lista!M962</f>
        <v>0</v>
      </c>
      <c r="O963" s="125">
        <f>Lista!N962</f>
        <v>0</v>
      </c>
      <c r="P963" s="125">
        <f>Lista!O962</f>
        <v>0</v>
      </c>
      <c r="Q963" s="125">
        <f>Lista!P962</f>
        <v>0</v>
      </c>
      <c r="R963" s="125">
        <f>Lista!Q962</f>
        <v>0</v>
      </c>
      <c r="S963" s="125">
        <f>Lista!R962</f>
        <v>0</v>
      </c>
      <c r="T963" s="81"/>
      <c r="U963" s="81"/>
      <c r="V963" s="81"/>
      <c r="W963" s="81"/>
      <c r="X963" s="81"/>
      <c r="Y963" s="81"/>
      <c r="Z963" s="81"/>
      <c r="AA963" s="81"/>
      <c r="AB963" s="81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  <c r="BS963" s="81"/>
      <c r="BT963" s="81"/>
      <c r="BU963" s="81"/>
      <c r="BV963" s="81"/>
      <c r="BW963" s="81"/>
      <c r="BX963" s="81"/>
      <c r="BY963" s="81"/>
      <c r="BZ963" s="81"/>
      <c r="CA963" s="81"/>
      <c r="CB963" s="81"/>
      <c r="CC963" s="81"/>
      <c r="CD963" s="81"/>
      <c r="CE963" s="81"/>
      <c r="CF963" s="81"/>
      <c r="CG963" s="81"/>
      <c r="CH963" s="81"/>
      <c r="CI963" s="81"/>
      <c r="CJ963" s="81"/>
      <c r="CK963" s="81"/>
      <c r="CL963" s="81"/>
      <c r="CM963" s="81"/>
      <c r="CN963" s="81"/>
      <c r="CO963" s="81"/>
      <c r="CP963" s="81"/>
      <c r="CQ963" s="81"/>
      <c r="CR963" s="81"/>
      <c r="CS963" s="81"/>
      <c r="CT963" s="81"/>
      <c r="CU963" s="81"/>
      <c r="CV963" s="81"/>
      <c r="CW963" s="81"/>
      <c r="CX963" s="81"/>
      <c r="CY963" s="81"/>
      <c r="CZ963" s="81"/>
      <c r="DA963" s="81"/>
      <c r="DB963" s="81"/>
      <c r="DC963" s="81"/>
      <c r="DD963" s="81"/>
      <c r="DE963" s="81"/>
      <c r="DF963" s="81"/>
      <c r="DG963" s="81"/>
      <c r="DH963" s="81"/>
      <c r="DI963" s="81"/>
      <c r="DJ963" s="81"/>
      <c r="DK963" s="81"/>
      <c r="DL963" s="81"/>
      <c r="DM963" s="81"/>
      <c r="DN963" s="81"/>
      <c r="DO963" s="81"/>
      <c r="DP963" s="81"/>
      <c r="DQ963" s="81"/>
      <c r="DR963" s="81"/>
      <c r="DS963" s="81"/>
      <c r="DT963" s="81"/>
      <c r="DU963" s="81"/>
      <c r="DV963" s="81"/>
      <c r="DW963" s="121"/>
    </row>
    <row r="964" spans="1:127" x14ac:dyDescent="0.25">
      <c r="A964" s="2">
        <f>COUNTIF($D$2:D964,'Reporte de Nomina'!$E$2)</f>
        <v>0</v>
      </c>
      <c r="B964" s="125">
        <f>Lista!A963</f>
        <v>0</v>
      </c>
      <c r="C964" s="125">
        <f>Lista!B963</f>
        <v>0</v>
      </c>
      <c r="D964" s="125">
        <f>Lista!C963</f>
        <v>0</v>
      </c>
      <c r="E964" s="125">
        <f>Lista!D963</f>
        <v>0</v>
      </c>
      <c r="F964" s="125">
        <f>Lista!E963</f>
        <v>0</v>
      </c>
      <c r="G964" s="125">
        <f>Lista!F963</f>
        <v>0</v>
      </c>
      <c r="H964" s="125">
        <f>Lista!G963</f>
        <v>0</v>
      </c>
      <c r="I964" s="125">
        <f>Lista!H963</f>
        <v>0</v>
      </c>
      <c r="J964" s="125">
        <f>Lista!I963</f>
        <v>0</v>
      </c>
      <c r="K964" s="125">
        <f>Lista!J963</f>
        <v>0</v>
      </c>
      <c r="L964" s="125">
        <f>Lista!K963</f>
        <v>0</v>
      </c>
      <c r="M964" s="125">
        <f>Lista!L963</f>
        <v>0</v>
      </c>
      <c r="N964" s="125">
        <f>Lista!M963</f>
        <v>0</v>
      </c>
      <c r="O964" s="125">
        <f>Lista!N963</f>
        <v>0</v>
      </c>
      <c r="P964" s="125">
        <f>Lista!O963</f>
        <v>0</v>
      </c>
      <c r="Q964" s="125">
        <f>Lista!P963</f>
        <v>0</v>
      </c>
      <c r="R964" s="125">
        <f>Lista!Q963</f>
        <v>0</v>
      </c>
      <c r="S964" s="125">
        <f>Lista!R963</f>
        <v>0</v>
      </c>
      <c r="T964" s="81"/>
      <c r="U964" s="81"/>
      <c r="V964" s="81"/>
      <c r="W964" s="81"/>
      <c r="X964" s="81"/>
      <c r="Y964" s="81"/>
      <c r="Z964" s="81"/>
      <c r="AA964" s="81"/>
      <c r="AB964" s="81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  <c r="BS964" s="81"/>
      <c r="BT964" s="81"/>
      <c r="BU964" s="81"/>
      <c r="BV964" s="81"/>
      <c r="BW964" s="81"/>
      <c r="BX964" s="81"/>
      <c r="BY964" s="81"/>
      <c r="BZ964" s="81"/>
      <c r="CA964" s="81"/>
      <c r="CB964" s="81"/>
      <c r="CC964" s="81"/>
      <c r="CD964" s="81"/>
      <c r="CE964" s="81"/>
      <c r="CF964" s="81"/>
      <c r="CG964" s="81"/>
      <c r="CH964" s="81"/>
      <c r="CI964" s="81"/>
      <c r="CJ964" s="81"/>
      <c r="CK964" s="81"/>
      <c r="CL964" s="81"/>
      <c r="CM964" s="81"/>
      <c r="CN964" s="81"/>
      <c r="CO964" s="81"/>
      <c r="CP964" s="81"/>
      <c r="CQ964" s="81"/>
      <c r="CR964" s="81"/>
      <c r="CS964" s="81"/>
      <c r="CT964" s="81"/>
      <c r="CU964" s="81"/>
      <c r="CV964" s="81"/>
      <c r="CW964" s="81"/>
      <c r="CX964" s="81"/>
      <c r="CY964" s="81"/>
      <c r="CZ964" s="81"/>
      <c r="DA964" s="81"/>
      <c r="DB964" s="81"/>
      <c r="DC964" s="81"/>
      <c r="DD964" s="81"/>
      <c r="DE964" s="81"/>
      <c r="DF964" s="81"/>
      <c r="DG964" s="81"/>
      <c r="DH964" s="81"/>
      <c r="DI964" s="81"/>
      <c r="DJ964" s="81"/>
      <c r="DK964" s="81"/>
      <c r="DL964" s="81"/>
      <c r="DM964" s="81"/>
      <c r="DN964" s="81"/>
      <c r="DO964" s="81"/>
      <c r="DP964" s="81"/>
      <c r="DQ964" s="81"/>
      <c r="DR964" s="81"/>
      <c r="DS964" s="81"/>
      <c r="DT964" s="81"/>
      <c r="DU964" s="81"/>
      <c r="DV964" s="81"/>
      <c r="DW964" s="121"/>
    </row>
    <row r="965" spans="1:127" x14ac:dyDescent="0.25">
      <c r="A965" s="2">
        <f>COUNTIF($D$2:D965,'Reporte de Nomina'!$E$2)</f>
        <v>0</v>
      </c>
      <c r="B965" s="125">
        <f>Lista!A964</f>
        <v>0</v>
      </c>
      <c r="C965" s="125">
        <f>Lista!B964</f>
        <v>0</v>
      </c>
      <c r="D965" s="125">
        <f>Lista!C964</f>
        <v>0</v>
      </c>
      <c r="E965" s="125">
        <f>Lista!D964</f>
        <v>0</v>
      </c>
      <c r="F965" s="125">
        <f>Lista!E964</f>
        <v>0</v>
      </c>
      <c r="G965" s="125">
        <f>Lista!F964</f>
        <v>0</v>
      </c>
      <c r="H965" s="125">
        <f>Lista!G964</f>
        <v>0</v>
      </c>
      <c r="I965" s="125">
        <f>Lista!H964</f>
        <v>0</v>
      </c>
      <c r="J965" s="125">
        <f>Lista!I964</f>
        <v>0</v>
      </c>
      <c r="K965" s="125">
        <f>Lista!J964</f>
        <v>0</v>
      </c>
      <c r="L965" s="125">
        <f>Lista!K964</f>
        <v>0</v>
      </c>
      <c r="M965" s="125">
        <f>Lista!L964</f>
        <v>0</v>
      </c>
      <c r="N965" s="125">
        <f>Lista!M964</f>
        <v>0</v>
      </c>
      <c r="O965" s="125">
        <f>Lista!N964</f>
        <v>0</v>
      </c>
      <c r="P965" s="125">
        <f>Lista!O964</f>
        <v>0</v>
      </c>
      <c r="Q965" s="125">
        <f>Lista!P964</f>
        <v>0</v>
      </c>
      <c r="R965" s="125">
        <f>Lista!Q964</f>
        <v>0</v>
      </c>
      <c r="S965" s="125">
        <f>Lista!R964</f>
        <v>0</v>
      </c>
      <c r="T965" s="81"/>
      <c r="U965" s="81"/>
      <c r="V965" s="81"/>
      <c r="W965" s="81"/>
      <c r="X965" s="81"/>
      <c r="Y965" s="81"/>
      <c r="Z965" s="81"/>
      <c r="AA965" s="81"/>
      <c r="AB965" s="81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  <c r="BS965" s="81"/>
      <c r="BT965" s="81"/>
      <c r="BU965" s="81"/>
      <c r="BV965" s="81"/>
      <c r="BW965" s="81"/>
      <c r="BX965" s="81"/>
      <c r="BY965" s="81"/>
      <c r="BZ965" s="81"/>
      <c r="CA965" s="81"/>
      <c r="CB965" s="81"/>
      <c r="CC965" s="81"/>
      <c r="CD965" s="81"/>
      <c r="CE965" s="81"/>
      <c r="CF965" s="81"/>
      <c r="CG965" s="81"/>
      <c r="CH965" s="81"/>
      <c r="CI965" s="81"/>
      <c r="CJ965" s="81"/>
      <c r="CK965" s="81"/>
      <c r="CL965" s="81"/>
      <c r="CM965" s="81"/>
      <c r="CN965" s="81"/>
      <c r="CO965" s="81"/>
      <c r="CP965" s="81"/>
      <c r="CQ965" s="81"/>
      <c r="CR965" s="81"/>
      <c r="CS965" s="81"/>
      <c r="CT965" s="81"/>
      <c r="CU965" s="81"/>
      <c r="CV965" s="81"/>
      <c r="CW965" s="81"/>
      <c r="CX965" s="81"/>
      <c r="CY965" s="81"/>
      <c r="CZ965" s="81"/>
      <c r="DA965" s="81"/>
      <c r="DB965" s="81"/>
      <c r="DC965" s="81"/>
      <c r="DD965" s="81"/>
      <c r="DE965" s="81"/>
      <c r="DF965" s="81"/>
      <c r="DG965" s="81"/>
      <c r="DH965" s="81"/>
      <c r="DI965" s="81"/>
      <c r="DJ965" s="81"/>
      <c r="DK965" s="81"/>
      <c r="DL965" s="81"/>
      <c r="DM965" s="81"/>
      <c r="DN965" s="81"/>
      <c r="DO965" s="81"/>
      <c r="DP965" s="81"/>
      <c r="DQ965" s="81"/>
      <c r="DR965" s="81"/>
      <c r="DS965" s="81"/>
      <c r="DT965" s="81"/>
      <c r="DU965" s="81"/>
      <c r="DV965" s="81"/>
      <c r="DW965" s="121"/>
    </row>
    <row r="966" spans="1:127" x14ac:dyDescent="0.25">
      <c r="A966" s="2">
        <f>COUNTIF($D$2:D966,'Reporte de Nomina'!$E$2)</f>
        <v>0</v>
      </c>
      <c r="B966" s="125">
        <f>Lista!A965</f>
        <v>0</v>
      </c>
      <c r="C966" s="125">
        <f>Lista!B965</f>
        <v>0</v>
      </c>
      <c r="D966" s="125">
        <f>Lista!C965</f>
        <v>0</v>
      </c>
      <c r="E966" s="125">
        <f>Lista!D965</f>
        <v>0</v>
      </c>
      <c r="F966" s="125">
        <f>Lista!E965</f>
        <v>0</v>
      </c>
      <c r="G966" s="125">
        <f>Lista!F965</f>
        <v>0</v>
      </c>
      <c r="H966" s="125">
        <f>Lista!G965</f>
        <v>0</v>
      </c>
      <c r="I966" s="125">
        <f>Lista!H965</f>
        <v>0</v>
      </c>
      <c r="J966" s="125">
        <f>Lista!I965</f>
        <v>0</v>
      </c>
      <c r="K966" s="125">
        <f>Lista!J965</f>
        <v>0</v>
      </c>
      <c r="L966" s="125">
        <f>Lista!K965</f>
        <v>0</v>
      </c>
      <c r="M966" s="125">
        <f>Lista!L965</f>
        <v>0</v>
      </c>
      <c r="N966" s="125">
        <f>Lista!M965</f>
        <v>0</v>
      </c>
      <c r="O966" s="125">
        <f>Lista!N965</f>
        <v>0</v>
      </c>
      <c r="P966" s="125">
        <f>Lista!O965</f>
        <v>0</v>
      </c>
      <c r="Q966" s="125">
        <f>Lista!P965</f>
        <v>0</v>
      </c>
      <c r="R966" s="125">
        <f>Lista!Q965</f>
        <v>0</v>
      </c>
      <c r="S966" s="125">
        <f>Lista!R965</f>
        <v>0</v>
      </c>
      <c r="T966" s="81"/>
      <c r="U966" s="81"/>
      <c r="V966" s="81"/>
      <c r="W966" s="81"/>
      <c r="X966" s="81"/>
      <c r="Y966" s="81"/>
      <c r="Z966" s="81"/>
      <c r="AA966" s="81"/>
      <c r="AB966" s="81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  <c r="BS966" s="81"/>
      <c r="BT966" s="81"/>
      <c r="BU966" s="81"/>
      <c r="BV966" s="81"/>
      <c r="BW966" s="81"/>
      <c r="BX966" s="81"/>
      <c r="BY966" s="81"/>
      <c r="BZ966" s="81"/>
      <c r="CA966" s="81"/>
      <c r="CB966" s="81"/>
      <c r="CC966" s="81"/>
      <c r="CD966" s="81"/>
      <c r="CE966" s="81"/>
      <c r="CF966" s="81"/>
      <c r="CG966" s="81"/>
      <c r="CH966" s="81"/>
      <c r="CI966" s="81"/>
      <c r="CJ966" s="81"/>
      <c r="CK966" s="81"/>
      <c r="CL966" s="81"/>
      <c r="CM966" s="81"/>
      <c r="CN966" s="81"/>
      <c r="CO966" s="81"/>
      <c r="CP966" s="81"/>
      <c r="CQ966" s="81"/>
      <c r="CR966" s="81"/>
      <c r="CS966" s="81"/>
      <c r="CT966" s="81"/>
      <c r="CU966" s="81"/>
      <c r="CV966" s="81"/>
      <c r="CW966" s="81"/>
      <c r="CX966" s="81"/>
      <c r="CY966" s="81"/>
      <c r="CZ966" s="81"/>
      <c r="DA966" s="81"/>
      <c r="DB966" s="81"/>
      <c r="DC966" s="81"/>
      <c r="DD966" s="81"/>
      <c r="DE966" s="81"/>
      <c r="DF966" s="81"/>
      <c r="DG966" s="81"/>
      <c r="DH966" s="81"/>
      <c r="DI966" s="81"/>
      <c r="DJ966" s="81"/>
      <c r="DK966" s="81"/>
      <c r="DL966" s="81"/>
      <c r="DM966" s="81"/>
      <c r="DN966" s="81"/>
      <c r="DO966" s="81"/>
      <c r="DP966" s="81"/>
      <c r="DQ966" s="81"/>
      <c r="DR966" s="81"/>
      <c r="DS966" s="81"/>
      <c r="DT966" s="81"/>
      <c r="DU966" s="81"/>
      <c r="DV966" s="81"/>
      <c r="DW966" s="121"/>
    </row>
    <row r="967" spans="1:127" x14ac:dyDescent="0.25">
      <c r="A967" s="2">
        <f>COUNTIF($D$2:D967,'Reporte de Nomina'!$E$2)</f>
        <v>0</v>
      </c>
      <c r="B967" s="125">
        <f>Lista!A966</f>
        <v>0</v>
      </c>
      <c r="C967" s="125">
        <f>Lista!B966</f>
        <v>0</v>
      </c>
      <c r="D967" s="125">
        <f>Lista!C966</f>
        <v>0</v>
      </c>
      <c r="E967" s="125">
        <f>Lista!D966</f>
        <v>0</v>
      </c>
      <c r="F967" s="125">
        <f>Lista!E966</f>
        <v>0</v>
      </c>
      <c r="G967" s="125">
        <f>Lista!F966</f>
        <v>0</v>
      </c>
      <c r="H967" s="125">
        <f>Lista!G966</f>
        <v>0</v>
      </c>
      <c r="I967" s="125">
        <f>Lista!H966</f>
        <v>0</v>
      </c>
      <c r="J967" s="125">
        <f>Lista!I966</f>
        <v>0</v>
      </c>
      <c r="K967" s="125">
        <f>Lista!J966</f>
        <v>0</v>
      </c>
      <c r="L967" s="125">
        <f>Lista!K966</f>
        <v>0</v>
      </c>
      <c r="M967" s="125">
        <f>Lista!L966</f>
        <v>0</v>
      </c>
      <c r="N967" s="125">
        <f>Lista!M966</f>
        <v>0</v>
      </c>
      <c r="O967" s="125">
        <f>Lista!N966</f>
        <v>0</v>
      </c>
      <c r="P967" s="125">
        <f>Lista!O966</f>
        <v>0</v>
      </c>
      <c r="Q967" s="125">
        <f>Lista!P966</f>
        <v>0</v>
      </c>
      <c r="R967" s="125">
        <f>Lista!Q966</f>
        <v>0</v>
      </c>
      <c r="S967" s="125">
        <f>Lista!R966</f>
        <v>0</v>
      </c>
      <c r="T967" s="81"/>
      <c r="U967" s="81"/>
      <c r="V967" s="81"/>
      <c r="W967" s="81"/>
      <c r="X967" s="81"/>
      <c r="Y967" s="81"/>
      <c r="Z967" s="81"/>
      <c r="AA967" s="81"/>
      <c r="AB967" s="81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  <c r="BS967" s="81"/>
      <c r="BT967" s="81"/>
      <c r="BU967" s="81"/>
      <c r="BV967" s="81"/>
      <c r="BW967" s="81"/>
      <c r="BX967" s="81"/>
      <c r="BY967" s="81"/>
      <c r="BZ967" s="81"/>
      <c r="CA967" s="81"/>
      <c r="CB967" s="81"/>
      <c r="CC967" s="81"/>
      <c r="CD967" s="81"/>
      <c r="CE967" s="81"/>
      <c r="CF967" s="81"/>
      <c r="CG967" s="81"/>
      <c r="CH967" s="81"/>
      <c r="CI967" s="81"/>
      <c r="CJ967" s="81"/>
      <c r="CK967" s="81"/>
      <c r="CL967" s="81"/>
      <c r="CM967" s="81"/>
      <c r="CN967" s="81"/>
      <c r="CO967" s="81"/>
      <c r="CP967" s="81"/>
      <c r="CQ967" s="81"/>
      <c r="CR967" s="81"/>
      <c r="CS967" s="81"/>
      <c r="CT967" s="81"/>
      <c r="CU967" s="81"/>
      <c r="CV967" s="81"/>
      <c r="CW967" s="81"/>
      <c r="CX967" s="81"/>
      <c r="CY967" s="81"/>
      <c r="CZ967" s="81"/>
      <c r="DA967" s="81"/>
      <c r="DB967" s="81"/>
      <c r="DC967" s="81"/>
      <c r="DD967" s="81"/>
      <c r="DE967" s="81"/>
      <c r="DF967" s="81"/>
      <c r="DG967" s="81"/>
      <c r="DH967" s="81"/>
      <c r="DI967" s="81"/>
      <c r="DJ967" s="81"/>
      <c r="DK967" s="81"/>
      <c r="DL967" s="81"/>
      <c r="DM967" s="81"/>
      <c r="DN967" s="81"/>
      <c r="DO967" s="81"/>
      <c r="DP967" s="81"/>
      <c r="DQ967" s="81"/>
      <c r="DR967" s="81"/>
      <c r="DS967" s="81"/>
      <c r="DT967" s="81"/>
      <c r="DU967" s="81"/>
      <c r="DV967" s="81"/>
      <c r="DW967" s="121"/>
    </row>
    <row r="968" spans="1:127" x14ac:dyDescent="0.25">
      <c r="A968" s="2">
        <f>COUNTIF($D$2:D968,'Reporte de Nomina'!$E$2)</f>
        <v>0</v>
      </c>
      <c r="B968" s="125">
        <f>Lista!A967</f>
        <v>0</v>
      </c>
      <c r="C968" s="125">
        <f>Lista!B967</f>
        <v>0</v>
      </c>
      <c r="D968" s="125">
        <f>Lista!C967</f>
        <v>0</v>
      </c>
      <c r="E968" s="125">
        <f>Lista!D967</f>
        <v>0</v>
      </c>
      <c r="F968" s="125">
        <f>Lista!E967</f>
        <v>0</v>
      </c>
      <c r="G968" s="125">
        <f>Lista!F967</f>
        <v>0</v>
      </c>
      <c r="H968" s="125">
        <f>Lista!G967</f>
        <v>0</v>
      </c>
      <c r="I968" s="125">
        <f>Lista!H967</f>
        <v>0</v>
      </c>
      <c r="J968" s="125">
        <f>Lista!I967</f>
        <v>0</v>
      </c>
      <c r="K968" s="125">
        <f>Lista!J967</f>
        <v>0</v>
      </c>
      <c r="L968" s="125">
        <f>Lista!K967</f>
        <v>0</v>
      </c>
      <c r="M968" s="125">
        <f>Lista!L967</f>
        <v>0</v>
      </c>
      <c r="N968" s="125">
        <f>Lista!M967</f>
        <v>0</v>
      </c>
      <c r="O968" s="125">
        <f>Lista!N967</f>
        <v>0</v>
      </c>
      <c r="P968" s="125">
        <f>Lista!O967</f>
        <v>0</v>
      </c>
      <c r="Q968" s="125">
        <f>Lista!P967</f>
        <v>0</v>
      </c>
      <c r="R968" s="125">
        <f>Lista!Q967</f>
        <v>0</v>
      </c>
      <c r="S968" s="125">
        <f>Lista!R967</f>
        <v>0</v>
      </c>
      <c r="T968" s="81"/>
      <c r="U968" s="81"/>
      <c r="V968" s="81"/>
      <c r="W968" s="81"/>
      <c r="X968" s="81"/>
      <c r="Y968" s="81"/>
      <c r="Z968" s="81"/>
      <c r="AA968" s="81"/>
      <c r="AB968" s="81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  <c r="BS968" s="81"/>
      <c r="BT968" s="81"/>
      <c r="BU968" s="81"/>
      <c r="BV968" s="81"/>
      <c r="BW968" s="81"/>
      <c r="BX968" s="81"/>
      <c r="BY968" s="81"/>
      <c r="BZ968" s="81"/>
      <c r="CA968" s="81"/>
      <c r="CB968" s="81"/>
      <c r="CC968" s="81"/>
      <c r="CD968" s="81"/>
      <c r="CE968" s="81"/>
      <c r="CF968" s="81"/>
      <c r="CG968" s="81"/>
      <c r="CH968" s="81"/>
      <c r="CI968" s="81"/>
      <c r="CJ968" s="81"/>
      <c r="CK968" s="81"/>
      <c r="CL968" s="81"/>
      <c r="CM968" s="81"/>
      <c r="CN968" s="81"/>
      <c r="CO968" s="81"/>
      <c r="CP968" s="81"/>
      <c r="CQ968" s="81"/>
      <c r="CR968" s="81"/>
      <c r="CS968" s="81"/>
      <c r="CT968" s="81"/>
      <c r="CU968" s="81"/>
      <c r="CV968" s="81"/>
      <c r="CW968" s="81"/>
      <c r="CX968" s="81"/>
      <c r="CY968" s="81"/>
      <c r="CZ968" s="81"/>
      <c r="DA968" s="81"/>
      <c r="DB968" s="81"/>
      <c r="DC968" s="81"/>
      <c r="DD968" s="81"/>
      <c r="DE968" s="81"/>
      <c r="DF968" s="81"/>
      <c r="DG968" s="81"/>
      <c r="DH968" s="81"/>
      <c r="DI968" s="81"/>
      <c r="DJ968" s="81"/>
      <c r="DK968" s="81"/>
      <c r="DL968" s="81"/>
      <c r="DM968" s="81"/>
      <c r="DN968" s="81"/>
      <c r="DO968" s="81"/>
      <c r="DP968" s="81"/>
      <c r="DQ968" s="81"/>
      <c r="DR968" s="81"/>
      <c r="DS968" s="81"/>
      <c r="DT968" s="81"/>
      <c r="DU968" s="81"/>
      <c r="DV968" s="81"/>
      <c r="DW968" s="121"/>
    </row>
    <row r="969" spans="1:127" x14ac:dyDescent="0.25">
      <c r="A969" s="2">
        <f>COUNTIF($D$2:D969,'Reporte de Nomina'!$E$2)</f>
        <v>0</v>
      </c>
      <c r="B969" s="125">
        <f>Lista!A968</f>
        <v>0</v>
      </c>
      <c r="C969" s="125">
        <f>Lista!B968</f>
        <v>0</v>
      </c>
      <c r="D969" s="125">
        <f>Lista!C968</f>
        <v>0</v>
      </c>
      <c r="E969" s="125">
        <f>Lista!D968</f>
        <v>0</v>
      </c>
      <c r="F969" s="125">
        <f>Lista!E968</f>
        <v>0</v>
      </c>
      <c r="G969" s="125">
        <f>Lista!F968</f>
        <v>0</v>
      </c>
      <c r="H969" s="125">
        <f>Lista!G968</f>
        <v>0</v>
      </c>
      <c r="I969" s="125">
        <f>Lista!H968</f>
        <v>0</v>
      </c>
      <c r="J969" s="125">
        <f>Lista!I968</f>
        <v>0</v>
      </c>
      <c r="K969" s="125">
        <f>Lista!J968</f>
        <v>0</v>
      </c>
      <c r="L969" s="125">
        <f>Lista!K968</f>
        <v>0</v>
      </c>
      <c r="M969" s="125">
        <f>Lista!L968</f>
        <v>0</v>
      </c>
      <c r="N969" s="125">
        <f>Lista!M968</f>
        <v>0</v>
      </c>
      <c r="O969" s="125">
        <f>Lista!N968</f>
        <v>0</v>
      </c>
      <c r="P969" s="125">
        <f>Lista!O968</f>
        <v>0</v>
      </c>
      <c r="Q969" s="125">
        <f>Lista!P968</f>
        <v>0</v>
      </c>
      <c r="R969" s="125">
        <f>Lista!Q968</f>
        <v>0</v>
      </c>
      <c r="S969" s="125">
        <f>Lista!R968</f>
        <v>0</v>
      </c>
      <c r="T969" s="81"/>
      <c r="U969" s="81"/>
      <c r="V969" s="81"/>
      <c r="W969" s="81"/>
      <c r="X969" s="81"/>
      <c r="Y969" s="81"/>
      <c r="Z969" s="81"/>
      <c r="AA969" s="81"/>
      <c r="AB969" s="81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  <c r="BS969" s="81"/>
      <c r="BT969" s="81"/>
      <c r="BU969" s="81"/>
      <c r="BV969" s="81"/>
      <c r="BW969" s="81"/>
      <c r="BX969" s="81"/>
      <c r="BY969" s="81"/>
      <c r="BZ969" s="81"/>
      <c r="CA969" s="81"/>
      <c r="CB969" s="81"/>
      <c r="CC969" s="81"/>
      <c r="CD969" s="81"/>
      <c r="CE969" s="81"/>
      <c r="CF969" s="81"/>
      <c r="CG969" s="81"/>
      <c r="CH969" s="81"/>
      <c r="CI969" s="81"/>
      <c r="CJ969" s="81"/>
      <c r="CK969" s="81"/>
      <c r="CL969" s="81"/>
      <c r="CM969" s="81"/>
      <c r="CN969" s="81"/>
      <c r="CO969" s="81"/>
      <c r="CP969" s="81"/>
      <c r="CQ969" s="81"/>
      <c r="CR969" s="81"/>
      <c r="CS969" s="81"/>
      <c r="CT969" s="81"/>
      <c r="CU969" s="81"/>
      <c r="CV969" s="81"/>
      <c r="CW969" s="81"/>
      <c r="CX969" s="81"/>
      <c r="CY969" s="81"/>
      <c r="CZ969" s="81"/>
      <c r="DA969" s="81"/>
      <c r="DB969" s="81"/>
      <c r="DC969" s="81"/>
      <c r="DD969" s="81"/>
      <c r="DE969" s="81"/>
      <c r="DF969" s="81"/>
      <c r="DG969" s="81"/>
      <c r="DH969" s="81"/>
      <c r="DI969" s="81"/>
      <c r="DJ969" s="81"/>
      <c r="DK969" s="81"/>
      <c r="DL969" s="81"/>
      <c r="DM969" s="81"/>
      <c r="DN969" s="81"/>
      <c r="DO969" s="81"/>
      <c r="DP969" s="81"/>
      <c r="DQ969" s="81"/>
      <c r="DR969" s="81"/>
      <c r="DS969" s="81"/>
      <c r="DT969" s="81"/>
      <c r="DU969" s="81"/>
      <c r="DV969" s="81"/>
      <c r="DW969" s="121"/>
    </row>
    <row r="970" spans="1:127" x14ac:dyDescent="0.25">
      <c r="A970" s="2">
        <f>COUNTIF($D$2:D970,'Reporte de Nomina'!$E$2)</f>
        <v>0</v>
      </c>
      <c r="B970" s="125">
        <f>Lista!A969</f>
        <v>0</v>
      </c>
      <c r="C970" s="125">
        <f>Lista!B969</f>
        <v>0</v>
      </c>
      <c r="D970" s="125">
        <f>Lista!C969</f>
        <v>0</v>
      </c>
      <c r="E970" s="125">
        <f>Lista!D969</f>
        <v>0</v>
      </c>
      <c r="F970" s="125">
        <f>Lista!E969</f>
        <v>0</v>
      </c>
      <c r="G970" s="125">
        <f>Lista!F969</f>
        <v>0</v>
      </c>
      <c r="H970" s="125">
        <f>Lista!G969</f>
        <v>0</v>
      </c>
      <c r="I970" s="125">
        <f>Lista!H969</f>
        <v>0</v>
      </c>
      <c r="J970" s="125">
        <f>Lista!I969</f>
        <v>0</v>
      </c>
      <c r="K970" s="125">
        <f>Lista!J969</f>
        <v>0</v>
      </c>
      <c r="L970" s="125">
        <f>Lista!K969</f>
        <v>0</v>
      </c>
      <c r="M970" s="125">
        <f>Lista!L969</f>
        <v>0</v>
      </c>
      <c r="N970" s="125">
        <f>Lista!M969</f>
        <v>0</v>
      </c>
      <c r="O970" s="125">
        <f>Lista!N969</f>
        <v>0</v>
      </c>
      <c r="P970" s="125">
        <f>Lista!O969</f>
        <v>0</v>
      </c>
      <c r="Q970" s="125">
        <f>Lista!P969</f>
        <v>0</v>
      </c>
      <c r="R970" s="125">
        <f>Lista!Q969</f>
        <v>0</v>
      </c>
      <c r="S970" s="125">
        <f>Lista!R969</f>
        <v>0</v>
      </c>
      <c r="T970" s="81"/>
      <c r="U970" s="81"/>
      <c r="V970" s="81"/>
      <c r="W970" s="81"/>
      <c r="X970" s="81"/>
      <c r="Y970" s="81"/>
      <c r="Z970" s="81"/>
      <c r="AA970" s="81"/>
      <c r="AB970" s="81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  <c r="BS970" s="81"/>
      <c r="BT970" s="81"/>
      <c r="BU970" s="81"/>
      <c r="BV970" s="81"/>
      <c r="BW970" s="81"/>
      <c r="BX970" s="81"/>
      <c r="BY970" s="81"/>
      <c r="BZ970" s="81"/>
      <c r="CA970" s="81"/>
      <c r="CB970" s="81"/>
      <c r="CC970" s="81"/>
      <c r="CD970" s="81"/>
      <c r="CE970" s="81"/>
      <c r="CF970" s="81"/>
      <c r="CG970" s="81"/>
      <c r="CH970" s="81"/>
      <c r="CI970" s="81"/>
      <c r="CJ970" s="81"/>
      <c r="CK970" s="81"/>
      <c r="CL970" s="81"/>
      <c r="CM970" s="81"/>
      <c r="CN970" s="81"/>
      <c r="CO970" s="81"/>
      <c r="CP970" s="81"/>
      <c r="CQ970" s="81"/>
      <c r="CR970" s="81"/>
      <c r="CS970" s="81"/>
      <c r="CT970" s="81"/>
      <c r="CU970" s="81"/>
      <c r="CV970" s="81"/>
      <c r="CW970" s="81"/>
      <c r="CX970" s="81"/>
      <c r="CY970" s="81"/>
      <c r="CZ970" s="81"/>
      <c r="DA970" s="81"/>
      <c r="DB970" s="81"/>
      <c r="DC970" s="81"/>
      <c r="DD970" s="81"/>
      <c r="DE970" s="81"/>
      <c r="DF970" s="81"/>
      <c r="DG970" s="81"/>
      <c r="DH970" s="81"/>
      <c r="DI970" s="81"/>
      <c r="DJ970" s="81"/>
      <c r="DK970" s="81"/>
      <c r="DL970" s="81"/>
      <c r="DM970" s="81"/>
      <c r="DN970" s="81"/>
      <c r="DO970" s="81"/>
      <c r="DP970" s="81"/>
      <c r="DQ970" s="81"/>
      <c r="DR970" s="81"/>
      <c r="DS970" s="81"/>
      <c r="DT970" s="81"/>
      <c r="DU970" s="81"/>
      <c r="DV970" s="81"/>
      <c r="DW970" s="121"/>
    </row>
    <row r="971" spans="1:127" x14ac:dyDescent="0.25">
      <c r="A971" s="2">
        <f>COUNTIF($D$2:D971,'Reporte de Nomina'!$E$2)</f>
        <v>0</v>
      </c>
      <c r="B971" s="125">
        <f>Lista!A970</f>
        <v>0</v>
      </c>
      <c r="C971" s="125">
        <f>Lista!B970</f>
        <v>0</v>
      </c>
      <c r="D971" s="125">
        <f>Lista!C970</f>
        <v>0</v>
      </c>
      <c r="E971" s="125">
        <f>Lista!D970</f>
        <v>0</v>
      </c>
      <c r="F971" s="125">
        <f>Lista!E970</f>
        <v>0</v>
      </c>
      <c r="G971" s="125">
        <f>Lista!F970</f>
        <v>0</v>
      </c>
      <c r="H971" s="125">
        <f>Lista!G970</f>
        <v>0</v>
      </c>
      <c r="I971" s="125">
        <f>Lista!H970</f>
        <v>0</v>
      </c>
      <c r="J971" s="125">
        <f>Lista!I970</f>
        <v>0</v>
      </c>
      <c r="K971" s="125">
        <f>Lista!J970</f>
        <v>0</v>
      </c>
      <c r="L971" s="125">
        <f>Lista!K970</f>
        <v>0</v>
      </c>
      <c r="M971" s="125">
        <f>Lista!L970</f>
        <v>0</v>
      </c>
      <c r="N971" s="125">
        <f>Lista!M970</f>
        <v>0</v>
      </c>
      <c r="O971" s="125">
        <f>Lista!N970</f>
        <v>0</v>
      </c>
      <c r="P971" s="125">
        <f>Lista!O970</f>
        <v>0</v>
      </c>
      <c r="Q971" s="125">
        <f>Lista!P970</f>
        <v>0</v>
      </c>
      <c r="R971" s="125">
        <f>Lista!Q970</f>
        <v>0</v>
      </c>
      <c r="S971" s="125">
        <f>Lista!R970</f>
        <v>0</v>
      </c>
      <c r="T971" s="81"/>
      <c r="U971" s="81"/>
      <c r="V971" s="81"/>
      <c r="W971" s="81"/>
      <c r="X971" s="81"/>
      <c r="Y971" s="81"/>
      <c r="Z971" s="81"/>
      <c r="AA971" s="81"/>
      <c r="AB971" s="81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  <c r="BS971" s="81"/>
      <c r="BT971" s="81"/>
      <c r="BU971" s="81"/>
      <c r="BV971" s="81"/>
      <c r="BW971" s="81"/>
      <c r="BX971" s="81"/>
      <c r="BY971" s="81"/>
      <c r="BZ971" s="81"/>
      <c r="CA971" s="81"/>
      <c r="CB971" s="81"/>
      <c r="CC971" s="81"/>
      <c r="CD971" s="81"/>
      <c r="CE971" s="81"/>
      <c r="CF971" s="81"/>
      <c r="CG971" s="81"/>
      <c r="CH971" s="81"/>
      <c r="CI971" s="81"/>
      <c r="CJ971" s="81"/>
      <c r="CK971" s="81"/>
      <c r="CL971" s="81"/>
      <c r="CM971" s="81"/>
      <c r="CN971" s="81"/>
      <c r="CO971" s="81"/>
      <c r="CP971" s="81"/>
      <c r="CQ971" s="81"/>
      <c r="CR971" s="81"/>
      <c r="CS971" s="81"/>
      <c r="CT971" s="81"/>
      <c r="CU971" s="81"/>
      <c r="CV971" s="81"/>
      <c r="CW971" s="81"/>
      <c r="CX971" s="81"/>
      <c r="CY971" s="81"/>
      <c r="CZ971" s="81"/>
      <c r="DA971" s="81"/>
      <c r="DB971" s="81"/>
      <c r="DC971" s="81"/>
      <c r="DD971" s="81"/>
      <c r="DE971" s="81"/>
      <c r="DF971" s="81"/>
      <c r="DG971" s="81"/>
      <c r="DH971" s="81"/>
      <c r="DI971" s="81"/>
      <c r="DJ971" s="81"/>
      <c r="DK971" s="81"/>
      <c r="DL971" s="81"/>
      <c r="DM971" s="81"/>
      <c r="DN971" s="81"/>
      <c r="DO971" s="81"/>
      <c r="DP971" s="81"/>
      <c r="DQ971" s="81"/>
      <c r="DR971" s="81"/>
      <c r="DS971" s="81"/>
      <c r="DT971" s="81"/>
      <c r="DU971" s="81"/>
      <c r="DV971" s="81"/>
      <c r="DW971" s="121"/>
    </row>
    <row r="972" spans="1:127" x14ac:dyDescent="0.25">
      <c r="A972" s="2">
        <f>COUNTIF($D$2:D972,'Reporte de Nomina'!$E$2)</f>
        <v>0</v>
      </c>
      <c r="B972" s="125">
        <f>Lista!A971</f>
        <v>0</v>
      </c>
      <c r="C972" s="125">
        <f>Lista!B971</f>
        <v>0</v>
      </c>
      <c r="D972" s="125">
        <f>Lista!C971</f>
        <v>0</v>
      </c>
      <c r="E972" s="125">
        <f>Lista!D971</f>
        <v>0</v>
      </c>
      <c r="F972" s="125">
        <f>Lista!E971</f>
        <v>0</v>
      </c>
      <c r="G972" s="125">
        <f>Lista!F971</f>
        <v>0</v>
      </c>
      <c r="H972" s="125">
        <f>Lista!G971</f>
        <v>0</v>
      </c>
      <c r="I972" s="125">
        <f>Lista!H971</f>
        <v>0</v>
      </c>
      <c r="J972" s="125">
        <f>Lista!I971</f>
        <v>0</v>
      </c>
      <c r="K972" s="125">
        <f>Lista!J971</f>
        <v>0</v>
      </c>
      <c r="L972" s="125">
        <f>Lista!K971</f>
        <v>0</v>
      </c>
      <c r="M972" s="125">
        <f>Lista!L971</f>
        <v>0</v>
      </c>
      <c r="N972" s="125">
        <f>Lista!M971</f>
        <v>0</v>
      </c>
      <c r="O972" s="125">
        <f>Lista!N971</f>
        <v>0</v>
      </c>
      <c r="P972" s="125">
        <f>Lista!O971</f>
        <v>0</v>
      </c>
      <c r="Q972" s="125">
        <f>Lista!P971</f>
        <v>0</v>
      </c>
      <c r="R972" s="125">
        <f>Lista!Q971</f>
        <v>0</v>
      </c>
      <c r="S972" s="125">
        <f>Lista!R971</f>
        <v>0</v>
      </c>
      <c r="T972" s="81"/>
      <c r="U972" s="81"/>
      <c r="V972" s="81"/>
      <c r="W972" s="81"/>
      <c r="X972" s="81"/>
      <c r="Y972" s="81"/>
      <c r="Z972" s="81"/>
      <c r="AA972" s="81"/>
      <c r="AB972" s="81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  <c r="BS972" s="81"/>
      <c r="BT972" s="81"/>
      <c r="BU972" s="81"/>
      <c r="BV972" s="81"/>
      <c r="BW972" s="81"/>
      <c r="BX972" s="81"/>
      <c r="BY972" s="81"/>
      <c r="BZ972" s="81"/>
      <c r="CA972" s="81"/>
      <c r="CB972" s="81"/>
      <c r="CC972" s="81"/>
      <c r="CD972" s="81"/>
      <c r="CE972" s="81"/>
      <c r="CF972" s="81"/>
      <c r="CG972" s="81"/>
      <c r="CH972" s="81"/>
      <c r="CI972" s="81"/>
      <c r="CJ972" s="81"/>
      <c r="CK972" s="81"/>
      <c r="CL972" s="81"/>
      <c r="CM972" s="81"/>
      <c r="CN972" s="81"/>
      <c r="CO972" s="81"/>
      <c r="CP972" s="81"/>
      <c r="CQ972" s="81"/>
      <c r="CR972" s="81"/>
      <c r="CS972" s="81"/>
      <c r="CT972" s="81"/>
      <c r="CU972" s="81"/>
      <c r="CV972" s="81"/>
      <c r="CW972" s="81"/>
      <c r="CX972" s="81"/>
      <c r="CY972" s="81"/>
      <c r="CZ972" s="81"/>
      <c r="DA972" s="81"/>
      <c r="DB972" s="81"/>
      <c r="DC972" s="81"/>
      <c r="DD972" s="81"/>
      <c r="DE972" s="81"/>
      <c r="DF972" s="81"/>
      <c r="DG972" s="81"/>
      <c r="DH972" s="81"/>
      <c r="DI972" s="81"/>
      <c r="DJ972" s="81"/>
      <c r="DK972" s="81"/>
      <c r="DL972" s="81"/>
      <c r="DM972" s="81"/>
      <c r="DN972" s="81"/>
      <c r="DO972" s="81"/>
      <c r="DP972" s="81"/>
      <c r="DQ972" s="81"/>
      <c r="DR972" s="81"/>
      <c r="DS972" s="81"/>
      <c r="DT972" s="81"/>
      <c r="DU972" s="81"/>
      <c r="DV972" s="81"/>
      <c r="DW972" s="121"/>
    </row>
    <row r="973" spans="1:127" x14ac:dyDescent="0.25">
      <c r="A973" s="2">
        <f>COUNTIF($D$2:D973,'Reporte de Nomina'!$E$2)</f>
        <v>0</v>
      </c>
      <c r="B973" s="125">
        <f>Lista!A972</f>
        <v>0</v>
      </c>
      <c r="C973" s="125">
        <f>Lista!B972</f>
        <v>0</v>
      </c>
      <c r="D973" s="125">
        <f>Lista!C972</f>
        <v>0</v>
      </c>
      <c r="E973" s="125">
        <f>Lista!D972</f>
        <v>0</v>
      </c>
      <c r="F973" s="125">
        <f>Lista!E972</f>
        <v>0</v>
      </c>
      <c r="G973" s="125">
        <f>Lista!F972</f>
        <v>0</v>
      </c>
      <c r="H973" s="125">
        <f>Lista!G972</f>
        <v>0</v>
      </c>
      <c r="I973" s="125">
        <f>Lista!H972</f>
        <v>0</v>
      </c>
      <c r="J973" s="125">
        <f>Lista!I972</f>
        <v>0</v>
      </c>
      <c r="K973" s="125">
        <f>Lista!J972</f>
        <v>0</v>
      </c>
      <c r="L973" s="125">
        <f>Lista!K972</f>
        <v>0</v>
      </c>
      <c r="M973" s="125">
        <f>Lista!L972</f>
        <v>0</v>
      </c>
      <c r="N973" s="125">
        <f>Lista!M972</f>
        <v>0</v>
      </c>
      <c r="O973" s="125">
        <f>Lista!N972</f>
        <v>0</v>
      </c>
      <c r="P973" s="125">
        <f>Lista!O972</f>
        <v>0</v>
      </c>
      <c r="Q973" s="125">
        <f>Lista!P972</f>
        <v>0</v>
      </c>
      <c r="R973" s="125">
        <f>Lista!Q972</f>
        <v>0</v>
      </c>
      <c r="S973" s="125">
        <f>Lista!R972</f>
        <v>0</v>
      </c>
      <c r="T973" s="81"/>
      <c r="U973" s="81"/>
      <c r="V973" s="81"/>
      <c r="W973" s="81"/>
      <c r="X973" s="81"/>
      <c r="Y973" s="81"/>
      <c r="Z973" s="81"/>
      <c r="AA973" s="81"/>
      <c r="AB973" s="81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  <c r="BS973" s="81"/>
      <c r="BT973" s="81"/>
      <c r="BU973" s="81"/>
      <c r="BV973" s="81"/>
      <c r="BW973" s="81"/>
      <c r="BX973" s="81"/>
      <c r="BY973" s="81"/>
      <c r="BZ973" s="81"/>
      <c r="CA973" s="81"/>
      <c r="CB973" s="81"/>
      <c r="CC973" s="81"/>
      <c r="CD973" s="81"/>
      <c r="CE973" s="81"/>
      <c r="CF973" s="81"/>
      <c r="CG973" s="81"/>
      <c r="CH973" s="81"/>
      <c r="CI973" s="81"/>
      <c r="CJ973" s="81"/>
      <c r="CK973" s="81"/>
      <c r="CL973" s="81"/>
      <c r="CM973" s="81"/>
      <c r="CN973" s="81"/>
      <c r="CO973" s="81"/>
      <c r="CP973" s="81"/>
      <c r="CQ973" s="81"/>
      <c r="CR973" s="81"/>
      <c r="CS973" s="81"/>
      <c r="CT973" s="81"/>
      <c r="CU973" s="81"/>
      <c r="CV973" s="81"/>
      <c r="CW973" s="81"/>
      <c r="CX973" s="81"/>
      <c r="CY973" s="81"/>
      <c r="CZ973" s="81"/>
      <c r="DA973" s="81"/>
      <c r="DB973" s="81"/>
      <c r="DC973" s="81"/>
      <c r="DD973" s="81"/>
      <c r="DE973" s="81"/>
      <c r="DF973" s="81"/>
      <c r="DG973" s="81"/>
      <c r="DH973" s="81"/>
      <c r="DI973" s="81"/>
      <c r="DJ973" s="81"/>
      <c r="DK973" s="81"/>
      <c r="DL973" s="81"/>
      <c r="DM973" s="81"/>
      <c r="DN973" s="81"/>
      <c r="DO973" s="81"/>
      <c r="DP973" s="81"/>
      <c r="DQ973" s="81"/>
      <c r="DR973" s="81"/>
      <c r="DS973" s="81"/>
      <c r="DT973" s="81"/>
      <c r="DU973" s="81"/>
      <c r="DV973" s="81"/>
      <c r="DW973" s="121"/>
    </row>
    <row r="974" spans="1:127" x14ac:dyDescent="0.25">
      <c r="A974" s="2">
        <f>COUNTIF($D$2:D974,'Reporte de Nomina'!$E$2)</f>
        <v>0</v>
      </c>
      <c r="B974" s="125">
        <f>Lista!A973</f>
        <v>0</v>
      </c>
      <c r="C974" s="125">
        <f>Lista!B973</f>
        <v>0</v>
      </c>
      <c r="D974" s="125">
        <f>Lista!C973</f>
        <v>0</v>
      </c>
      <c r="E974" s="125">
        <f>Lista!D973</f>
        <v>0</v>
      </c>
      <c r="F974" s="125">
        <f>Lista!E973</f>
        <v>0</v>
      </c>
      <c r="G974" s="125">
        <f>Lista!F973</f>
        <v>0</v>
      </c>
      <c r="H974" s="125">
        <f>Lista!G973</f>
        <v>0</v>
      </c>
      <c r="I974" s="125">
        <f>Lista!H973</f>
        <v>0</v>
      </c>
      <c r="J974" s="125">
        <f>Lista!I973</f>
        <v>0</v>
      </c>
      <c r="K974" s="125">
        <f>Lista!J973</f>
        <v>0</v>
      </c>
      <c r="L974" s="125">
        <f>Lista!K973</f>
        <v>0</v>
      </c>
      <c r="M974" s="125">
        <f>Lista!L973</f>
        <v>0</v>
      </c>
      <c r="N974" s="125">
        <f>Lista!M973</f>
        <v>0</v>
      </c>
      <c r="O974" s="125">
        <f>Lista!N973</f>
        <v>0</v>
      </c>
      <c r="P974" s="125">
        <f>Lista!O973</f>
        <v>0</v>
      </c>
      <c r="Q974" s="125">
        <f>Lista!P973</f>
        <v>0</v>
      </c>
      <c r="R974" s="125">
        <f>Lista!Q973</f>
        <v>0</v>
      </c>
      <c r="S974" s="125">
        <f>Lista!R973</f>
        <v>0</v>
      </c>
      <c r="T974" s="81"/>
      <c r="U974" s="81"/>
      <c r="V974" s="81"/>
      <c r="W974" s="81"/>
      <c r="X974" s="81"/>
      <c r="Y974" s="81"/>
      <c r="Z974" s="81"/>
      <c r="AA974" s="81"/>
      <c r="AB974" s="81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  <c r="BS974" s="81"/>
      <c r="BT974" s="81"/>
      <c r="BU974" s="81"/>
      <c r="BV974" s="81"/>
      <c r="BW974" s="81"/>
      <c r="BX974" s="81"/>
      <c r="BY974" s="81"/>
      <c r="BZ974" s="81"/>
      <c r="CA974" s="81"/>
      <c r="CB974" s="81"/>
      <c r="CC974" s="81"/>
      <c r="CD974" s="81"/>
      <c r="CE974" s="81"/>
      <c r="CF974" s="81"/>
      <c r="CG974" s="81"/>
      <c r="CH974" s="81"/>
      <c r="CI974" s="81"/>
      <c r="CJ974" s="81"/>
      <c r="CK974" s="81"/>
      <c r="CL974" s="81"/>
      <c r="CM974" s="81"/>
      <c r="CN974" s="81"/>
      <c r="CO974" s="81"/>
      <c r="CP974" s="81"/>
      <c r="CQ974" s="81"/>
      <c r="CR974" s="81"/>
      <c r="CS974" s="81"/>
      <c r="CT974" s="81"/>
      <c r="CU974" s="81"/>
      <c r="CV974" s="81"/>
      <c r="CW974" s="81"/>
      <c r="CX974" s="81"/>
      <c r="CY974" s="81"/>
      <c r="CZ974" s="81"/>
      <c r="DA974" s="81"/>
      <c r="DB974" s="81"/>
      <c r="DC974" s="81"/>
      <c r="DD974" s="81"/>
      <c r="DE974" s="81"/>
      <c r="DF974" s="81"/>
      <c r="DG974" s="81"/>
      <c r="DH974" s="81"/>
      <c r="DI974" s="81"/>
      <c r="DJ974" s="81"/>
      <c r="DK974" s="81"/>
      <c r="DL974" s="81"/>
      <c r="DM974" s="81"/>
      <c r="DN974" s="81"/>
      <c r="DO974" s="81"/>
      <c r="DP974" s="81"/>
      <c r="DQ974" s="81"/>
      <c r="DR974" s="81"/>
      <c r="DS974" s="81"/>
      <c r="DT974" s="81"/>
      <c r="DU974" s="81"/>
      <c r="DV974" s="81"/>
      <c r="DW974" s="121"/>
    </row>
    <row r="975" spans="1:127" x14ac:dyDescent="0.25">
      <c r="A975" s="2">
        <f>COUNTIF($D$2:D975,'Reporte de Nomina'!$E$2)</f>
        <v>0</v>
      </c>
      <c r="B975" s="125">
        <f>Lista!A974</f>
        <v>0</v>
      </c>
      <c r="C975" s="125">
        <f>Lista!B974</f>
        <v>0</v>
      </c>
      <c r="D975" s="125">
        <f>Lista!C974</f>
        <v>0</v>
      </c>
      <c r="E975" s="125">
        <f>Lista!D974</f>
        <v>0</v>
      </c>
      <c r="F975" s="125">
        <f>Lista!E974</f>
        <v>0</v>
      </c>
      <c r="G975" s="125">
        <f>Lista!F974</f>
        <v>0</v>
      </c>
      <c r="H975" s="125">
        <f>Lista!G974</f>
        <v>0</v>
      </c>
      <c r="I975" s="125">
        <f>Lista!H974</f>
        <v>0</v>
      </c>
      <c r="J975" s="125">
        <f>Lista!I974</f>
        <v>0</v>
      </c>
      <c r="K975" s="125">
        <f>Lista!J974</f>
        <v>0</v>
      </c>
      <c r="L975" s="125">
        <f>Lista!K974</f>
        <v>0</v>
      </c>
      <c r="M975" s="125">
        <f>Lista!L974</f>
        <v>0</v>
      </c>
      <c r="N975" s="125">
        <f>Lista!M974</f>
        <v>0</v>
      </c>
      <c r="O975" s="125">
        <f>Lista!N974</f>
        <v>0</v>
      </c>
      <c r="P975" s="125">
        <f>Lista!O974</f>
        <v>0</v>
      </c>
      <c r="Q975" s="125">
        <f>Lista!P974</f>
        <v>0</v>
      </c>
      <c r="R975" s="125">
        <f>Lista!Q974</f>
        <v>0</v>
      </c>
      <c r="S975" s="125">
        <f>Lista!R974</f>
        <v>0</v>
      </c>
      <c r="T975" s="81"/>
      <c r="U975" s="81"/>
      <c r="V975" s="81"/>
      <c r="W975" s="81"/>
      <c r="X975" s="81"/>
      <c r="Y975" s="81"/>
      <c r="Z975" s="81"/>
      <c r="AA975" s="81"/>
      <c r="AB975" s="81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  <c r="BS975" s="81"/>
      <c r="BT975" s="81"/>
      <c r="BU975" s="81"/>
      <c r="BV975" s="81"/>
      <c r="BW975" s="81"/>
      <c r="BX975" s="81"/>
      <c r="BY975" s="81"/>
      <c r="BZ975" s="81"/>
      <c r="CA975" s="81"/>
      <c r="CB975" s="81"/>
      <c r="CC975" s="81"/>
      <c r="CD975" s="81"/>
      <c r="CE975" s="81"/>
      <c r="CF975" s="81"/>
      <c r="CG975" s="81"/>
      <c r="CH975" s="81"/>
      <c r="CI975" s="81"/>
      <c r="CJ975" s="81"/>
      <c r="CK975" s="81"/>
      <c r="CL975" s="81"/>
      <c r="CM975" s="81"/>
      <c r="CN975" s="81"/>
      <c r="CO975" s="81"/>
      <c r="CP975" s="81"/>
      <c r="CQ975" s="81"/>
      <c r="CR975" s="81"/>
      <c r="CS975" s="81"/>
      <c r="CT975" s="81"/>
      <c r="CU975" s="81"/>
      <c r="CV975" s="81"/>
      <c r="CW975" s="81"/>
      <c r="CX975" s="81"/>
      <c r="CY975" s="81"/>
      <c r="CZ975" s="81"/>
      <c r="DA975" s="81"/>
      <c r="DB975" s="81"/>
      <c r="DC975" s="81"/>
      <c r="DD975" s="81"/>
      <c r="DE975" s="81"/>
      <c r="DF975" s="81"/>
      <c r="DG975" s="81"/>
      <c r="DH975" s="81"/>
      <c r="DI975" s="81"/>
      <c r="DJ975" s="81"/>
      <c r="DK975" s="81"/>
      <c r="DL975" s="81"/>
      <c r="DM975" s="81"/>
      <c r="DN975" s="81"/>
      <c r="DO975" s="81"/>
      <c r="DP975" s="81"/>
      <c r="DQ975" s="81"/>
      <c r="DR975" s="81"/>
      <c r="DS975" s="81"/>
      <c r="DT975" s="81"/>
      <c r="DU975" s="81"/>
      <c r="DV975" s="81"/>
      <c r="DW975" s="121"/>
    </row>
    <row r="976" spans="1:127" x14ac:dyDescent="0.25">
      <c r="A976" s="2">
        <f>COUNTIF($D$2:D976,'Reporte de Nomina'!$E$2)</f>
        <v>0</v>
      </c>
      <c r="B976" s="125">
        <f>Lista!A975</f>
        <v>0</v>
      </c>
      <c r="C976" s="125">
        <f>Lista!B975</f>
        <v>0</v>
      </c>
      <c r="D976" s="125">
        <f>Lista!C975</f>
        <v>0</v>
      </c>
      <c r="E976" s="125">
        <f>Lista!D975</f>
        <v>0</v>
      </c>
      <c r="F976" s="125">
        <f>Lista!E975</f>
        <v>0</v>
      </c>
      <c r="G976" s="125">
        <f>Lista!F975</f>
        <v>0</v>
      </c>
      <c r="H976" s="125">
        <f>Lista!G975</f>
        <v>0</v>
      </c>
      <c r="I976" s="125">
        <f>Lista!H975</f>
        <v>0</v>
      </c>
      <c r="J976" s="125">
        <f>Lista!I975</f>
        <v>0</v>
      </c>
      <c r="K976" s="125">
        <f>Lista!J975</f>
        <v>0</v>
      </c>
      <c r="L976" s="125">
        <f>Lista!K975</f>
        <v>0</v>
      </c>
      <c r="M976" s="125">
        <f>Lista!L975</f>
        <v>0</v>
      </c>
      <c r="N976" s="125">
        <f>Lista!M975</f>
        <v>0</v>
      </c>
      <c r="O976" s="125">
        <f>Lista!N975</f>
        <v>0</v>
      </c>
      <c r="P976" s="125">
        <f>Lista!O975</f>
        <v>0</v>
      </c>
      <c r="Q976" s="125">
        <f>Lista!P975</f>
        <v>0</v>
      </c>
      <c r="R976" s="125">
        <f>Lista!Q975</f>
        <v>0</v>
      </c>
      <c r="S976" s="125">
        <f>Lista!R975</f>
        <v>0</v>
      </c>
      <c r="T976" s="81"/>
      <c r="U976" s="81"/>
      <c r="V976" s="81"/>
      <c r="W976" s="81"/>
      <c r="X976" s="81"/>
      <c r="Y976" s="81"/>
      <c r="Z976" s="81"/>
      <c r="AA976" s="81"/>
      <c r="AB976" s="81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  <c r="BS976" s="81"/>
      <c r="BT976" s="81"/>
      <c r="BU976" s="81"/>
      <c r="BV976" s="81"/>
      <c r="BW976" s="81"/>
      <c r="BX976" s="81"/>
      <c r="BY976" s="81"/>
      <c r="BZ976" s="81"/>
      <c r="CA976" s="81"/>
      <c r="CB976" s="81"/>
      <c r="CC976" s="81"/>
      <c r="CD976" s="81"/>
      <c r="CE976" s="81"/>
      <c r="CF976" s="81"/>
      <c r="CG976" s="81"/>
      <c r="CH976" s="81"/>
      <c r="CI976" s="81"/>
      <c r="CJ976" s="81"/>
      <c r="CK976" s="81"/>
      <c r="CL976" s="81"/>
      <c r="CM976" s="81"/>
      <c r="CN976" s="81"/>
      <c r="CO976" s="81"/>
      <c r="CP976" s="81"/>
      <c r="CQ976" s="81"/>
      <c r="CR976" s="81"/>
      <c r="CS976" s="81"/>
      <c r="CT976" s="81"/>
      <c r="CU976" s="81"/>
      <c r="CV976" s="81"/>
      <c r="CW976" s="81"/>
      <c r="CX976" s="81"/>
      <c r="CY976" s="81"/>
      <c r="CZ976" s="81"/>
      <c r="DA976" s="81"/>
      <c r="DB976" s="81"/>
      <c r="DC976" s="81"/>
      <c r="DD976" s="81"/>
      <c r="DE976" s="81"/>
      <c r="DF976" s="81"/>
      <c r="DG976" s="81"/>
      <c r="DH976" s="81"/>
      <c r="DI976" s="81"/>
      <c r="DJ976" s="81"/>
      <c r="DK976" s="81"/>
      <c r="DL976" s="81"/>
      <c r="DM976" s="81"/>
      <c r="DN976" s="81"/>
      <c r="DO976" s="81"/>
      <c r="DP976" s="81"/>
      <c r="DQ976" s="81"/>
      <c r="DR976" s="81"/>
      <c r="DS976" s="81"/>
      <c r="DT976" s="81"/>
      <c r="DU976" s="81"/>
      <c r="DV976" s="81"/>
      <c r="DW976" s="121"/>
    </row>
    <row r="977" spans="1:127" x14ac:dyDescent="0.25">
      <c r="A977" s="2">
        <f>COUNTIF($D$2:D977,'Reporte de Nomina'!$E$2)</f>
        <v>0</v>
      </c>
      <c r="B977" s="125">
        <f>Lista!A976</f>
        <v>0</v>
      </c>
      <c r="C977" s="125">
        <f>Lista!B976</f>
        <v>0</v>
      </c>
      <c r="D977" s="125">
        <f>Lista!C976</f>
        <v>0</v>
      </c>
      <c r="E977" s="125">
        <f>Lista!D976</f>
        <v>0</v>
      </c>
      <c r="F977" s="125">
        <f>Lista!E976</f>
        <v>0</v>
      </c>
      <c r="G977" s="125">
        <f>Lista!F976</f>
        <v>0</v>
      </c>
      <c r="H977" s="125">
        <f>Lista!G976</f>
        <v>0</v>
      </c>
      <c r="I977" s="125">
        <f>Lista!H976</f>
        <v>0</v>
      </c>
      <c r="J977" s="125">
        <f>Lista!I976</f>
        <v>0</v>
      </c>
      <c r="K977" s="125">
        <f>Lista!J976</f>
        <v>0</v>
      </c>
      <c r="L977" s="125">
        <f>Lista!K976</f>
        <v>0</v>
      </c>
      <c r="M977" s="125">
        <f>Lista!L976</f>
        <v>0</v>
      </c>
      <c r="N977" s="125">
        <f>Lista!M976</f>
        <v>0</v>
      </c>
      <c r="O977" s="125">
        <f>Lista!N976</f>
        <v>0</v>
      </c>
      <c r="P977" s="125">
        <f>Lista!O976</f>
        <v>0</v>
      </c>
      <c r="Q977" s="125">
        <f>Lista!P976</f>
        <v>0</v>
      </c>
      <c r="R977" s="125">
        <f>Lista!Q976</f>
        <v>0</v>
      </c>
      <c r="S977" s="125">
        <f>Lista!R976</f>
        <v>0</v>
      </c>
      <c r="T977" s="81"/>
      <c r="U977" s="81"/>
      <c r="V977" s="81"/>
      <c r="W977" s="81"/>
      <c r="X977" s="81"/>
      <c r="Y977" s="81"/>
      <c r="Z977" s="81"/>
      <c r="AA977" s="81"/>
      <c r="AB977" s="81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  <c r="BS977" s="81"/>
      <c r="BT977" s="81"/>
      <c r="BU977" s="81"/>
      <c r="BV977" s="81"/>
      <c r="BW977" s="81"/>
      <c r="BX977" s="81"/>
      <c r="BY977" s="81"/>
      <c r="BZ977" s="81"/>
      <c r="CA977" s="81"/>
      <c r="CB977" s="81"/>
      <c r="CC977" s="81"/>
      <c r="CD977" s="81"/>
      <c r="CE977" s="81"/>
      <c r="CF977" s="81"/>
      <c r="CG977" s="81"/>
      <c r="CH977" s="81"/>
      <c r="CI977" s="81"/>
      <c r="CJ977" s="81"/>
      <c r="CK977" s="81"/>
      <c r="CL977" s="81"/>
      <c r="CM977" s="81"/>
      <c r="CN977" s="81"/>
      <c r="CO977" s="81"/>
      <c r="CP977" s="81"/>
      <c r="CQ977" s="81"/>
      <c r="CR977" s="81"/>
      <c r="CS977" s="81"/>
      <c r="CT977" s="81"/>
      <c r="CU977" s="81"/>
      <c r="CV977" s="81"/>
      <c r="CW977" s="81"/>
      <c r="CX977" s="81"/>
      <c r="CY977" s="81"/>
      <c r="CZ977" s="81"/>
      <c r="DA977" s="81"/>
      <c r="DB977" s="81"/>
      <c r="DC977" s="81"/>
      <c r="DD977" s="81"/>
      <c r="DE977" s="81"/>
      <c r="DF977" s="81"/>
      <c r="DG977" s="81"/>
      <c r="DH977" s="81"/>
      <c r="DI977" s="81"/>
      <c r="DJ977" s="81"/>
      <c r="DK977" s="81"/>
      <c r="DL977" s="81"/>
      <c r="DM977" s="81"/>
      <c r="DN977" s="81"/>
      <c r="DO977" s="81"/>
      <c r="DP977" s="81"/>
      <c r="DQ977" s="81"/>
      <c r="DR977" s="81"/>
      <c r="DS977" s="81"/>
      <c r="DT977" s="81"/>
      <c r="DU977" s="81"/>
      <c r="DV977" s="81"/>
      <c r="DW977" s="121"/>
    </row>
    <row r="978" spans="1:127" x14ac:dyDescent="0.25">
      <c r="A978" s="2">
        <f>COUNTIF($D$2:D978,'Reporte de Nomina'!$E$2)</f>
        <v>0</v>
      </c>
      <c r="B978" s="125">
        <f>Lista!A977</f>
        <v>0</v>
      </c>
      <c r="C978" s="125">
        <f>Lista!B977</f>
        <v>0</v>
      </c>
      <c r="D978" s="125">
        <f>Lista!C977</f>
        <v>0</v>
      </c>
      <c r="E978" s="125">
        <f>Lista!D977</f>
        <v>0</v>
      </c>
      <c r="F978" s="125">
        <f>Lista!E977</f>
        <v>0</v>
      </c>
      <c r="G978" s="125">
        <f>Lista!F977</f>
        <v>0</v>
      </c>
      <c r="H978" s="125">
        <f>Lista!G977</f>
        <v>0</v>
      </c>
      <c r="I978" s="125">
        <f>Lista!H977</f>
        <v>0</v>
      </c>
      <c r="J978" s="125">
        <f>Lista!I977</f>
        <v>0</v>
      </c>
      <c r="K978" s="125">
        <f>Lista!J977</f>
        <v>0</v>
      </c>
      <c r="L978" s="125">
        <f>Lista!K977</f>
        <v>0</v>
      </c>
      <c r="M978" s="125">
        <f>Lista!L977</f>
        <v>0</v>
      </c>
      <c r="N978" s="125">
        <f>Lista!M977</f>
        <v>0</v>
      </c>
      <c r="O978" s="125">
        <f>Lista!N977</f>
        <v>0</v>
      </c>
      <c r="P978" s="125">
        <f>Lista!O977</f>
        <v>0</v>
      </c>
      <c r="Q978" s="125">
        <f>Lista!P977</f>
        <v>0</v>
      </c>
      <c r="R978" s="125">
        <f>Lista!Q977</f>
        <v>0</v>
      </c>
      <c r="S978" s="125">
        <f>Lista!R977</f>
        <v>0</v>
      </c>
      <c r="T978" s="81"/>
      <c r="U978" s="81"/>
      <c r="V978" s="81"/>
      <c r="W978" s="81"/>
      <c r="X978" s="81"/>
      <c r="Y978" s="81"/>
      <c r="Z978" s="81"/>
      <c r="AA978" s="81"/>
      <c r="AB978" s="81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  <c r="BS978" s="81"/>
      <c r="BT978" s="81"/>
      <c r="BU978" s="81"/>
      <c r="BV978" s="81"/>
      <c r="BW978" s="81"/>
      <c r="BX978" s="81"/>
      <c r="BY978" s="81"/>
      <c r="BZ978" s="81"/>
      <c r="CA978" s="81"/>
      <c r="CB978" s="81"/>
      <c r="CC978" s="81"/>
      <c r="CD978" s="81"/>
      <c r="CE978" s="81"/>
      <c r="CF978" s="81"/>
      <c r="CG978" s="81"/>
      <c r="CH978" s="81"/>
      <c r="CI978" s="81"/>
      <c r="CJ978" s="81"/>
      <c r="CK978" s="81"/>
      <c r="CL978" s="81"/>
      <c r="CM978" s="81"/>
      <c r="CN978" s="81"/>
      <c r="CO978" s="81"/>
      <c r="CP978" s="81"/>
      <c r="CQ978" s="81"/>
      <c r="CR978" s="81"/>
      <c r="CS978" s="81"/>
      <c r="CT978" s="81"/>
      <c r="CU978" s="81"/>
      <c r="CV978" s="81"/>
      <c r="CW978" s="81"/>
      <c r="CX978" s="81"/>
      <c r="CY978" s="81"/>
      <c r="CZ978" s="81"/>
      <c r="DA978" s="81"/>
      <c r="DB978" s="81"/>
      <c r="DC978" s="81"/>
      <c r="DD978" s="81"/>
      <c r="DE978" s="81"/>
      <c r="DF978" s="81"/>
      <c r="DG978" s="81"/>
      <c r="DH978" s="81"/>
      <c r="DI978" s="81"/>
      <c r="DJ978" s="81"/>
      <c r="DK978" s="81"/>
      <c r="DL978" s="81"/>
      <c r="DM978" s="81"/>
      <c r="DN978" s="81"/>
      <c r="DO978" s="81"/>
      <c r="DP978" s="81"/>
      <c r="DQ978" s="81"/>
      <c r="DR978" s="81"/>
      <c r="DS978" s="81"/>
      <c r="DT978" s="81"/>
      <c r="DU978" s="81"/>
      <c r="DV978" s="81"/>
      <c r="DW978" s="121"/>
    </row>
    <row r="979" spans="1:127" x14ac:dyDescent="0.25">
      <c r="A979" s="2">
        <f>COUNTIF($D$2:D979,'Reporte de Nomina'!$E$2)</f>
        <v>0</v>
      </c>
      <c r="B979" s="125">
        <f>Lista!A978</f>
        <v>0</v>
      </c>
      <c r="C979" s="125">
        <f>Lista!B978</f>
        <v>0</v>
      </c>
      <c r="D979" s="125">
        <f>Lista!C978</f>
        <v>0</v>
      </c>
      <c r="E979" s="125">
        <f>Lista!D978</f>
        <v>0</v>
      </c>
      <c r="F979" s="125">
        <f>Lista!E978</f>
        <v>0</v>
      </c>
      <c r="G979" s="125">
        <f>Lista!F978</f>
        <v>0</v>
      </c>
      <c r="H979" s="125">
        <f>Lista!G978</f>
        <v>0</v>
      </c>
      <c r="I979" s="125">
        <f>Lista!H978</f>
        <v>0</v>
      </c>
      <c r="J979" s="125">
        <f>Lista!I978</f>
        <v>0</v>
      </c>
      <c r="K979" s="125">
        <f>Lista!J978</f>
        <v>0</v>
      </c>
      <c r="L979" s="125">
        <f>Lista!K978</f>
        <v>0</v>
      </c>
      <c r="M979" s="125">
        <f>Lista!L978</f>
        <v>0</v>
      </c>
      <c r="N979" s="125">
        <f>Lista!M978</f>
        <v>0</v>
      </c>
      <c r="O979" s="125">
        <f>Lista!N978</f>
        <v>0</v>
      </c>
      <c r="P979" s="125">
        <f>Lista!O978</f>
        <v>0</v>
      </c>
      <c r="Q979" s="125">
        <f>Lista!P978</f>
        <v>0</v>
      </c>
      <c r="R979" s="125">
        <f>Lista!Q978</f>
        <v>0</v>
      </c>
      <c r="S979" s="125">
        <f>Lista!R978</f>
        <v>0</v>
      </c>
      <c r="T979" s="81"/>
      <c r="U979" s="81"/>
      <c r="V979" s="81"/>
      <c r="W979" s="81"/>
      <c r="X979" s="81"/>
      <c r="Y979" s="81"/>
      <c r="Z979" s="81"/>
      <c r="AA979" s="81"/>
      <c r="AB979" s="81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  <c r="BS979" s="81"/>
      <c r="BT979" s="81"/>
      <c r="BU979" s="81"/>
      <c r="BV979" s="81"/>
      <c r="BW979" s="81"/>
      <c r="BX979" s="81"/>
      <c r="BY979" s="81"/>
      <c r="BZ979" s="81"/>
      <c r="CA979" s="81"/>
      <c r="CB979" s="81"/>
      <c r="CC979" s="81"/>
      <c r="CD979" s="81"/>
      <c r="CE979" s="81"/>
      <c r="CF979" s="81"/>
      <c r="CG979" s="81"/>
      <c r="CH979" s="81"/>
      <c r="CI979" s="81"/>
      <c r="CJ979" s="81"/>
      <c r="CK979" s="81"/>
      <c r="CL979" s="81"/>
      <c r="CM979" s="81"/>
      <c r="CN979" s="81"/>
      <c r="CO979" s="81"/>
      <c r="CP979" s="81"/>
      <c r="CQ979" s="81"/>
      <c r="CR979" s="81"/>
      <c r="CS979" s="81"/>
      <c r="CT979" s="81"/>
      <c r="CU979" s="81"/>
      <c r="CV979" s="81"/>
      <c r="CW979" s="81"/>
      <c r="CX979" s="81"/>
      <c r="CY979" s="81"/>
      <c r="CZ979" s="81"/>
      <c r="DA979" s="81"/>
      <c r="DB979" s="81"/>
      <c r="DC979" s="81"/>
      <c r="DD979" s="81"/>
      <c r="DE979" s="81"/>
      <c r="DF979" s="81"/>
      <c r="DG979" s="81"/>
      <c r="DH979" s="81"/>
      <c r="DI979" s="81"/>
      <c r="DJ979" s="81"/>
      <c r="DK979" s="81"/>
      <c r="DL979" s="81"/>
      <c r="DM979" s="81"/>
      <c r="DN979" s="81"/>
      <c r="DO979" s="81"/>
      <c r="DP979" s="81"/>
      <c r="DQ979" s="81"/>
      <c r="DR979" s="81"/>
      <c r="DS979" s="81"/>
      <c r="DT979" s="81"/>
      <c r="DU979" s="81"/>
      <c r="DV979" s="81"/>
      <c r="DW979" s="121"/>
    </row>
    <row r="980" spans="1:127" x14ac:dyDescent="0.25">
      <c r="A980" s="2">
        <f>COUNTIF($D$2:D980,'Reporte de Nomina'!$E$2)</f>
        <v>0</v>
      </c>
      <c r="B980" s="125">
        <f>Lista!A979</f>
        <v>0</v>
      </c>
      <c r="C980" s="125">
        <f>Lista!B979</f>
        <v>0</v>
      </c>
      <c r="D980" s="125">
        <f>Lista!C979</f>
        <v>0</v>
      </c>
      <c r="E980" s="125">
        <f>Lista!D979</f>
        <v>0</v>
      </c>
      <c r="F980" s="125">
        <f>Lista!E979</f>
        <v>0</v>
      </c>
      <c r="G980" s="125">
        <f>Lista!F979</f>
        <v>0</v>
      </c>
      <c r="H980" s="125">
        <f>Lista!G979</f>
        <v>0</v>
      </c>
      <c r="I980" s="125">
        <f>Lista!H979</f>
        <v>0</v>
      </c>
      <c r="J980" s="125">
        <f>Lista!I979</f>
        <v>0</v>
      </c>
      <c r="K980" s="125">
        <f>Lista!J979</f>
        <v>0</v>
      </c>
      <c r="L980" s="125">
        <f>Lista!K979</f>
        <v>0</v>
      </c>
      <c r="M980" s="125">
        <f>Lista!L979</f>
        <v>0</v>
      </c>
      <c r="N980" s="125">
        <f>Lista!M979</f>
        <v>0</v>
      </c>
      <c r="O980" s="125">
        <f>Lista!N979</f>
        <v>0</v>
      </c>
      <c r="P980" s="125">
        <f>Lista!O979</f>
        <v>0</v>
      </c>
      <c r="Q980" s="125">
        <f>Lista!P979</f>
        <v>0</v>
      </c>
      <c r="R980" s="125">
        <f>Lista!Q979</f>
        <v>0</v>
      </c>
      <c r="S980" s="125">
        <f>Lista!R979</f>
        <v>0</v>
      </c>
      <c r="T980" s="81"/>
      <c r="U980" s="81"/>
      <c r="V980" s="81"/>
      <c r="W980" s="81"/>
      <c r="X980" s="81"/>
      <c r="Y980" s="81"/>
      <c r="Z980" s="81"/>
      <c r="AA980" s="81"/>
      <c r="AB980" s="81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  <c r="BS980" s="81"/>
      <c r="BT980" s="81"/>
      <c r="BU980" s="81"/>
      <c r="BV980" s="81"/>
      <c r="BW980" s="81"/>
      <c r="BX980" s="81"/>
      <c r="BY980" s="81"/>
      <c r="BZ980" s="81"/>
      <c r="CA980" s="81"/>
      <c r="CB980" s="81"/>
      <c r="CC980" s="81"/>
      <c r="CD980" s="81"/>
      <c r="CE980" s="81"/>
      <c r="CF980" s="81"/>
      <c r="CG980" s="81"/>
      <c r="CH980" s="81"/>
      <c r="CI980" s="81"/>
      <c r="CJ980" s="81"/>
      <c r="CK980" s="81"/>
      <c r="CL980" s="81"/>
      <c r="CM980" s="81"/>
      <c r="CN980" s="81"/>
      <c r="CO980" s="81"/>
      <c r="CP980" s="81"/>
      <c r="CQ980" s="81"/>
      <c r="CR980" s="81"/>
      <c r="CS980" s="81"/>
      <c r="CT980" s="81"/>
      <c r="CU980" s="81"/>
      <c r="CV980" s="81"/>
      <c r="CW980" s="81"/>
      <c r="CX980" s="81"/>
      <c r="CY980" s="81"/>
      <c r="CZ980" s="81"/>
      <c r="DA980" s="81"/>
      <c r="DB980" s="81"/>
      <c r="DC980" s="81"/>
      <c r="DD980" s="81"/>
      <c r="DE980" s="81"/>
      <c r="DF980" s="81"/>
      <c r="DG980" s="81"/>
      <c r="DH980" s="81"/>
      <c r="DI980" s="81"/>
      <c r="DJ980" s="81"/>
      <c r="DK980" s="81"/>
      <c r="DL980" s="81"/>
      <c r="DM980" s="81"/>
      <c r="DN980" s="81"/>
      <c r="DO980" s="81"/>
      <c r="DP980" s="81"/>
      <c r="DQ980" s="81"/>
      <c r="DR980" s="81"/>
      <c r="DS980" s="81"/>
      <c r="DT980" s="81"/>
      <c r="DU980" s="81"/>
      <c r="DV980" s="81"/>
      <c r="DW980" s="121"/>
    </row>
    <row r="981" spans="1:127" x14ac:dyDescent="0.25">
      <c r="A981" s="2">
        <f>COUNTIF($D$2:D981,'Reporte de Nomina'!$E$2)</f>
        <v>0</v>
      </c>
      <c r="B981" s="125">
        <f>Lista!A980</f>
        <v>0</v>
      </c>
      <c r="C981" s="125">
        <f>Lista!B980</f>
        <v>0</v>
      </c>
      <c r="D981" s="125">
        <f>Lista!C980</f>
        <v>0</v>
      </c>
      <c r="E981" s="125">
        <f>Lista!D980</f>
        <v>0</v>
      </c>
      <c r="F981" s="125">
        <f>Lista!E980</f>
        <v>0</v>
      </c>
      <c r="G981" s="125">
        <f>Lista!F980</f>
        <v>0</v>
      </c>
      <c r="H981" s="125">
        <f>Lista!G980</f>
        <v>0</v>
      </c>
      <c r="I981" s="125">
        <f>Lista!H980</f>
        <v>0</v>
      </c>
      <c r="J981" s="125">
        <f>Lista!I980</f>
        <v>0</v>
      </c>
      <c r="K981" s="125">
        <f>Lista!J980</f>
        <v>0</v>
      </c>
      <c r="L981" s="125">
        <f>Lista!K980</f>
        <v>0</v>
      </c>
      <c r="M981" s="125">
        <f>Lista!L980</f>
        <v>0</v>
      </c>
      <c r="N981" s="125">
        <f>Lista!M980</f>
        <v>0</v>
      </c>
      <c r="O981" s="125">
        <f>Lista!N980</f>
        <v>0</v>
      </c>
      <c r="P981" s="125">
        <f>Lista!O980</f>
        <v>0</v>
      </c>
      <c r="Q981" s="125">
        <f>Lista!P980</f>
        <v>0</v>
      </c>
      <c r="R981" s="125">
        <f>Lista!Q980</f>
        <v>0</v>
      </c>
      <c r="S981" s="125">
        <f>Lista!R980</f>
        <v>0</v>
      </c>
      <c r="T981" s="81"/>
      <c r="U981" s="81"/>
      <c r="V981" s="81"/>
      <c r="W981" s="81"/>
      <c r="X981" s="81"/>
      <c r="Y981" s="81"/>
      <c r="Z981" s="81"/>
      <c r="AA981" s="81"/>
      <c r="AB981" s="81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  <c r="BS981" s="81"/>
      <c r="BT981" s="81"/>
      <c r="BU981" s="81"/>
      <c r="BV981" s="81"/>
      <c r="BW981" s="81"/>
      <c r="BX981" s="81"/>
      <c r="BY981" s="81"/>
      <c r="BZ981" s="81"/>
      <c r="CA981" s="81"/>
      <c r="CB981" s="81"/>
      <c r="CC981" s="81"/>
      <c r="CD981" s="81"/>
      <c r="CE981" s="81"/>
      <c r="CF981" s="81"/>
      <c r="CG981" s="81"/>
      <c r="CH981" s="81"/>
      <c r="CI981" s="81"/>
      <c r="CJ981" s="81"/>
      <c r="CK981" s="81"/>
      <c r="CL981" s="81"/>
      <c r="CM981" s="81"/>
      <c r="CN981" s="81"/>
      <c r="CO981" s="81"/>
      <c r="CP981" s="81"/>
      <c r="CQ981" s="81"/>
      <c r="CR981" s="81"/>
      <c r="CS981" s="81"/>
      <c r="CT981" s="81"/>
      <c r="CU981" s="81"/>
      <c r="CV981" s="81"/>
      <c r="CW981" s="81"/>
      <c r="CX981" s="81"/>
      <c r="CY981" s="81"/>
      <c r="CZ981" s="81"/>
      <c r="DA981" s="81"/>
      <c r="DB981" s="81"/>
      <c r="DC981" s="81"/>
      <c r="DD981" s="81"/>
      <c r="DE981" s="81"/>
      <c r="DF981" s="81"/>
      <c r="DG981" s="81"/>
      <c r="DH981" s="81"/>
      <c r="DI981" s="81"/>
      <c r="DJ981" s="81"/>
      <c r="DK981" s="81"/>
      <c r="DL981" s="81"/>
      <c r="DM981" s="81"/>
      <c r="DN981" s="81"/>
      <c r="DO981" s="81"/>
      <c r="DP981" s="81"/>
      <c r="DQ981" s="81"/>
      <c r="DR981" s="81"/>
      <c r="DS981" s="81"/>
      <c r="DT981" s="81"/>
      <c r="DU981" s="81"/>
      <c r="DV981" s="81"/>
      <c r="DW981" s="121"/>
    </row>
    <row r="982" spans="1:127" x14ac:dyDescent="0.25">
      <c r="A982" s="2">
        <f>COUNTIF($D$2:D982,'Reporte de Nomina'!$E$2)</f>
        <v>0</v>
      </c>
      <c r="B982" s="125">
        <f>Lista!A981</f>
        <v>0</v>
      </c>
      <c r="C982" s="125">
        <f>Lista!B981</f>
        <v>0</v>
      </c>
      <c r="D982" s="125">
        <f>Lista!C981</f>
        <v>0</v>
      </c>
      <c r="E982" s="125">
        <f>Lista!D981</f>
        <v>0</v>
      </c>
      <c r="F982" s="125">
        <f>Lista!E981</f>
        <v>0</v>
      </c>
      <c r="G982" s="125">
        <f>Lista!F981</f>
        <v>0</v>
      </c>
      <c r="H982" s="125">
        <f>Lista!G981</f>
        <v>0</v>
      </c>
      <c r="I982" s="125">
        <f>Lista!H981</f>
        <v>0</v>
      </c>
      <c r="J982" s="125">
        <f>Lista!I981</f>
        <v>0</v>
      </c>
      <c r="K982" s="125">
        <f>Lista!J981</f>
        <v>0</v>
      </c>
      <c r="L982" s="125">
        <f>Lista!K981</f>
        <v>0</v>
      </c>
      <c r="M982" s="125">
        <f>Lista!L981</f>
        <v>0</v>
      </c>
      <c r="N982" s="125">
        <f>Lista!M981</f>
        <v>0</v>
      </c>
      <c r="O982" s="125">
        <f>Lista!N981</f>
        <v>0</v>
      </c>
      <c r="P982" s="125">
        <f>Lista!O981</f>
        <v>0</v>
      </c>
      <c r="Q982" s="125">
        <f>Lista!P981</f>
        <v>0</v>
      </c>
      <c r="R982" s="125">
        <f>Lista!Q981</f>
        <v>0</v>
      </c>
      <c r="S982" s="125">
        <f>Lista!R981</f>
        <v>0</v>
      </c>
      <c r="T982" s="81"/>
      <c r="U982" s="81"/>
      <c r="V982" s="81"/>
      <c r="W982" s="81"/>
      <c r="X982" s="81"/>
      <c r="Y982" s="81"/>
      <c r="Z982" s="81"/>
      <c r="AA982" s="81"/>
      <c r="AB982" s="81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  <c r="BS982" s="81"/>
      <c r="BT982" s="81"/>
      <c r="BU982" s="81"/>
      <c r="BV982" s="81"/>
      <c r="BW982" s="81"/>
      <c r="BX982" s="81"/>
      <c r="BY982" s="81"/>
      <c r="BZ982" s="81"/>
      <c r="CA982" s="81"/>
      <c r="CB982" s="81"/>
      <c r="CC982" s="81"/>
      <c r="CD982" s="81"/>
      <c r="CE982" s="81"/>
      <c r="CF982" s="81"/>
      <c r="CG982" s="81"/>
      <c r="CH982" s="81"/>
      <c r="CI982" s="81"/>
      <c r="CJ982" s="81"/>
      <c r="CK982" s="81"/>
      <c r="CL982" s="81"/>
      <c r="CM982" s="81"/>
      <c r="CN982" s="81"/>
      <c r="CO982" s="81"/>
      <c r="CP982" s="81"/>
      <c r="CQ982" s="81"/>
      <c r="CR982" s="81"/>
      <c r="CS982" s="81"/>
      <c r="CT982" s="81"/>
      <c r="CU982" s="81"/>
      <c r="CV982" s="81"/>
      <c r="CW982" s="81"/>
      <c r="CX982" s="81"/>
      <c r="CY982" s="81"/>
      <c r="CZ982" s="81"/>
      <c r="DA982" s="81"/>
      <c r="DB982" s="81"/>
      <c r="DC982" s="81"/>
      <c r="DD982" s="81"/>
      <c r="DE982" s="81"/>
      <c r="DF982" s="81"/>
      <c r="DG982" s="81"/>
      <c r="DH982" s="81"/>
      <c r="DI982" s="81"/>
      <c r="DJ982" s="81"/>
      <c r="DK982" s="81"/>
      <c r="DL982" s="81"/>
      <c r="DM982" s="81"/>
      <c r="DN982" s="81"/>
      <c r="DO982" s="81"/>
      <c r="DP982" s="81"/>
      <c r="DQ982" s="81"/>
      <c r="DR982" s="81"/>
      <c r="DS982" s="81"/>
      <c r="DT982" s="81"/>
      <c r="DU982" s="81"/>
      <c r="DV982" s="81"/>
      <c r="DW982" s="121"/>
    </row>
    <row r="983" spans="1:127" x14ac:dyDescent="0.25">
      <c r="A983" s="2">
        <f>COUNTIF($D$2:D983,'Reporte de Nomina'!$E$2)</f>
        <v>0</v>
      </c>
      <c r="B983" s="125">
        <f>Lista!A982</f>
        <v>0</v>
      </c>
      <c r="C983" s="125">
        <f>Lista!B982</f>
        <v>0</v>
      </c>
      <c r="D983" s="125">
        <f>Lista!C982</f>
        <v>0</v>
      </c>
      <c r="E983" s="125">
        <f>Lista!D982</f>
        <v>0</v>
      </c>
      <c r="F983" s="125">
        <f>Lista!E982</f>
        <v>0</v>
      </c>
      <c r="G983" s="125">
        <f>Lista!F982</f>
        <v>0</v>
      </c>
      <c r="H983" s="125">
        <f>Lista!G982</f>
        <v>0</v>
      </c>
      <c r="I983" s="125">
        <f>Lista!H982</f>
        <v>0</v>
      </c>
      <c r="J983" s="125">
        <f>Lista!I982</f>
        <v>0</v>
      </c>
      <c r="K983" s="125">
        <f>Lista!J982</f>
        <v>0</v>
      </c>
      <c r="L983" s="125">
        <f>Lista!K982</f>
        <v>0</v>
      </c>
      <c r="M983" s="125">
        <f>Lista!L982</f>
        <v>0</v>
      </c>
      <c r="N983" s="125">
        <f>Lista!M982</f>
        <v>0</v>
      </c>
      <c r="O983" s="125">
        <f>Lista!N982</f>
        <v>0</v>
      </c>
      <c r="P983" s="125">
        <f>Lista!O982</f>
        <v>0</v>
      </c>
      <c r="Q983" s="125">
        <f>Lista!P982</f>
        <v>0</v>
      </c>
      <c r="R983" s="125">
        <f>Lista!Q982</f>
        <v>0</v>
      </c>
      <c r="S983" s="125">
        <f>Lista!R982</f>
        <v>0</v>
      </c>
      <c r="T983" s="81"/>
      <c r="U983" s="81"/>
      <c r="V983" s="81"/>
      <c r="W983" s="81"/>
      <c r="X983" s="81"/>
      <c r="Y983" s="81"/>
      <c r="Z983" s="81"/>
      <c r="AA983" s="81"/>
      <c r="AB983" s="81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  <c r="BS983" s="81"/>
      <c r="BT983" s="81"/>
      <c r="BU983" s="81"/>
      <c r="BV983" s="81"/>
      <c r="BW983" s="81"/>
      <c r="BX983" s="81"/>
      <c r="BY983" s="81"/>
      <c r="BZ983" s="81"/>
      <c r="CA983" s="81"/>
      <c r="CB983" s="81"/>
      <c r="CC983" s="81"/>
      <c r="CD983" s="81"/>
      <c r="CE983" s="81"/>
      <c r="CF983" s="81"/>
      <c r="CG983" s="81"/>
      <c r="CH983" s="81"/>
      <c r="CI983" s="81"/>
      <c r="CJ983" s="81"/>
      <c r="CK983" s="81"/>
      <c r="CL983" s="81"/>
      <c r="CM983" s="81"/>
      <c r="CN983" s="81"/>
      <c r="CO983" s="81"/>
      <c r="CP983" s="81"/>
      <c r="CQ983" s="81"/>
      <c r="CR983" s="81"/>
      <c r="CS983" s="81"/>
      <c r="CT983" s="81"/>
      <c r="CU983" s="81"/>
      <c r="CV983" s="81"/>
      <c r="CW983" s="81"/>
      <c r="CX983" s="81"/>
      <c r="CY983" s="81"/>
      <c r="CZ983" s="81"/>
      <c r="DA983" s="81"/>
      <c r="DB983" s="81"/>
      <c r="DC983" s="81"/>
      <c r="DD983" s="81"/>
      <c r="DE983" s="81"/>
      <c r="DF983" s="81"/>
      <c r="DG983" s="81"/>
      <c r="DH983" s="81"/>
      <c r="DI983" s="81"/>
      <c r="DJ983" s="81"/>
      <c r="DK983" s="81"/>
      <c r="DL983" s="81"/>
      <c r="DM983" s="81"/>
      <c r="DN983" s="81"/>
      <c r="DO983" s="81"/>
      <c r="DP983" s="81"/>
      <c r="DQ983" s="81"/>
      <c r="DR983" s="81"/>
      <c r="DS983" s="81"/>
      <c r="DT983" s="81"/>
      <c r="DU983" s="81"/>
      <c r="DV983" s="81"/>
      <c r="DW983" s="121"/>
    </row>
    <row r="984" spans="1:127" x14ac:dyDescent="0.25">
      <c r="A984" s="2">
        <f>COUNTIF($D$2:D984,'Reporte de Nomina'!$E$2)</f>
        <v>0</v>
      </c>
      <c r="B984" s="125">
        <f>Lista!A983</f>
        <v>0</v>
      </c>
      <c r="C984" s="125">
        <f>Lista!B983</f>
        <v>0</v>
      </c>
      <c r="D984" s="125">
        <f>Lista!C983</f>
        <v>0</v>
      </c>
      <c r="E984" s="125">
        <f>Lista!D983</f>
        <v>0</v>
      </c>
      <c r="F984" s="125">
        <f>Lista!E983</f>
        <v>0</v>
      </c>
      <c r="G984" s="125">
        <f>Lista!F983</f>
        <v>0</v>
      </c>
      <c r="H984" s="125">
        <f>Lista!G983</f>
        <v>0</v>
      </c>
      <c r="I984" s="125">
        <f>Lista!H983</f>
        <v>0</v>
      </c>
      <c r="J984" s="125">
        <f>Lista!I983</f>
        <v>0</v>
      </c>
      <c r="K984" s="125">
        <f>Lista!J983</f>
        <v>0</v>
      </c>
      <c r="L984" s="125">
        <f>Lista!K983</f>
        <v>0</v>
      </c>
      <c r="M984" s="125">
        <f>Lista!L983</f>
        <v>0</v>
      </c>
      <c r="N984" s="125">
        <f>Lista!M983</f>
        <v>0</v>
      </c>
      <c r="O984" s="125">
        <f>Lista!N983</f>
        <v>0</v>
      </c>
      <c r="P984" s="125">
        <f>Lista!O983</f>
        <v>0</v>
      </c>
      <c r="Q984" s="125">
        <f>Lista!P983</f>
        <v>0</v>
      </c>
      <c r="R984" s="125">
        <f>Lista!Q983</f>
        <v>0</v>
      </c>
      <c r="S984" s="125">
        <f>Lista!R983</f>
        <v>0</v>
      </c>
      <c r="T984" s="81"/>
      <c r="U984" s="81"/>
      <c r="V984" s="81"/>
      <c r="W984" s="81"/>
      <c r="X984" s="81"/>
      <c r="Y984" s="81"/>
      <c r="Z984" s="81"/>
      <c r="AA984" s="81"/>
      <c r="AB984" s="81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  <c r="BS984" s="81"/>
      <c r="BT984" s="81"/>
      <c r="BU984" s="81"/>
      <c r="BV984" s="81"/>
      <c r="BW984" s="81"/>
      <c r="BX984" s="81"/>
      <c r="BY984" s="81"/>
      <c r="BZ984" s="81"/>
      <c r="CA984" s="81"/>
      <c r="CB984" s="81"/>
      <c r="CC984" s="81"/>
      <c r="CD984" s="81"/>
      <c r="CE984" s="81"/>
      <c r="CF984" s="81"/>
      <c r="CG984" s="81"/>
      <c r="CH984" s="81"/>
      <c r="CI984" s="81"/>
      <c r="CJ984" s="81"/>
      <c r="CK984" s="81"/>
      <c r="CL984" s="81"/>
      <c r="CM984" s="81"/>
      <c r="CN984" s="81"/>
      <c r="CO984" s="81"/>
      <c r="CP984" s="81"/>
      <c r="CQ984" s="81"/>
      <c r="CR984" s="81"/>
      <c r="CS984" s="81"/>
      <c r="CT984" s="81"/>
      <c r="CU984" s="81"/>
      <c r="CV984" s="81"/>
      <c r="CW984" s="81"/>
      <c r="CX984" s="81"/>
      <c r="CY984" s="81"/>
      <c r="CZ984" s="81"/>
      <c r="DA984" s="81"/>
      <c r="DB984" s="81"/>
      <c r="DC984" s="81"/>
      <c r="DD984" s="81"/>
      <c r="DE984" s="81"/>
      <c r="DF984" s="81"/>
      <c r="DG984" s="81"/>
      <c r="DH984" s="81"/>
      <c r="DI984" s="81"/>
      <c r="DJ984" s="81"/>
      <c r="DK984" s="81"/>
      <c r="DL984" s="81"/>
      <c r="DM984" s="81"/>
      <c r="DN984" s="81"/>
      <c r="DO984" s="81"/>
      <c r="DP984" s="81"/>
      <c r="DQ984" s="81"/>
      <c r="DR984" s="81"/>
      <c r="DS984" s="81"/>
      <c r="DT984" s="81"/>
      <c r="DU984" s="81"/>
      <c r="DV984" s="81"/>
      <c r="DW984" s="121"/>
    </row>
    <row r="985" spans="1:127" x14ac:dyDescent="0.25">
      <c r="A985" s="2">
        <f>COUNTIF($D$2:D985,'Reporte de Nomina'!$E$2)</f>
        <v>0</v>
      </c>
      <c r="B985" s="125">
        <f>Lista!A984</f>
        <v>0</v>
      </c>
      <c r="C985" s="125">
        <f>Lista!B984</f>
        <v>0</v>
      </c>
      <c r="D985" s="125">
        <f>Lista!C984</f>
        <v>0</v>
      </c>
      <c r="E985" s="125">
        <f>Lista!D984</f>
        <v>0</v>
      </c>
      <c r="F985" s="125">
        <f>Lista!E984</f>
        <v>0</v>
      </c>
      <c r="G985" s="125">
        <f>Lista!F984</f>
        <v>0</v>
      </c>
      <c r="H985" s="125">
        <f>Lista!G984</f>
        <v>0</v>
      </c>
      <c r="I985" s="125">
        <f>Lista!H984</f>
        <v>0</v>
      </c>
      <c r="J985" s="125">
        <f>Lista!I984</f>
        <v>0</v>
      </c>
      <c r="K985" s="125">
        <f>Lista!J984</f>
        <v>0</v>
      </c>
      <c r="L985" s="125">
        <f>Lista!K984</f>
        <v>0</v>
      </c>
      <c r="M985" s="125">
        <f>Lista!L984</f>
        <v>0</v>
      </c>
      <c r="N985" s="125">
        <f>Lista!M984</f>
        <v>0</v>
      </c>
      <c r="O985" s="125">
        <f>Lista!N984</f>
        <v>0</v>
      </c>
      <c r="P985" s="125">
        <f>Lista!O984</f>
        <v>0</v>
      </c>
      <c r="Q985" s="125">
        <f>Lista!P984</f>
        <v>0</v>
      </c>
      <c r="R985" s="125">
        <f>Lista!Q984</f>
        <v>0</v>
      </c>
      <c r="S985" s="125">
        <f>Lista!R984</f>
        <v>0</v>
      </c>
      <c r="T985" s="81"/>
      <c r="U985" s="81"/>
      <c r="V985" s="81"/>
      <c r="W985" s="81"/>
      <c r="X985" s="81"/>
      <c r="Y985" s="81"/>
      <c r="Z985" s="81"/>
      <c r="AA985" s="81"/>
      <c r="AB985" s="81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  <c r="BS985" s="81"/>
      <c r="BT985" s="81"/>
      <c r="BU985" s="81"/>
      <c r="BV985" s="81"/>
      <c r="BW985" s="81"/>
      <c r="BX985" s="81"/>
      <c r="BY985" s="81"/>
      <c r="BZ985" s="81"/>
      <c r="CA985" s="81"/>
      <c r="CB985" s="81"/>
      <c r="CC985" s="81"/>
      <c r="CD985" s="81"/>
      <c r="CE985" s="81"/>
      <c r="CF985" s="81"/>
      <c r="CG985" s="81"/>
      <c r="CH985" s="81"/>
      <c r="CI985" s="81"/>
      <c r="CJ985" s="81"/>
      <c r="CK985" s="81"/>
      <c r="CL985" s="81"/>
      <c r="CM985" s="81"/>
      <c r="CN985" s="81"/>
      <c r="CO985" s="81"/>
      <c r="CP985" s="81"/>
      <c r="CQ985" s="81"/>
      <c r="CR985" s="81"/>
      <c r="CS985" s="81"/>
      <c r="CT985" s="81"/>
      <c r="CU985" s="81"/>
      <c r="CV985" s="81"/>
      <c r="CW985" s="81"/>
      <c r="CX985" s="81"/>
      <c r="CY985" s="81"/>
      <c r="CZ985" s="81"/>
      <c r="DA985" s="81"/>
      <c r="DB985" s="81"/>
      <c r="DC985" s="81"/>
      <c r="DD985" s="81"/>
      <c r="DE985" s="81"/>
      <c r="DF985" s="81"/>
      <c r="DG985" s="81"/>
      <c r="DH985" s="81"/>
      <c r="DI985" s="81"/>
      <c r="DJ985" s="81"/>
      <c r="DK985" s="81"/>
      <c r="DL985" s="81"/>
      <c r="DM985" s="81"/>
      <c r="DN985" s="81"/>
      <c r="DO985" s="81"/>
      <c r="DP985" s="81"/>
      <c r="DQ985" s="81"/>
      <c r="DR985" s="81"/>
      <c r="DS985" s="81"/>
      <c r="DT985" s="81"/>
      <c r="DU985" s="81"/>
      <c r="DV985" s="81"/>
      <c r="DW985" s="121"/>
    </row>
    <row r="986" spans="1:127" x14ac:dyDescent="0.25">
      <c r="A986" s="2">
        <f>COUNTIF($D$2:D986,'Reporte de Nomina'!$E$2)</f>
        <v>0</v>
      </c>
      <c r="B986" s="125">
        <f>Lista!A985</f>
        <v>0</v>
      </c>
      <c r="C986" s="125">
        <f>Lista!B985</f>
        <v>0</v>
      </c>
      <c r="D986" s="125">
        <f>Lista!C985</f>
        <v>0</v>
      </c>
      <c r="E986" s="125">
        <f>Lista!D985</f>
        <v>0</v>
      </c>
      <c r="F986" s="125">
        <f>Lista!E985</f>
        <v>0</v>
      </c>
      <c r="G986" s="125">
        <f>Lista!F985</f>
        <v>0</v>
      </c>
      <c r="H986" s="125">
        <f>Lista!G985</f>
        <v>0</v>
      </c>
      <c r="I986" s="125">
        <f>Lista!H985</f>
        <v>0</v>
      </c>
      <c r="J986" s="125">
        <f>Lista!I985</f>
        <v>0</v>
      </c>
      <c r="K986" s="125">
        <f>Lista!J985</f>
        <v>0</v>
      </c>
      <c r="L986" s="125">
        <f>Lista!K985</f>
        <v>0</v>
      </c>
      <c r="M986" s="125">
        <f>Lista!L985</f>
        <v>0</v>
      </c>
      <c r="N986" s="125">
        <f>Lista!M985</f>
        <v>0</v>
      </c>
      <c r="O986" s="125">
        <f>Lista!N985</f>
        <v>0</v>
      </c>
      <c r="P986" s="125">
        <f>Lista!O985</f>
        <v>0</v>
      </c>
      <c r="Q986" s="125">
        <f>Lista!P985</f>
        <v>0</v>
      </c>
      <c r="R986" s="125">
        <f>Lista!Q985</f>
        <v>0</v>
      </c>
      <c r="S986" s="125">
        <f>Lista!R985</f>
        <v>0</v>
      </c>
      <c r="T986" s="81"/>
      <c r="U986" s="81"/>
      <c r="V986" s="81"/>
      <c r="W986" s="81"/>
      <c r="X986" s="81"/>
      <c r="Y986" s="81"/>
      <c r="Z986" s="81"/>
      <c r="AA986" s="81"/>
      <c r="AB986" s="81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  <c r="BS986" s="81"/>
      <c r="BT986" s="81"/>
      <c r="BU986" s="81"/>
      <c r="BV986" s="81"/>
      <c r="BW986" s="81"/>
      <c r="BX986" s="81"/>
      <c r="BY986" s="81"/>
      <c r="BZ986" s="81"/>
      <c r="CA986" s="81"/>
      <c r="CB986" s="81"/>
      <c r="CC986" s="81"/>
      <c r="CD986" s="81"/>
      <c r="CE986" s="81"/>
      <c r="CF986" s="81"/>
      <c r="CG986" s="81"/>
      <c r="CH986" s="81"/>
      <c r="CI986" s="81"/>
      <c r="CJ986" s="81"/>
      <c r="CK986" s="81"/>
      <c r="CL986" s="81"/>
      <c r="CM986" s="81"/>
      <c r="CN986" s="81"/>
      <c r="CO986" s="81"/>
      <c r="CP986" s="81"/>
      <c r="CQ986" s="81"/>
      <c r="CR986" s="81"/>
      <c r="CS986" s="81"/>
      <c r="CT986" s="81"/>
      <c r="CU986" s="81"/>
      <c r="CV986" s="81"/>
      <c r="CW986" s="81"/>
      <c r="CX986" s="81"/>
      <c r="CY986" s="81"/>
      <c r="CZ986" s="81"/>
      <c r="DA986" s="81"/>
      <c r="DB986" s="81"/>
      <c r="DC986" s="81"/>
      <c r="DD986" s="81"/>
      <c r="DE986" s="81"/>
      <c r="DF986" s="81"/>
      <c r="DG986" s="81"/>
      <c r="DH986" s="81"/>
      <c r="DI986" s="81"/>
      <c r="DJ986" s="81"/>
      <c r="DK986" s="81"/>
      <c r="DL986" s="81"/>
      <c r="DM986" s="81"/>
      <c r="DN986" s="81"/>
      <c r="DO986" s="81"/>
      <c r="DP986" s="81"/>
      <c r="DQ986" s="81"/>
      <c r="DR986" s="81"/>
      <c r="DS986" s="81"/>
      <c r="DT986" s="81"/>
      <c r="DU986" s="81"/>
      <c r="DV986" s="81"/>
      <c r="DW986" s="121"/>
    </row>
    <row r="987" spans="1:127" x14ac:dyDescent="0.25">
      <c r="A987" s="2">
        <f>COUNTIF($D$2:D987,'Reporte de Nomina'!$E$2)</f>
        <v>0</v>
      </c>
      <c r="B987" s="125">
        <f>Lista!A986</f>
        <v>0</v>
      </c>
      <c r="C987" s="125">
        <f>Lista!B986</f>
        <v>0</v>
      </c>
      <c r="D987" s="125">
        <f>Lista!C986</f>
        <v>0</v>
      </c>
      <c r="E987" s="125">
        <f>Lista!D986</f>
        <v>0</v>
      </c>
      <c r="F987" s="125">
        <f>Lista!E986</f>
        <v>0</v>
      </c>
      <c r="G987" s="125">
        <f>Lista!F986</f>
        <v>0</v>
      </c>
      <c r="H987" s="125">
        <f>Lista!G986</f>
        <v>0</v>
      </c>
      <c r="I987" s="125">
        <f>Lista!H986</f>
        <v>0</v>
      </c>
      <c r="J987" s="125">
        <f>Lista!I986</f>
        <v>0</v>
      </c>
      <c r="K987" s="125">
        <f>Lista!J986</f>
        <v>0</v>
      </c>
      <c r="L987" s="125">
        <f>Lista!K986</f>
        <v>0</v>
      </c>
      <c r="M987" s="125">
        <f>Lista!L986</f>
        <v>0</v>
      </c>
      <c r="N987" s="125">
        <f>Lista!M986</f>
        <v>0</v>
      </c>
      <c r="O987" s="125">
        <f>Lista!N986</f>
        <v>0</v>
      </c>
      <c r="P987" s="125">
        <f>Lista!O986</f>
        <v>0</v>
      </c>
      <c r="Q987" s="125">
        <f>Lista!P986</f>
        <v>0</v>
      </c>
      <c r="R987" s="125">
        <f>Lista!Q986</f>
        <v>0</v>
      </c>
      <c r="S987" s="125">
        <f>Lista!R986</f>
        <v>0</v>
      </c>
      <c r="T987" s="81"/>
      <c r="U987" s="81"/>
      <c r="V987" s="81"/>
      <c r="W987" s="81"/>
      <c r="X987" s="81"/>
      <c r="Y987" s="81"/>
      <c r="Z987" s="81"/>
      <c r="AA987" s="81"/>
      <c r="AB987" s="81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  <c r="BS987" s="81"/>
      <c r="BT987" s="81"/>
      <c r="BU987" s="81"/>
      <c r="BV987" s="81"/>
      <c r="BW987" s="81"/>
      <c r="BX987" s="81"/>
      <c r="BY987" s="81"/>
      <c r="BZ987" s="81"/>
      <c r="CA987" s="81"/>
      <c r="CB987" s="81"/>
      <c r="CC987" s="81"/>
      <c r="CD987" s="81"/>
      <c r="CE987" s="81"/>
      <c r="CF987" s="81"/>
      <c r="CG987" s="81"/>
      <c r="CH987" s="81"/>
      <c r="CI987" s="81"/>
      <c r="CJ987" s="81"/>
      <c r="CK987" s="81"/>
      <c r="CL987" s="81"/>
      <c r="CM987" s="81"/>
      <c r="CN987" s="81"/>
      <c r="CO987" s="81"/>
      <c r="CP987" s="81"/>
      <c r="CQ987" s="81"/>
      <c r="CR987" s="81"/>
      <c r="CS987" s="81"/>
      <c r="CT987" s="81"/>
      <c r="CU987" s="81"/>
      <c r="CV987" s="81"/>
      <c r="CW987" s="81"/>
      <c r="CX987" s="81"/>
      <c r="CY987" s="81"/>
      <c r="CZ987" s="81"/>
      <c r="DA987" s="81"/>
      <c r="DB987" s="81"/>
      <c r="DC987" s="81"/>
      <c r="DD987" s="81"/>
      <c r="DE987" s="81"/>
      <c r="DF987" s="81"/>
      <c r="DG987" s="81"/>
      <c r="DH987" s="81"/>
      <c r="DI987" s="81"/>
      <c r="DJ987" s="81"/>
      <c r="DK987" s="81"/>
      <c r="DL987" s="81"/>
      <c r="DM987" s="81"/>
      <c r="DN987" s="81"/>
      <c r="DO987" s="81"/>
      <c r="DP987" s="81"/>
      <c r="DQ987" s="81"/>
      <c r="DR987" s="81"/>
      <c r="DS987" s="81"/>
      <c r="DT987" s="81"/>
      <c r="DU987" s="81"/>
      <c r="DV987" s="81"/>
      <c r="DW987" s="121"/>
    </row>
    <row r="988" spans="1:127" x14ac:dyDescent="0.25">
      <c r="A988" s="2">
        <f>COUNTIF($D$2:D988,'Reporte de Nomina'!$E$2)</f>
        <v>0</v>
      </c>
      <c r="B988" s="125">
        <f>Lista!A987</f>
        <v>0</v>
      </c>
      <c r="C988" s="125">
        <f>Lista!B987</f>
        <v>0</v>
      </c>
      <c r="D988" s="125">
        <f>Lista!C987</f>
        <v>0</v>
      </c>
      <c r="E988" s="125">
        <f>Lista!D987</f>
        <v>0</v>
      </c>
      <c r="F988" s="125">
        <f>Lista!E987</f>
        <v>0</v>
      </c>
      <c r="G988" s="125">
        <f>Lista!F987</f>
        <v>0</v>
      </c>
      <c r="H988" s="125">
        <f>Lista!G987</f>
        <v>0</v>
      </c>
      <c r="I988" s="125">
        <f>Lista!H987</f>
        <v>0</v>
      </c>
      <c r="J988" s="125">
        <f>Lista!I987</f>
        <v>0</v>
      </c>
      <c r="K988" s="125">
        <f>Lista!J987</f>
        <v>0</v>
      </c>
      <c r="L988" s="125">
        <f>Lista!K987</f>
        <v>0</v>
      </c>
      <c r="M988" s="125">
        <f>Lista!L987</f>
        <v>0</v>
      </c>
      <c r="N988" s="125">
        <f>Lista!M987</f>
        <v>0</v>
      </c>
      <c r="O988" s="125">
        <f>Lista!N987</f>
        <v>0</v>
      </c>
      <c r="P988" s="125">
        <f>Lista!O987</f>
        <v>0</v>
      </c>
      <c r="Q988" s="125">
        <f>Lista!P987</f>
        <v>0</v>
      </c>
      <c r="R988" s="125">
        <f>Lista!Q987</f>
        <v>0</v>
      </c>
      <c r="S988" s="125">
        <f>Lista!R987</f>
        <v>0</v>
      </c>
      <c r="T988" s="81"/>
      <c r="U988" s="81"/>
      <c r="V988" s="81"/>
      <c r="W988" s="81"/>
      <c r="X988" s="81"/>
      <c r="Y988" s="81"/>
      <c r="Z988" s="81"/>
      <c r="AA988" s="81"/>
      <c r="AB988" s="81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  <c r="BS988" s="81"/>
      <c r="BT988" s="81"/>
      <c r="BU988" s="81"/>
      <c r="BV988" s="81"/>
      <c r="BW988" s="81"/>
      <c r="BX988" s="81"/>
      <c r="BY988" s="81"/>
      <c r="BZ988" s="81"/>
      <c r="CA988" s="81"/>
      <c r="CB988" s="81"/>
      <c r="CC988" s="81"/>
      <c r="CD988" s="81"/>
      <c r="CE988" s="81"/>
      <c r="CF988" s="81"/>
      <c r="CG988" s="81"/>
      <c r="CH988" s="81"/>
      <c r="CI988" s="81"/>
      <c r="CJ988" s="81"/>
      <c r="CK988" s="81"/>
      <c r="CL988" s="81"/>
      <c r="CM988" s="81"/>
      <c r="CN988" s="81"/>
      <c r="CO988" s="81"/>
      <c r="CP988" s="81"/>
      <c r="CQ988" s="81"/>
      <c r="CR988" s="81"/>
      <c r="CS988" s="81"/>
      <c r="CT988" s="81"/>
      <c r="CU988" s="81"/>
      <c r="CV988" s="81"/>
      <c r="CW988" s="81"/>
      <c r="CX988" s="81"/>
      <c r="CY988" s="81"/>
      <c r="CZ988" s="81"/>
      <c r="DA988" s="81"/>
      <c r="DB988" s="81"/>
      <c r="DC988" s="81"/>
      <c r="DD988" s="81"/>
      <c r="DE988" s="81"/>
      <c r="DF988" s="81"/>
      <c r="DG988" s="81"/>
      <c r="DH988" s="81"/>
      <c r="DI988" s="81"/>
      <c r="DJ988" s="81"/>
      <c r="DK988" s="81"/>
      <c r="DL988" s="81"/>
      <c r="DM988" s="81"/>
      <c r="DN988" s="81"/>
      <c r="DO988" s="81"/>
      <c r="DP988" s="81"/>
      <c r="DQ988" s="81"/>
      <c r="DR988" s="81"/>
      <c r="DS988" s="81"/>
      <c r="DT988" s="81"/>
      <c r="DU988" s="81"/>
      <c r="DV988" s="81"/>
      <c r="DW988" s="121"/>
    </row>
    <row r="989" spans="1:127" x14ac:dyDescent="0.25">
      <c r="A989" s="2">
        <f>COUNTIF($D$2:D989,'Reporte de Nomina'!$E$2)</f>
        <v>0</v>
      </c>
      <c r="B989" s="125">
        <f>Lista!A988</f>
        <v>0</v>
      </c>
      <c r="C989" s="125">
        <f>Lista!B988</f>
        <v>0</v>
      </c>
      <c r="D989" s="125">
        <f>Lista!C988</f>
        <v>0</v>
      </c>
      <c r="E989" s="125">
        <f>Lista!D988</f>
        <v>0</v>
      </c>
      <c r="F989" s="125">
        <f>Lista!E988</f>
        <v>0</v>
      </c>
      <c r="G989" s="125">
        <f>Lista!F988</f>
        <v>0</v>
      </c>
      <c r="H989" s="125">
        <f>Lista!G988</f>
        <v>0</v>
      </c>
      <c r="I989" s="125">
        <f>Lista!H988</f>
        <v>0</v>
      </c>
      <c r="J989" s="125">
        <f>Lista!I988</f>
        <v>0</v>
      </c>
      <c r="K989" s="125">
        <f>Lista!J988</f>
        <v>0</v>
      </c>
      <c r="L989" s="125">
        <f>Lista!K988</f>
        <v>0</v>
      </c>
      <c r="M989" s="125">
        <f>Lista!L988</f>
        <v>0</v>
      </c>
      <c r="N989" s="125">
        <f>Lista!M988</f>
        <v>0</v>
      </c>
      <c r="O989" s="125">
        <f>Lista!N988</f>
        <v>0</v>
      </c>
      <c r="P989" s="125">
        <f>Lista!O988</f>
        <v>0</v>
      </c>
      <c r="Q989" s="125">
        <f>Lista!P988</f>
        <v>0</v>
      </c>
      <c r="R989" s="125">
        <f>Lista!Q988</f>
        <v>0</v>
      </c>
      <c r="S989" s="125">
        <f>Lista!R988</f>
        <v>0</v>
      </c>
      <c r="T989" s="81"/>
      <c r="U989" s="81"/>
      <c r="V989" s="81"/>
      <c r="W989" s="81"/>
      <c r="X989" s="81"/>
      <c r="Y989" s="81"/>
      <c r="Z989" s="81"/>
      <c r="AA989" s="81"/>
      <c r="AB989" s="81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  <c r="BS989" s="81"/>
      <c r="BT989" s="81"/>
      <c r="BU989" s="81"/>
      <c r="BV989" s="81"/>
      <c r="BW989" s="81"/>
      <c r="BX989" s="81"/>
      <c r="BY989" s="81"/>
      <c r="BZ989" s="81"/>
      <c r="CA989" s="81"/>
      <c r="CB989" s="81"/>
      <c r="CC989" s="81"/>
      <c r="CD989" s="81"/>
      <c r="CE989" s="81"/>
      <c r="CF989" s="81"/>
      <c r="CG989" s="81"/>
      <c r="CH989" s="81"/>
      <c r="CI989" s="81"/>
      <c r="CJ989" s="81"/>
      <c r="CK989" s="81"/>
      <c r="CL989" s="81"/>
      <c r="CM989" s="81"/>
      <c r="CN989" s="81"/>
      <c r="CO989" s="81"/>
      <c r="CP989" s="81"/>
      <c r="CQ989" s="81"/>
      <c r="CR989" s="81"/>
      <c r="CS989" s="81"/>
      <c r="CT989" s="81"/>
      <c r="CU989" s="81"/>
      <c r="CV989" s="81"/>
      <c r="CW989" s="81"/>
      <c r="CX989" s="81"/>
      <c r="CY989" s="81"/>
      <c r="CZ989" s="81"/>
      <c r="DA989" s="81"/>
      <c r="DB989" s="81"/>
      <c r="DC989" s="81"/>
      <c r="DD989" s="81"/>
      <c r="DE989" s="81"/>
      <c r="DF989" s="81"/>
      <c r="DG989" s="81"/>
      <c r="DH989" s="81"/>
      <c r="DI989" s="81"/>
      <c r="DJ989" s="81"/>
      <c r="DK989" s="81"/>
      <c r="DL989" s="81"/>
      <c r="DM989" s="81"/>
      <c r="DN989" s="81"/>
      <c r="DO989" s="81"/>
      <c r="DP989" s="81"/>
      <c r="DQ989" s="81"/>
      <c r="DR989" s="81"/>
      <c r="DS989" s="81"/>
      <c r="DT989" s="81"/>
      <c r="DU989" s="81"/>
      <c r="DV989" s="81"/>
      <c r="DW989" s="121"/>
    </row>
    <row r="990" spans="1:127" x14ac:dyDescent="0.25">
      <c r="A990" s="2">
        <f>COUNTIF($D$2:D990,'Reporte de Nomina'!$E$2)</f>
        <v>0</v>
      </c>
      <c r="B990" s="125">
        <f>Lista!A989</f>
        <v>0</v>
      </c>
      <c r="C990" s="125">
        <f>Lista!B989</f>
        <v>0</v>
      </c>
      <c r="D990" s="125">
        <f>Lista!C989</f>
        <v>0</v>
      </c>
      <c r="E990" s="125">
        <f>Lista!D989</f>
        <v>0</v>
      </c>
      <c r="F990" s="125">
        <f>Lista!E989</f>
        <v>0</v>
      </c>
      <c r="G990" s="125">
        <f>Lista!F989</f>
        <v>0</v>
      </c>
      <c r="H990" s="125">
        <f>Lista!G989</f>
        <v>0</v>
      </c>
      <c r="I990" s="125">
        <f>Lista!H989</f>
        <v>0</v>
      </c>
      <c r="J990" s="125">
        <f>Lista!I989</f>
        <v>0</v>
      </c>
      <c r="K990" s="125">
        <f>Lista!J989</f>
        <v>0</v>
      </c>
      <c r="L990" s="125">
        <f>Lista!K989</f>
        <v>0</v>
      </c>
      <c r="M990" s="125">
        <f>Lista!L989</f>
        <v>0</v>
      </c>
      <c r="N990" s="125">
        <f>Lista!M989</f>
        <v>0</v>
      </c>
      <c r="O990" s="125">
        <f>Lista!N989</f>
        <v>0</v>
      </c>
      <c r="P990" s="125">
        <f>Lista!O989</f>
        <v>0</v>
      </c>
      <c r="Q990" s="125">
        <f>Lista!P989</f>
        <v>0</v>
      </c>
      <c r="R990" s="125">
        <f>Lista!Q989</f>
        <v>0</v>
      </c>
      <c r="S990" s="125">
        <f>Lista!R989</f>
        <v>0</v>
      </c>
      <c r="T990" s="81"/>
      <c r="U990" s="81"/>
      <c r="V990" s="81"/>
      <c r="W990" s="81"/>
      <c r="X990" s="81"/>
      <c r="Y990" s="81"/>
      <c r="Z990" s="81"/>
      <c r="AA990" s="81"/>
      <c r="AB990" s="81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  <c r="BS990" s="81"/>
      <c r="BT990" s="81"/>
      <c r="BU990" s="81"/>
      <c r="BV990" s="81"/>
      <c r="BW990" s="81"/>
      <c r="BX990" s="81"/>
      <c r="BY990" s="81"/>
      <c r="BZ990" s="81"/>
      <c r="CA990" s="81"/>
      <c r="CB990" s="81"/>
      <c r="CC990" s="81"/>
      <c r="CD990" s="81"/>
      <c r="CE990" s="81"/>
      <c r="CF990" s="81"/>
      <c r="CG990" s="81"/>
      <c r="CH990" s="81"/>
      <c r="CI990" s="81"/>
      <c r="CJ990" s="81"/>
      <c r="CK990" s="81"/>
      <c r="CL990" s="81"/>
      <c r="CM990" s="81"/>
      <c r="CN990" s="81"/>
      <c r="CO990" s="81"/>
      <c r="CP990" s="81"/>
      <c r="CQ990" s="81"/>
      <c r="CR990" s="81"/>
      <c r="CS990" s="81"/>
      <c r="CT990" s="81"/>
      <c r="CU990" s="81"/>
      <c r="CV990" s="81"/>
      <c r="CW990" s="81"/>
      <c r="CX990" s="81"/>
      <c r="CY990" s="81"/>
      <c r="CZ990" s="81"/>
      <c r="DA990" s="81"/>
      <c r="DB990" s="81"/>
      <c r="DC990" s="81"/>
      <c r="DD990" s="81"/>
      <c r="DE990" s="81"/>
      <c r="DF990" s="81"/>
      <c r="DG990" s="81"/>
      <c r="DH990" s="81"/>
      <c r="DI990" s="81"/>
      <c r="DJ990" s="81"/>
      <c r="DK990" s="81"/>
      <c r="DL990" s="81"/>
      <c r="DM990" s="81"/>
      <c r="DN990" s="81"/>
      <c r="DO990" s="81"/>
      <c r="DP990" s="81"/>
      <c r="DQ990" s="81"/>
      <c r="DR990" s="81"/>
      <c r="DS990" s="81"/>
      <c r="DT990" s="81"/>
      <c r="DU990" s="81"/>
      <c r="DV990" s="81"/>
      <c r="DW990" s="121"/>
    </row>
    <row r="991" spans="1:127" x14ac:dyDescent="0.25">
      <c r="A991" s="2">
        <f>COUNTIF($D$2:D991,'Reporte de Nomina'!$E$2)</f>
        <v>0</v>
      </c>
      <c r="B991" s="125">
        <f>Lista!A990</f>
        <v>0</v>
      </c>
      <c r="C991" s="125">
        <f>Lista!B990</f>
        <v>0</v>
      </c>
      <c r="D991" s="125">
        <f>Lista!C990</f>
        <v>0</v>
      </c>
      <c r="E991" s="125">
        <f>Lista!D990</f>
        <v>0</v>
      </c>
      <c r="F991" s="125">
        <f>Lista!E990</f>
        <v>0</v>
      </c>
      <c r="G991" s="125">
        <f>Lista!F990</f>
        <v>0</v>
      </c>
      <c r="H991" s="125">
        <f>Lista!G990</f>
        <v>0</v>
      </c>
      <c r="I991" s="125">
        <f>Lista!H990</f>
        <v>0</v>
      </c>
      <c r="J991" s="125">
        <f>Lista!I990</f>
        <v>0</v>
      </c>
      <c r="K991" s="125">
        <f>Lista!J990</f>
        <v>0</v>
      </c>
      <c r="L991" s="125">
        <f>Lista!K990</f>
        <v>0</v>
      </c>
      <c r="M991" s="125">
        <f>Lista!L990</f>
        <v>0</v>
      </c>
      <c r="N991" s="125">
        <f>Lista!M990</f>
        <v>0</v>
      </c>
      <c r="O991" s="125">
        <f>Lista!N990</f>
        <v>0</v>
      </c>
      <c r="P991" s="125">
        <f>Lista!O990</f>
        <v>0</v>
      </c>
      <c r="Q991" s="125">
        <f>Lista!P990</f>
        <v>0</v>
      </c>
      <c r="R991" s="125">
        <f>Lista!Q990</f>
        <v>0</v>
      </c>
      <c r="S991" s="125">
        <f>Lista!R990</f>
        <v>0</v>
      </c>
      <c r="T991" s="81"/>
      <c r="U991" s="81"/>
      <c r="V991" s="81"/>
      <c r="W991" s="81"/>
      <c r="X991" s="81"/>
      <c r="Y991" s="81"/>
      <c r="Z991" s="81"/>
      <c r="AA991" s="81"/>
      <c r="AB991" s="81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  <c r="BS991" s="81"/>
      <c r="BT991" s="81"/>
      <c r="BU991" s="81"/>
      <c r="BV991" s="81"/>
      <c r="BW991" s="81"/>
      <c r="BX991" s="81"/>
      <c r="BY991" s="81"/>
      <c r="BZ991" s="81"/>
      <c r="CA991" s="81"/>
      <c r="CB991" s="81"/>
      <c r="CC991" s="81"/>
      <c r="CD991" s="81"/>
      <c r="CE991" s="81"/>
      <c r="CF991" s="81"/>
      <c r="CG991" s="81"/>
      <c r="CH991" s="81"/>
      <c r="CI991" s="81"/>
      <c r="CJ991" s="81"/>
      <c r="CK991" s="81"/>
      <c r="CL991" s="81"/>
      <c r="CM991" s="81"/>
      <c r="CN991" s="81"/>
      <c r="CO991" s="81"/>
      <c r="CP991" s="81"/>
      <c r="CQ991" s="81"/>
      <c r="CR991" s="81"/>
      <c r="CS991" s="81"/>
      <c r="CT991" s="81"/>
      <c r="CU991" s="81"/>
      <c r="CV991" s="81"/>
      <c r="CW991" s="81"/>
      <c r="CX991" s="81"/>
      <c r="CY991" s="81"/>
      <c r="CZ991" s="81"/>
      <c r="DA991" s="81"/>
      <c r="DB991" s="81"/>
      <c r="DC991" s="81"/>
      <c r="DD991" s="81"/>
      <c r="DE991" s="81"/>
      <c r="DF991" s="81"/>
      <c r="DG991" s="81"/>
      <c r="DH991" s="81"/>
      <c r="DI991" s="81"/>
      <c r="DJ991" s="81"/>
      <c r="DK991" s="81"/>
      <c r="DL991" s="81"/>
      <c r="DM991" s="81"/>
      <c r="DN991" s="81"/>
      <c r="DO991" s="81"/>
      <c r="DP991" s="81"/>
      <c r="DQ991" s="81"/>
      <c r="DR991" s="81"/>
      <c r="DS991" s="81"/>
      <c r="DT991" s="81"/>
      <c r="DU991" s="81"/>
      <c r="DV991" s="81"/>
      <c r="DW991" s="121"/>
    </row>
    <row r="992" spans="1:127" x14ac:dyDescent="0.25">
      <c r="A992" s="2">
        <f>COUNTIF($D$2:D992,'Reporte de Nomina'!$E$2)</f>
        <v>0</v>
      </c>
      <c r="B992" s="125">
        <f>Lista!A991</f>
        <v>0</v>
      </c>
      <c r="C992" s="125">
        <f>Lista!B991</f>
        <v>0</v>
      </c>
      <c r="D992" s="125">
        <f>Lista!C991</f>
        <v>0</v>
      </c>
      <c r="E992" s="125">
        <f>Lista!D991</f>
        <v>0</v>
      </c>
      <c r="F992" s="125">
        <f>Lista!E991</f>
        <v>0</v>
      </c>
      <c r="G992" s="125">
        <f>Lista!F991</f>
        <v>0</v>
      </c>
      <c r="H992" s="125">
        <f>Lista!G991</f>
        <v>0</v>
      </c>
      <c r="I992" s="125">
        <f>Lista!H991</f>
        <v>0</v>
      </c>
      <c r="J992" s="125">
        <f>Lista!I991</f>
        <v>0</v>
      </c>
      <c r="K992" s="125">
        <f>Lista!J991</f>
        <v>0</v>
      </c>
      <c r="L992" s="125">
        <f>Lista!K991</f>
        <v>0</v>
      </c>
      <c r="M992" s="125">
        <f>Lista!L991</f>
        <v>0</v>
      </c>
      <c r="N992" s="125">
        <f>Lista!M991</f>
        <v>0</v>
      </c>
      <c r="O992" s="125">
        <f>Lista!N991</f>
        <v>0</v>
      </c>
      <c r="P992" s="125">
        <f>Lista!O991</f>
        <v>0</v>
      </c>
      <c r="Q992" s="125">
        <f>Lista!P991</f>
        <v>0</v>
      </c>
      <c r="R992" s="125">
        <f>Lista!Q991</f>
        <v>0</v>
      </c>
      <c r="S992" s="125">
        <f>Lista!R991</f>
        <v>0</v>
      </c>
      <c r="T992" s="81"/>
      <c r="U992" s="81"/>
      <c r="V992" s="81"/>
      <c r="W992" s="81"/>
      <c r="X992" s="81"/>
      <c r="Y992" s="81"/>
      <c r="Z992" s="81"/>
      <c r="AA992" s="81"/>
      <c r="AB992" s="81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  <c r="BS992" s="81"/>
      <c r="BT992" s="81"/>
      <c r="BU992" s="81"/>
      <c r="BV992" s="81"/>
      <c r="BW992" s="81"/>
      <c r="BX992" s="81"/>
      <c r="BY992" s="81"/>
      <c r="BZ992" s="81"/>
      <c r="CA992" s="81"/>
      <c r="CB992" s="81"/>
      <c r="CC992" s="81"/>
      <c r="CD992" s="81"/>
      <c r="CE992" s="81"/>
      <c r="CF992" s="81"/>
      <c r="CG992" s="81"/>
      <c r="CH992" s="81"/>
      <c r="CI992" s="81"/>
      <c r="CJ992" s="81"/>
      <c r="CK992" s="81"/>
      <c r="CL992" s="81"/>
      <c r="CM992" s="81"/>
      <c r="CN992" s="81"/>
      <c r="CO992" s="81"/>
      <c r="CP992" s="81"/>
      <c r="CQ992" s="81"/>
      <c r="CR992" s="81"/>
      <c r="CS992" s="81"/>
      <c r="CT992" s="81"/>
      <c r="CU992" s="81"/>
      <c r="CV992" s="81"/>
      <c r="CW992" s="81"/>
      <c r="CX992" s="81"/>
      <c r="CY992" s="81"/>
      <c r="CZ992" s="81"/>
      <c r="DA992" s="81"/>
      <c r="DB992" s="81"/>
      <c r="DC992" s="81"/>
      <c r="DD992" s="81"/>
      <c r="DE992" s="81"/>
      <c r="DF992" s="81"/>
      <c r="DG992" s="81"/>
      <c r="DH992" s="81"/>
      <c r="DI992" s="81"/>
      <c r="DJ992" s="81"/>
      <c r="DK992" s="81"/>
      <c r="DL992" s="81"/>
      <c r="DM992" s="81"/>
      <c r="DN992" s="81"/>
      <c r="DO992" s="81"/>
      <c r="DP992" s="81"/>
      <c r="DQ992" s="81"/>
      <c r="DR992" s="81"/>
      <c r="DS992" s="81"/>
      <c r="DT992" s="81"/>
      <c r="DU992" s="81"/>
      <c r="DV992" s="81"/>
      <c r="DW992" s="121"/>
    </row>
    <row r="993" spans="1:127" x14ac:dyDescent="0.25">
      <c r="A993" s="2">
        <f>COUNTIF($D$2:D993,'Reporte de Nomina'!$E$2)</f>
        <v>0</v>
      </c>
      <c r="B993" s="125">
        <f>Lista!A992</f>
        <v>0</v>
      </c>
      <c r="C993" s="125">
        <f>Lista!B992</f>
        <v>0</v>
      </c>
      <c r="D993" s="125">
        <f>Lista!C992</f>
        <v>0</v>
      </c>
      <c r="E993" s="125">
        <f>Lista!D992</f>
        <v>0</v>
      </c>
      <c r="F993" s="125">
        <f>Lista!E992</f>
        <v>0</v>
      </c>
      <c r="G993" s="125">
        <f>Lista!F992</f>
        <v>0</v>
      </c>
      <c r="H993" s="125">
        <f>Lista!G992</f>
        <v>0</v>
      </c>
      <c r="I993" s="125">
        <f>Lista!H992</f>
        <v>0</v>
      </c>
      <c r="J993" s="125">
        <f>Lista!I992</f>
        <v>0</v>
      </c>
      <c r="K993" s="125">
        <f>Lista!J992</f>
        <v>0</v>
      </c>
      <c r="L993" s="125">
        <f>Lista!K992</f>
        <v>0</v>
      </c>
      <c r="M993" s="125">
        <f>Lista!L992</f>
        <v>0</v>
      </c>
      <c r="N993" s="125">
        <f>Lista!M992</f>
        <v>0</v>
      </c>
      <c r="O993" s="125">
        <f>Lista!N992</f>
        <v>0</v>
      </c>
      <c r="P993" s="125">
        <f>Lista!O992</f>
        <v>0</v>
      </c>
      <c r="Q993" s="125">
        <f>Lista!P992</f>
        <v>0</v>
      </c>
      <c r="R993" s="125">
        <f>Lista!Q992</f>
        <v>0</v>
      </c>
      <c r="S993" s="125">
        <f>Lista!R992</f>
        <v>0</v>
      </c>
      <c r="T993" s="81"/>
      <c r="U993" s="81"/>
      <c r="V993" s="81"/>
      <c r="W993" s="81"/>
      <c r="X993" s="81"/>
      <c r="Y993" s="81"/>
      <c r="Z993" s="81"/>
      <c r="AA993" s="81"/>
      <c r="AB993" s="81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  <c r="BS993" s="81"/>
      <c r="BT993" s="81"/>
      <c r="BU993" s="81"/>
      <c r="BV993" s="81"/>
      <c r="BW993" s="81"/>
      <c r="BX993" s="81"/>
      <c r="BY993" s="81"/>
      <c r="BZ993" s="81"/>
      <c r="CA993" s="81"/>
      <c r="CB993" s="81"/>
      <c r="CC993" s="81"/>
      <c r="CD993" s="81"/>
      <c r="CE993" s="81"/>
      <c r="CF993" s="81"/>
      <c r="CG993" s="81"/>
      <c r="CH993" s="81"/>
      <c r="CI993" s="81"/>
      <c r="CJ993" s="81"/>
      <c r="CK993" s="81"/>
      <c r="CL993" s="81"/>
      <c r="CM993" s="81"/>
      <c r="CN993" s="81"/>
      <c r="CO993" s="81"/>
      <c r="CP993" s="81"/>
      <c r="CQ993" s="81"/>
      <c r="CR993" s="81"/>
      <c r="CS993" s="81"/>
      <c r="CT993" s="81"/>
      <c r="CU993" s="81"/>
      <c r="CV993" s="81"/>
      <c r="CW993" s="81"/>
      <c r="CX993" s="81"/>
      <c r="CY993" s="81"/>
      <c r="CZ993" s="81"/>
      <c r="DA993" s="81"/>
      <c r="DB993" s="81"/>
      <c r="DC993" s="81"/>
      <c r="DD993" s="81"/>
      <c r="DE993" s="81"/>
      <c r="DF993" s="81"/>
      <c r="DG993" s="81"/>
      <c r="DH993" s="81"/>
      <c r="DI993" s="81"/>
      <c r="DJ993" s="81"/>
      <c r="DK993" s="81"/>
      <c r="DL993" s="81"/>
      <c r="DM993" s="81"/>
      <c r="DN993" s="81"/>
      <c r="DO993" s="81"/>
      <c r="DP993" s="81"/>
      <c r="DQ993" s="81"/>
      <c r="DR993" s="81"/>
      <c r="DS993" s="81"/>
      <c r="DT993" s="81"/>
      <c r="DU993" s="81"/>
      <c r="DV993" s="81"/>
      <c r="DW993" s="121"/>
    </row>
    <row r="994" spans="1:127" x14ac:dyDescent="0.25">
      <c r="A994" s="2">
        <f>COUNTIF($D$2:D994,'Reporte de Nomina'!$E$2)</f>
        <v>0</v>
      </c>
      <c r="B994" s="125">
        <f>Lista!A993</f>
        <v>0</v>
      </c>
      <c r="C994" s="125">
        <f>Lista!B993</f>
        <v>0</v>
      </c>
      <c r="D994" s="125">
        <f>Lista!C993</f>
        <v>0</v>
      </c>
      <c r="E994" s="125">
        <f>Lista!D993</f>
        <v>0</v>
      </c>
      <c r="F994" s="125">
        <f>Lista!E993</f>
        <v>0</v>
      </c>
      <c r="G994" s="125">
        <f>Lista!F993</f>
        <v>0</v>
      </c>
      <c r="H994" s="125">
        <f>Lista!G993</f>
        <v>0</v>
      </c>
      <c r="I994" s="125">
        <f>Lista!H993</f>
        <v>0</v>
      </c>
      <c r="J994" s="125">
        <f>Lista!I993</f>
        <v>0</v>
      </c>
      <c r="K994" s="125">
        <f>Lista!J993</f>
        <v>0</v>
      </c>
      <c r="L994" s="125">
        <f>Lista!K993</f>
        <v>0</v>
      </c>
      <c r="M994" s="125">
        <f>Lista!L993</f>
        <v>0</v>
      </c>
      <c r="N994" s="125">
        <f>Lista!M993</f>
        <v>0</v>
      </c>
      <c r="O994" s="125">
        <f>Lista!N993</f>
        <v>0</v>
      </c>
      <c r="P994" s="125">
        <f>Lista!O993</f>
        <v>0</v>
      </c>
      <c r="Q994" s="125">
        <f>Lista!P993</f>
        <v>0</v>
      </c>
      <c r="R994" s="125">
        <f>Lista!Q993</f>
        <v>0</v>
      </c>
      <c r="S994" s="125">
        <f>Lista!R993</f>
        <v>0</v>
      </c>
      <c r="T994" s="81"/>
      <c r="U994" s="81"/>
      <c r="V994" s="81"/>
      <c r="W994" s="81"/>
      <c r="X994" s="81"/>
      <c r="Y994" s="81"/>
      <c r="Z994" s="81"/>
      <c r="AA994" s="81"/>
      <c r="AB994" s="81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  <c r="BS994" s="81"/>
      <c r="BT994" s="81"/>
      <c r="BU994" s="81"/>
      <c r="BV994" s="81"/>
      <c r="BW994" s="81"/>
      <c r="BX994" s="81"/>
      <c r="BY994" s="81"/>
      <c r="BZ994" s="81"/>
      <c r="CA994" s="81"/>
      <c r="CB994" s="81"/>
      <c r="CC994" s="81"/>
      <c r="CD994" s="81"/>
      <c r="CE994" s="81"/>
      <c r="CF994" s="81"/>
      <c r="CG994" s="81"/>
      <c r="CH994" s="81"/>
      <c r="CI994" s="81"/>
      <c r="CJ994" s="81"/>
      <c r="CK994" s="81"/>
      <c r="CL994" s="81"/>
      <c r="CM994" s="81"/>
      <c r="CN994" s="81"/>
      <c r="CO994" s="81"/>
      <c r="CP994" s="81"/>
      <c r="CQ994" s="81"/>
      <c r="CR994" s="81"/>
      <c r="CS994" s="81"/>
      <c r="CT994" s="81"/>
      <c r="CU994" s="81"/>
      <c r="CV994" s="81"/>
      <c r="CW994" s="81"/>
      <c r="CX994" s="81"/>
      <c r="CY994" s="81"/>
      <c r="CZ994" s="81"/>
      <c r="DA994" s="81"/>
      <c r="DB994" s="81"/>
      <c r="DC994" s="81"/>
      <c r="DD994" s="81"/>
      <c r="DE994" s="81"/>
      <c r="DF994" s="81"/>
      <c r="DG994" s="81"/>
      <c r="DH994" s="81"/>
      <c r="DI994" s="81"/>
      <c r="DJ994" s="81"/>
      <c r="DK994" s="81"/>
      <c r="DL994" s="81"/>
      <c r="DM994" s="81"/>
      <c r="DN994" s="81"/>
      <c r="DO994" s="81"/>
      <c r="DP994" s="81"/>
      <c r="DQ994" s="81"/>
      <c r="DR994" s="81"/>
      <c r="DS994" s="81"/>
      <c r="DT994" s="81"/>
      <c r="DU994" s="81"/>
      <c r="DV994" s="81"/>
      <c r="DW994" s="121"/>
    </row>
    <row r="995" spans="1:127" x14ac:dyDescent="0.25">
      <c r="A995" s="2">
        <f>COUNTIF($D$2:D995,'Reporte de Nomina'!$E$2)</f>
        <v>0</v>
      </c>
      <c r="B995" s="125">
        <f>Lista!A994</f>
        <v>0</v>
      </c>
      <c r="C995" s="125">
        <f>Lista!B994</f>
        <v>0</v>
      </c>
      <c r="D995" s="125">
        <f>Lista!C994</f>
        <v>0</v>
      </c>
      <c r="E995" s="125">
        <f>Lista!D994</f>
        <v>0</v>
      </c>
      <c r="F995" s="125">
        <f>Lista!E994</f>
        <v>0</v>
      </c>
      <c r="G995" s="125">
        <f>Lista!F994</f>
        <v>0</v>
      </c>
      <c r="H995" s="125">
        <f>Lista!G994</f>
        <v>0</v>
      </c>
      <c r="I995" s="125">
        <f>Lista!H994</f>
        <v>0</v>
      </c>
      <c r="J995" s="125">
        <f>Lista!I994</f>
        <v>0</v>
      </c>
      <c r="K995" s="125">
        <f>Lista!J994</f>
        <v>0</v>
      </c>
      <c r="L995" s="125">
        <f>Lista!K994</f>
        <v>0</v>
      </c>
      <c r="M995" s="125">
        <f>Lista!L994</f>
        <v>0</v>
      </c>
      <c r="N995" s="125">
        <f>Lista!M994</f>
        <v>0</v>
      </c>
      <c r="O995" s="125">
        <f>Lista!N994</f>
        <v>0</v>
      </c>
      <c r="P995" s="125">
        <f>Lista!O994</f>
        <v>0</v>
      </c>
      <c r="Q995" s="125">
        <f>Lista!P994</f>
        <v>0</v>
      </c>
      <c r="R995" s="125">
        <f>Lista!Q994</f>
        <v>0</v>
      </c>
      <c r="S995" s="125">
        <f>Lista!R994</f>
        <v>0</v>
      </c>
      <c r="T995" s="81"/>
      <c r="U995" s="81"/>
      <c r="V995" s="81"/>
      <c r="W995" s="81"/>
      <c r="X995" s="81"/>
      <c r="Y995" s="81"/>
      <c r="Z995" s="81"/>
      <c r="AA995" s="81"/>
      <c r="AB995" s="81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  <c r="BS995" s="81"/>
      <c r="BT995" s="81"/>
      <c r="BU995" s="81"/>
      <c r="BV995" s="81"/>
      <c r="BW995" s="81"/>
      <c r="BX995" s="81"/>
      <c r="BY995" s="81"/>
      <c r="BZ995" s="81"/>
      <c r="CA995" s="81"/>
      <c r="CB995" s="81"/>
      <c r="CC995" s="81"/>
      <c r="CD995" s="81"/>
      <c r="CE995" s="81"/>
      <c r="CF995" s="81"/>
      <c r="CG995" s="81"/>
      <c r="CH995" s="81"/>
      <c r="CI995" s="81"/>
      <c r="CJ995" s="81"/>
      <c r="CK995" s="81"/>
      <c r="CL995" s="81"/>
      <c r="CM995" s="81"/>
      <c r="CN995" s="81"/>
      <c r="CO995" s="81"/>
      <c r="CP995" s="81"/>
      <c r="CQ995" s="81"/>
      <c r="CR995" s="81"/>
      <c r="CS995" s="81"/>
      <c r="CT995" s="81"/>
      <c r="CU995" s="81"/>
      <c r="CV995" s="81"/>
      <c r="CW995" s="81"/>
      <c r="CX995" s="81"/>
      <c r="CY995" s="81"/>
      <c r="CZ995" s="81"/>
      <c r="DA995" s="81"/>
      <c r="DB995" s="81"/>
      <c r="DC995" s="81"/>
      <c r="DD995" s="81"/>
      <c r="DE995" s="81"/>
      <c r="DF995" s="81"/>
      <c r="DG995" s="81"/>
      <c r="DH995" s="81"/>
      <c r="DI995" s="81"/>
      <c r="DJ995" s="81"/>
      <c r="DK995" s="81"/>
      <c r="DL995" s="81"/>
      <c r="DM995" s="81"/>
      <c r="DN995" s="81"/>
      <c r="DO995" s="81"/>
      <c r="DP995" s="81"/>
      <c r="DQ995" s="81"/>
      <c r="DR995" s="81"/>
      <c r="DS995" s="81"/>
      <c r="DT995" s="81"/>
      <c r="DU995" s="81"/>
      <c r="DV995" s="81"/>
      <c r="DW995" s="121"/>
    </row>
    <row r="996" spans="1:127" x14ac:dyDescent="0.25">
      <c r="A996" s="2">
        <f>COUNTIF($D$2:D996,'Reporte de Nomina'!$E$2)</f>
        <v>0</v>
      </c>
      <c r="B996" s="125">
        <f>Lista!A995</f>
        <v>0</v>
      </c>
      <c r="C996" s="125">
        <f>Lista!B995</f>
        <v>0</v>
      </c>
      <c r="D996" s="125">
        <f>Lista!C995</f>
        <v>0</v>
      </c>
      <c r="E996" s="125">
        <f>Lista!D995</f>
        <v>0</v>
      </c>
      <c r="F996" s="125">
        <f>Lista!E995</f>
        <v>0</v>
      </c>
      <c r="G996" s="125">
        <f>Lista!F995</f>
        <v>0</v>
      </c>
      <c r="H996" s="125">
        <f>Lista!G995</f>
        <v>0</v>
      </c>
      <c r="I996" s="125">
        <f>Lista!H995</f>
        <v>0</v>
      </c>
      <c r="J996" s="125">
        <f>Lista!I995</f>
        <v>0</v>
      </c>
      <c r="K996" s="125">
        <f>Lista!J995</f>
        <v>0</v>
      </c>
      <c r="L996" s="125">
        <f>Lista!K995</f>
        <v>0</v>
      </c>
      <c r="M996" s="125">
        <f>Lista!L995</f>
        <v>0</v>
      </c>
      <c r="N996" s="125">
        <f>Lista!M995</f>
        <v>0</v>
      </c>
      <c r="O996" s="125">
        <f>Lista!N995</f>
        <v>0</v>
      </c>
      <c r="P996" s="125">
        <f>Lista!O995</f>
        <v>0</v>
      </c>
      <c r="Q996" s="125">
        <f>Lista!P995</f>
        <v>0</v>
      </c>
      <c r="R996" s="125">
        <f>Lista!Q995</f>
        <v>0</v>
      </c>
      <c r="S996" s="125">
        <f>Lista!R995</f>
        <v>0</v>
      </c>
      <c r="T996" s="81"/>
      <c r="U996" s="81"/>
      <c r="V996" s="81"/>
      <c r="W996" s="81"/>
      <c r="X996" s="81"/>
      <c r="Y996" s="81"/>
      <c r="Z996" s="81"/>
      <c r="AA996" s="81"/>
      <c r="AB996" s="81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  <c r="BS996" s="81"/>
      <c r="BT996" s="81"/>
      <c r="BU996" s="81"/>
      <c r="BV996" s="81"/>
      <c r="BW996" s="81"/>
      <c r="BX996" s="81"/>
      <c r="BY996" s="81"/>
      <c r="BZ996" s="81"/>
      <c r="CA996" s="81"/>
      <c r="CB996" s="81"/>
      <c r="CC996" s="81"/>
      <c r="CD996" s="81"/>
      <c r="CE996" s="81"/>
      <c r="CF996" s="81"/>
      <c r="CG996" s="81"/>
      <c r="CH996" s="81"/>
      <c r="CI996" s="81"/>
      <c r="CJ996" s="81"/>
      <c r="CK996" s="81"/>
      <c r="CL996" s="81"/>
      <c r="CM996" s="81"/>
      <c r="CN996" s="81"/>
      <c r="CO996" s="81"/>
      <c r="CP996" s="81"/>
      <c r="CQ996" s="81"/>
      <c r="CR996" s="81"/>
      <c r="CS996" s="81"/>
      <c r="CT996" s="81"/>
      <c r="CU996" s="81"/>
      <c r="CV996" s="81"/>
      <c r="CW996" s="81"/>
      <c r="CX996" s="81"/>
      <c r="CY996" s="81"/>
      <c r="CZ996" s="81"/>
      <c r="DA996" s="81"/>
      <c r="DB996" s="81"/>
      <c r="DC996" s="81"/>
      <c r="DD996" s="81"/>
      <c r="DE996" s="81"/>
      <c r="DF996" s="81"/>
      <c r="DG996" s="81"/>
      <c r="DH996" s="81"/>
      <c r="DI996" s="81"/>
      <c r="DJ996" s="81"/>
      <c r="DK996" s="81"/>
      <c r="DL996" s="81"/>
      <c r="DM996" s="81"/>
      <c r="DN996" s="81"/>
      <c r="DO996" s="81"/>
      <c r="DP996" s="81"/>
      <c r="DQ996" s="81"/>
      <c r="DR996" s="81"/>
      <c r="DS996" s="81"/>
      <c r="DT996" s="81"/>
      <c r="DU996" s="81"/>
      <c r="DV996" s="81"/>
      <c r="DW996" s="121"/>
    </row>
    <row r="997" spans="1:127" x14ac:dyDescent="0.25">
      <c r="A997" s="2">
        <f>COUNTIF($D$2:D997,'Reporte de Nomina'!$E$2)</f>
        <v>0</v>
      </c>
      <c r="B997" s="125">
        <f>Lista!A996</f>
        <v>0</v>
      </c>
      <c r="C997" s="125">
        <f>Lista!B996</f>
        <v>0</v>
      </c>
      <c r="D997" s="125">
        <f>Lista!C996</f>
        <v>0</v>
      </c>
      <c r="E997" s="125">
        <f>Lista!D996</f>
        <v>0</v>
      </c>
      <c r="F997" s="125">
        <f>Lista!E996</f>
        <v>0</v>
      </c>
      <c r="G997" s="125">
        <f>Lista!F996</f>
        <v>0</v>
      </c>
      <c r="H997" s="125">
        <f>Lista!G996</f>
        <v>0</v>
      </c>
      <c r="I997" s="125">
        <f>Lista!H996</f>
        <v>0</v>
      </c>
      <c r="J997" s="125">
        <f>Lista!I996</f>
        <v>0</v>
      </c>
      <c r="K997" s="125">
        <f>Lista!J996</f>
        <v>0</v>
      </c>
      <c r="L997" s="125">
        <f>Lista!K996</f>
        <v>0</v>
      </c>
      <c r="M997" s="125">
        <f>Lista!L996</f>
        <v>0</v>
      </c>
      <c r="N997" s="125">
        <f>Lista!M996</f>
        <v>0</v>
      </c>
      <c r="O997" s="125">
        <f>Lista!N996</f>
        <v>0</v>
      </c>
      <c r="P997" s="125">
        <f>Lista!O996</f>
        <v>0</v>
      </c>
      <c r="Q997" s="125">
        <f>Lista!P996</f>
        <v>0</v>
      </c>
      <c r="R997" s="125">
        <f>Lista!Q996</f>
        <v>0</v>
      </c>
      <c r="S997" s="125">
        <f>Lista!R996</f>
        <v>0</v>
      </c>
      <c r="T997" s="81"/>
      <c r="U997" s="81"/>
      <c r="V997" s="81"/>
      <c r="W997" s="81"/>
      <c r="X997" s="81"/>
      <c r="Y997" s="81"/>
      <c r="Z997" s="81"/>
      <c r="AA997" s="81"/>
      <c r="AB997" s="81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  <c r="BS997" s="81"/>
      <c r="BT997" s="81"/>
      <c r="BU997" s="81"/>
      <c r="BV997" s="81"/>
      <c r="BW997" s="81"/>
      <c r="BX997" s="81"/>
      <c r="BY997" s="81"/>
      <c r="BZ997" s="81"/>
      <c r="CA997" s="81"/>
      <c r="CB997" s="81"/>
      <c r="CC997" s="81"/>
      <c r="CD997" s="81"/>
      <c r="CE997" s="81"/>
      <c r="CF997" s="81"/>
      <c r="CG997" s="81"/>
      <c r="CH997" s="81"/>
      <c r="CI997" s="81"/>
      <c r="CJ997" s="81"/>
      <c r="CK997" s="81"/>
      <c r="CL997" s="81"/>
      <c r="CM997" s="81"/>
      <c r="CN997" s="81"/>
      <c r="CO997" s="81"/>
      <c r="CP997" s="81"/>
      <c r="CQ997" s="81"/>
      <c r="CR997" s="81"/>
      <c r="CS997" s="81"/>
      <c r="CT997" s="81"/>
      <c r="CU997" s="81"/>
      <c r="CV997" s="81"/>
      <c r="CW997" s="81"/>
      <c r="CX997" s="81"/>
      <c r="CY997" s="81"/>
      <c r="CZ997" s="81"/>
      <c r="DA997" s="81"/>
      <c r="DB997" s="81"/>
      <c r="DC997" s="81"/>
      <c r="DD997" s="81"/>
      <c r="DE997" s="81"/>
      <c r="DF997" s="81"/>
      <c r="DG997" s="81"/>
      <c r="DH997" s="81"/>
      <c r="DI997" s="81"/>
      <c r="DJ997" s="81"/>
      <c r="DK997" s="81"/>
      <c r="DL997" s="81"/>
      <c r="DM997" s="81"/>
      <c r="DN997" s="81"/>
      <c r="DO997" s="81"/>
      <c r="DP997" s="81"/>
      <c r="DQ997" s="81"/>
      <c r="DR997" s="81"/>
      <c r="DS997" s="81"/>
      <c r="DT997" s="81"/>
      <c r="DU997" s="81"/>
      <c r="DV997" s="81"/>
      <c r="DW997" s="121"/>
    </row>
    <row r="998" spans="1:127" x14ac:dyDescent="0.25">
      <c r="A998" s="2">
        <f>COUNTIF($D$2:D998,'Reporte de Nomina'!$E$2)</f>
        <v>0</v>
      </c>
      <c r="B998" s="125">
        <f>Lista!A997</f>
        <v>0</v>
      </c>
      <c r="C998" s="125">
        <f>Lista!B997</f>
        <v>0</v>
      </c>
      <c r="D998" s="125">
        <f>Lista!C997</f>
        <v>0</v>
      </c>
      <c r="E998" s="125">
        <f>Lista!D997</f>
        <v>0</v>
      </c>
      <c r="F998" s="125">
        <f>Lista!E997</f>
        <v>0</v>
      </c>
      <c r="G998" s="125">
        <f>Lista!F997</f>
        <v>0</v>
      </c>
      <c r="H998" s="125">
        <f>Lista!G997</f>
        <v>0</v>
      </c>
      <c r="I998" s="125">
        <f>Lista!H997</f>
        <v>0</v>
      </c>
      <c r="J998" s="125">
        <f>Lista!I997</f>
        <v>0</v>
      </c>
      <c r="K998" s="125">
        <f>Lista!J997</f>
        <v>0</v>
      </c>
      <c r="L998" s="125">
        <f>Lista!K997</f>
        <v>0</v>
      </c>
      <c r="M998" s="125">
        <f>Lista!L997</f>
        <v>0</v>
      </c>
      <c r="N998" s="125">
        <f>Lista!M997</f>
        <v>0</v>
      </c>
      <c r="O998" s="125">
        <f>Lista!N997</f>
        <v>0</v>
      </c>
      <c r="P998" s="125">
        <f>Lista!O997</f>
        <v>0</v>
      </c>
      <c r="Q998" s="125">
        <f>Lista!P997</f>
        <v>0</v>
      </c>
      <c r="R998" s="125">
        <f>Lista!Q997</f>
        <v>0</v>
      </c>
      <c r="S998" s="125">
        <f>Lista!R997</f>
        <v>0</v>
      </c>
      <c r="T998" s="81"/>
      <c r="U998" s="81"/>
      <c r="V998" s="81"/>
      <c r="W998" s="81"/>
      <c r="X998" s="81"/>
      <c r="Y998" s="81"/>
      <c r="Z998" s="81"/>
      <c r="AA998" s="81"/>
      <c r="AB998" s="81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  <c r="BS998" s="81"/>
      <c r="BT998" s="81"/>
      <c r="BU998" s="81"/>
      <c r="BV998" s="81"/>
      <c r="BW998" s="81"/>
      <c r="BX998" s="81"/>
      <c r="BY998" s="81"/>
      <c r="BZ998" s="81"/>
      <c r="CA998" s="81"/>
      <c r="CB998" s="81"/>
      <c r="CC998" s="81"/>
      <c r="CD998" s="81"/>
      <c r="CE998" s="81"/>
      <c r="CF998" s="81"/>
      <c r="CG998" s="81"/>
      <c r="CH998" s="81"/>
      <c r="CI998" s="81"/>
      <c r="CJ998" s="81"/>
      <c r="CK998" s="81"/>
      <c r="CL998" s="81"/>
      <c r="CM998" s="81"/>
      <c r="CN998" s="81"/>
      <c r="CO998" s="81"/>
      <c r="CP998" s="81"/>
      <c r="CQ998" s="81"/>
      <c r="CR998" s="81"/>
      <c r="CS998" s="81"/>
      <c r="CT998" s="81"/>
      <c r="CU998" s="81"/>
      <c r="CV998" s="81"/>
      <c r="CW998" s="81"/>
      <c r="CX998" s="81"/>
      <c r="CY998" s="81"/>
      <c r="CZ998" s="81"/>
      <c r="DA998" s="81"/>
      <c r="DB998" s="81"/>
      <c r="DC998" s="81"/>
      <c r="DD998" s="81"/>
      <c r="DE998" s="81"/>
      <c r="DF998" s="81"/>
      <c r="DG998" s="81"/>
      <c r="DH998" s="81"/>
      <c r="DI998" s="81"/>
      <c r="DJ998" s="81"/>
      <c r="DK998" s="81"/>
      <c r="DL998" s="81"/>
      <c r="DM998" s="81"/>
      <c r="DN998" s="81"/>
      <c r="DO998" s="81"/>
      <c r="DP998" s="81"/>
      <c r="DQ998" s="81"/>
      <c r="DR998" s="81"/>
      <c r="DS998" s="81"/>
      <c r="DT998" s="81"/>
      <c r="DU998" s="81"/>
      <c r="DV998" s="81"/>
      <c r="DW998" s="121"/>
    </row>
    <row r="999" spans="1:127" x14ac:dyDescent="0.25">
      <c r="A999" s="2">
        <f>COUNTIF($D$2:D999,'Reporte de Nomina'!$E$2)</f>
        <v>0</v>
      </c>
      <c r="B999" s="125">
        <f>Lista!A998</f>
        <v>0</v>
      </c>
      <c r="C999" s="125">
        <f>Lista!B998</f>
        <v>0</v>
      </c>
      <c r="D999" s="125">
        <f>Lista!C998</f>
        <v>0</v>
      </c>
      <c r="E999" s="125">
        <f>Lista!D998</f>
        <v>0</v>
      </c>
      <c r="F999" s="125">
        <f>Lista!E998</f>
        <v>0</v>
      </c>
      <c r="G999" s="125">
        <f>Lista!F998</f>
        <v>0</v>
      </c>
      <c r="H999" s="125">
        <f>Lista!G998</f>
        <v>0</v>
      </c>
      <c r="I999" s="125">
        <f>Lista!H998</f>
        <v>0</v>
      </c>
      <c r="J999" s="125">
        <f>Lista!I998</f>
        <v>0</v>
      </c>
      <c r="K999" s="125">
        <f>Lista!J998</f>
        <v>0</v>
      </c>
      <c r="L999" s="125">
        <f>Lista!K998</f>
        <v>0</v>
      </c>
      <c r="M999" s="125">
        <f>Lista!L998</f>
        <v>0</v>
      </c>
      <c r="N999" s="125">
        <f>Lista!M998</f>
        <v>0</v>
      </c>
      <c r="O999" s="125">
        <f>Lista!N998</f>
        <v>0</v>
      </c>
      <c r="P999" s="125">
        <f>Lista!O998</f>
        <v>0</v>
      </c>
      <c r="Q999" s="125">
        <f>Lista!P998</f>
        <v>0</v>
      </c>
      <c r="R999" s="125">
        <f>Lista!Q998</f>
        <v>0</v>
      </c>
      <c r="S999" s="125">
        <f>Lista!R998</f>
        <v>0</v>
      </c>
      <c r="T999" s="81"/>
      <c r="U999" s="81"/>
      <c r="V999" s="81"/>
      <c r="W999" s="81"/>
      <c r="X999" s="81"/>
      <c r="Y999" s="81"/>
      <c r="Z999" s="81"/>
      <c r="AA999" s="81"/>
      <c r="AB999" s="81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  <c r="BS999" s="81"/>
      <c r="BT999" s="81"/>
      <c r="BU999" s="81"/>
      <c r="BV999" s="81"/>
      <c r="BW999" s="81"/>
      <c r="BX999" s="81"/>
      <c r="BY999" s="81"/>
      <c r="BZ999" s="81"/>
      <c r="CA999" s="81"/>
      <c r="CB999" s="81"/>
      <c r="CC999" s="81"/>
      <c r="CD999" s="81"/>
      <c r="CE999" s="81"/>
      <c r="CF999" s="81"/>
      <c r="CG999" s="81"/>
      <c r="CH999" s="81"/>
      <c r="CI999" s="81"/>
      <c r="CJ999" s="81"/>
      <c r="CK999" s="81"/>
      <c r="CL999" s="81"/>
      <c r="CM999" s="81"/>
      <c r="CN999" s="81"/>
      <c r="CO999" s="81"/>
      <c r="CP999" s="81"/>
      <c r="CQ999" s="81"/>
      <c r="CR999" s="81"/>
      <c r="CS999" s="81"/>
      <c r="CT999" s="81"/>
      <c r="CU999" s="81"/>
      <c r="CV999" s="81"/>
      <c r="CW999" s="81"/>
      <c r="CX999" s="81"/>
      <c r="CY999" s="81"/>
      <c r="CZ999" s="81"/>
      <c r="DA999" s="81"/>
      <c r="DB999" s="81"/>
      <c r="DC999" s="81"/>
      <c r="DD999" s="81"/>
      <c r="DE999" s="81"/>
      <c r="DF999" s="81"/>
      <c r="DG999" s="81"/>
      <c r="DH999" s="81"/>
      <c r="DI999" s="81"/>
      <c r="DJ999" s="81"/>
      <c r="DK999" s="81"/>
      <c r="DL999" s="81"/>
      <c r="DM999" s="81"/>
      <c r="DN999" s="81"/>
      <c r="DO999" s="81"/>
      <c r="DP999" s="81"/>
      <c r="DQ999" s="81"/>
      <c r="DR999" s="81"/>
      <c r="DS999" s="81"/>
      <c r="DT999" s="81"/>
      <c r="DU999" s="81"/>
      <c r="DV999" s="81"/>
      <c r="DW999" s="121"/>
    </row>
    <row r="1000" spans="1:127" x14ac:dyDescent="0.25">
      <c r="A1000" s="2">
        <f>COUNTIF($D$2:D1000,'Reporte de Nomina'!$E$2)</f>
        <v>0</v>
      </c>
      <c r="B1000" s="125">
        <f>Lista!A999</f>
        <v>0</v>
      </c>
      <c r="C1000" s="125">
        <f>Lista!B999</f>
        <v>0</v>
      </c>
      <c r="D1000" s="125">
        <f>Lista!C999</f>
        <v>0</v>
      </c>
      <c r="E1000" s="125">
        <f>Lista!D999</f>
        <v>0</v>
      </c>
      <c r="F1000" s="125">
        <f>Lista!E999</f>
        <v>0</v>
      </c>
      <c r="G1000" s="125">
        <f>Lista!F999</f>
        <v>0</v>
      </c>
      <c r="H1000" s="125">
        <f>Lista!G999</f>
        <v>0</v>
      </c>
      <c r="I1000" s="125">
        <f>Lista!H999</f>
        <v>0</v>
      </c>
      <c r="J1000" s="125">
        <f>Lista!I999</f>
        <v>0</v>
      </c>
      <c r="K1000" s="125">
        <f>Lista!J999</f>
        <v>0</v>
      </c>
      <c r="L1000" s="125">
        <f>Lista!K999</f>
        <v>0</v>
      </c>
      <c r="M1000" s="125">
        <f>Lista!L999</f>
        <v>0</v>
      </c>
      <c r="N1000" s="125">
        <f>Lista!M999</f>
        <v>0</v>
      </c>
      <c r="O1000" s="125">
        <f>Lista!N999</f>
        <v>0</v>
      </c>
      <c r="P1000" s="125">
        <f>Lista!O999</f>
        <v>0</v>
      </c>
      <c r="Q1000" s="125">
        <f>Lista!P999</f>
        <v>0</v>
      </c>
      <c r="R1000" s="125">
        <f>Lista!Q999</f>
        <v>0</v>
      </c>
      <c r="S1000" s="125">
        <f>Lista!R999</f>
        <v>0</v>
      </c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  <c r="AH1000" s="122"/>
      <c r="AI1000" s="122"/>
      <c r="AJ1000" s="122"/>
      <c r="AK1000" s="122"/>
      <c r="AL1000" s="122"/>
      <c r="AM1000" s="122"/>
      <c r="AN1000" s="122"/>
      <c r="AO1000" s="122"/>
      <c r="AP1000" s="122"/>
      <c r="AQ1000" s="122"/>
      <c r="AR1000" s="122"/>
      <c r="AS1000" s="122"/>
      <c r="AT1000" s="122"/>
      <c r="AU1000" s="122"/>
      <c r="AV1000" s="122"/>
      <c r="AW1000" s="122"/>
      <c r="AX1000" s="122"/>
      <c r="AY1000" s="122"/>
      <c r="AZ1000" s="122"/>
      <c r="BA1000" s="122"/>
      <c r="BB1000" s="122"/>
      <c r="BC1000" s="122"/>
      <c r="BD1000" s="122"/>
      <c r="BE1000" s="122"/>
      <c r="BF1000" s="122"/>
      <c r="BG1000" s="122"/>
      <c r="BH1000" s="122"/>
      <c r="BI1000" s="122"/>
      <c r="BJ1000" s="122"/>
      <c r="BK1000" s="122"/>
      <c r="BL1000" s="122"/>
      <c r="BM1000" s="122"/>
      <c r="BN1000" s="122"/>
      <c r="BO1000" s="122"/>
      <c r="BP1000" s="122"/>
      <c r="BQ1000" s="122"/>
      <c r="BR1000" s="122"/>
      <c r="BS1000" s="122"/>
      <c r="BT1000" s="122"/>
      <c r="BU1000" s="122"/>
      <c r="BV1000" s="122"/>
      <c r="BW1000" s="122"/>
      <c r="BX1000" s="122"/>
      <c r="BY1000" s="122"/>
      <c r="BZ1000" s="122"/>
      <c r="CA1000" s="122"/>
      <c r="CB1000" s="122"/>
      <c r="CC1000" s="122"/>
      <c r="CD1000" s="122"/>
      <c r="CE1000" s="122"/>
      <c r="CF1000" s="122"/>
      <c r="CG1000" s="122"/>
      <c r="CH1000" s="122"/>
      <c r="CI1000" s="122"/>
      <c r="CJ1000" s="122"/>
      <c r="CK1000" s="122"/>
      <c r="CL1000" s="122"/>
      <c r="CM1000" s="122"/>
      <c r="CN1000" s="122"/>
      <c r="CO1000" s="122"/>
      <c r="CP1000" s="122"/>
      <c r="CQ1000" s="122"/>
      <c r="CR1000" s="122"/>
      <c r="CS1000" s="122"/>
      <c r="CT1000" s="122"/>
      <c r="CU1000" s="122"/>
      <c r="CV1000" s="122"/>
      <c r="CW1000" s="122"/>
      <c r="CX1000" s="122"/>
      <c r="CY1000" s="122"/>
      <c r="CZ1000" s="122"/>
      <c r="DA1000" s="122"/>
      <c r="DB1000" s="122"/>
      <c r="DC1000" s="122"/>
      <c r="DD1000" s="122"/>
      <c r="DE1000" s="122"/>
      <c r="DF1000" s="122"/>
      <c r="DG1000" s="122"/>
      <c r="DH1000" s="122"/>
      <c r="DI1000" s="122"/>
      <c r="DJ1000" s="122"/>
      <c r="DK1000" s="122"/>
      <c r="DL1000" s="122"/>
      <c r="DM1000" s="122"/>
      <c r="DN1000" s="122"/>
      <c r="DO1000" s="122"/>
      <c r="DP1000" s="122"/>
      <c r="DQ1000" s="122"/>
      <c r="DR1000" s="122"/>
      <c r="DS1000" s="122"/>
      <c r="DT1000" s="122"/>
      <c r="DU1000" s="122"/>
      <c r="DV1000" s="122"/>
      <c r="DW1000" s="1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A623"/>
  <sheetViews>
    <sheetView topLeftCell="A10" zoomScaleNormal="100" workbookViewId="0">
      <selection activeCell="B4" sqref="B4"/>
    </sheetView>
  </sheetViews>
  <sheetFormatPr baseColWidth="10" defaultRowHeight="15" x14ac:dyDescent="0.25"/>
  <cols>
    <col min="1" max="1" width="3.42578125" style="2" customWidth="1"/>
    <col min="2" max="4" width="11.42578125" style="2"/>
    <col min="5" max="5" width="28.42578125" style="2" customWidth="1"/>
    <col min="6" max="16384" width="11.42578125" style="2"/>
  </cols>
  <sheetData>
    <row r="1" spans="1:27" ht="15.75" thickBot="1" x14ac:dyDescent="0.3">
      <c r="A1" s="100"/>
      <c r="B1" s="101">
        <v>2</v>
      </c>
      <c r="C1" s="101">
        <v>3</v>
      </c>
      <c r="D1" s="101">
        <v>4</v>
      </c>
      <c r="E1" s="101">
        <v>5</v>
      </c>
      <c r="F1" s="101">
        <v>6</v>
      </c>
      <c r="G1" s="101">
        <v>7</v>
      </c>
      <c r="H1" s="101">
        <v>8</v>
      </c>
      <c r="I1" s="101">
        <v>9</v>
      </c>
      <c r="J1" s="101">
        <v>10</v>
      </c>
      <c r="K1" s="101">
        <v>11</v>
      </c>
      <c r="L1" s="101">
        <v>12</v>
      </c>
      <c r="M1" s="101">
        <v>13</v>
      </c>
      <c r="N1" s="101">
        <v>14</v>
      </c>
      <c r="O1" s="100">
        <v>15</v>
      </c>
      <c r="P1" s="100">
        <v>16</v>
      </c>
      <c r="Q1" s="100">
        <v>17</v>
      </c>
      <c r="R1" s="100">
        <v>18</v>
      </c>
      <c r="S1" s="100">
        <v>19</v>
      </c>
      <c r="T1" s="100">
        <v>20</v>
      </c>
      <c r="U1" s="100">
        <v>21</v>
      </c>
      <c r="V1" s="100">
        <v>22</v>
      </c>
      <c r="W1" s="100">
        <v>23</v>
      </c>
      <c r="X1" s="100">
        <v>24</v>
      </c>
      <c r="Y1" s="100">
        <v>25</v>
      </c>
      <c r="Z1" s="100">
        <v>26</v>
      </c>
      <c r="AA1" s="100">
        <v>27</v>
      </c>
    </row>
    <row r="2" spans="1:27" ht="15.75" thickBot="1" x14ac:dyDescent="0.3">
      <c r="B2" s="251" t="s">
        <v>206</v>
      </c>
      <c r="C2" s="252"/>
      <c r="D2" s="252"/>
      <c r="E2" s="114" t="str">
        <f>Empleados!R54</f>
        <v>Lara Gonzales Jose Candelario</v>
      </c>
      <c r="F2" s="114">
        <f>VLOOKUP($E2,[1]Datos!$S$54:$T$74,2,0)</f>
        <v>38519</v>
      </c>
      <c r="G2" s="253" t="s">
        <v>202</v>
      </c>
      <c r="H2" s="253"/>
      <c r="I2" s="115"/>
      <c r="J2" s="115"/>
      <c r="K2" s="115"/>
      <c r="L2" s="115"/>
      <c r="M2" s="115"/>
      <c r="N2" s="116"/>
    </row>
    <row r="3" spans="1:27" ht="23.25" thickBot="1" x14ac:dyDescent="0.3">
      <c r="B3" s="107" t="s">
        <v>184</v>
      </c>
      <c r="C3" s="102" t="s">
        <v>186</v>
      </c>
      <c r="D3" s="102" t="s">
        <v>200</v>
      </c>
      <c r="E3" s="102" t="s">
        <v>185</v>
      </c>
      <c r="F3" s="103" t="s">
        <v>187</v>
      </c>
      <c r="G3" s="103" t="s">
        <v>188</v>
      </c>
      <c r="H3" s="102" t="s">
        <v>190</v>
      </c>
      <c r="I3" s="102" t="s">
        <v>191</v>
      </c>
      <c r="J3" s="102" t="s">
        <v>192</v>
      </c>
      <c r="K3" s="102" t="s">
        <v>203</v>
      </c>
      <c r="L3" s="102" t="s">
        <v>204</v>
      </c>
      <c r="M3" s="104" t="s">
        <v>196</v>
      </c>
      <c r="N3" s="108" t="s">
        <v>205</v>
      </c>
    </row>
    <row r="4" spans="1:27" ht="9" customHeight="1" x14ac:dyDescent="0.25">
      <c r="A4" s="105">
        <v>1</v>
      </c>
      <c r="B4" s="133" t="str">
        <f>IFERROR(VLOOKUP($A4,General!$A$3:$S$1000,'Reporte de Nomina'!B$1,FALSE),"")</f>
        <v/>
      </c>
      <c r="C4" s="134" t="str">
        <f>IFERROR(VLOOKUP($A4,General!$A$3:$S$1000,'Reporte de Nomina'!C$1,FALSE),"")</f>
        <v/>
      </c>
      <c r="D4" s="134" t="str">
        <f>IFERROR(VLOOKUP($A4,General!$A$3:$S$1000,'Reporte de Nomina'!D$1,FALSE),"")</f>
        <v/>
      </c>
      <c r="E4" s="134" t="str">
        <f>IFERROR(VLOOKUP($A4,General!$A$3:$S$1000,'Reporte de Nomina'!E$1,FALSE),"")</f>
        <v/>
      </c>
      <c r="F4" s="134" t="str">
        <f>IFERROR(VLOOKUP($A4,General!$A$3:$S$1000,'Reporte de Nomina'!F$1,FALSE),"")</f>
        <v/>
      </c>
      <c r="G4" s="134" t="str">
        <f>IFERROR(VLOOKUP($A4,General!$A$3:$S$1000,'Reporte de Nomina'!G$1,FALSE),"")</f>
        <v/>
      </c>
      <c r="H4" s="134" t="str">
        <f>IFERROR(VLOOKUP($A4,General!$A$3:$S$1000,'Reporte de Nomina'!H$1,FALSE),"")</f>
        <v/>
      </c>
      <c r="I4" s="134" t="str">
        <f>IFERROR(VLOOKUP($A4,General!$A$3:$S$1000,'Reporte de Nomina'!I$1,FALSE),"")</f>
        <v/>
      </c>
      <c r="J4" s="134" t="str">
        <f>IFERROR(VLOOKUP($A4,General!$A$3:$S$1000,'Reporte de Nomina'!J$1,FALSE),"")</f>
        <v/>
      </c>
      <c r="K4" s="134" t="str">
        <f>IFERROR(VLOOKUP($A4,General!$A$3:$S$1000,'Reporte de Nomina'!K$1,FALSE),"")</f>
        <v/>
      </c>
      <c r="L4" s="134" t="str">
        <f>IFERROR(VLOOKUP($A4,General!$A$3:$S$1000,'Reporte de Nomina'!L$1,FALSE),"")</f>
        <v/>
      </c>
      <c r="M4" s="134" t="str">
        <f>IFERROR(VLOOKUP($A4,General!$A$3:$S$1000,'Reporte de Nomina'!M$1,FALSE),"")</f>
        <v/>
      </c>
      <c r="N4" s="135" t="str">
        <f>IFERROR(VLOOKUP($A4,General!$A$3:$S$1000,'Reporte de Nomina'!N$1,FALSE),"")</f>
        <v/>
      </c>
    </row>
    <row r="5" spans="1:27" ht="9" customHeight="1" x14ac:dyDescent="0.25">
      <c r="A5" s="105">
        <v>2</v>
      </c>
      <c r="B5" s="136" t="str">
        <f>IFERROR(VLOOKUP($A5,General!$A$3:$S$1000,'Reporte de Nomina'!B$1,FALSE),"")</f>
        <v/>
      </c>
      <c r="C5" s="106" t="str">
        <f>IFERROR(VLOOKUP($A5,General!$A$3:$S$1000,'Reporte de Nomina'!C$1,FALSE),"")</f>
        <v/>
      </c>
      <c r="D5" s="106" t="str">
        <f>IFERROR(VLOOKUP($A5,General!$A$3:$S$1000,'Reporte de Nomina'!D$1,FALSE),"")</f>
        <v/>
      </c>
      <c r="E5" s="106" t="str">
        <f>IFERROR(VLOOKUP($A5,General!$A$3:$S$1000,'Reporte de Nomina'!E$1,FALSE),"")</f>
        <v/>
      </c>
      <c r="F5" s="106" t="str">
        <f>IFERROR(VLOOKUP($A5,General!$A$3:$S$1000,'Reporte de Nomina'!F$1,FALSE),"")</f>
        <v/>
      </c>
      <c r="G5" s="106" t="str">
        <f>IFERROR(VLOOKUP($A5,General!$A$3:$S$1000,'Reporte de Nomina'!G$1,FALSE),"")</f>
        <v/>
      </c>
      <c r="H5" s="106" t="str">
        <f>IFERROR(VLOOKUP($A5,General!$A$3:$S$1000,'Reporte de Nomina'!H$1,FALSE),"")</f>
        <v/>
      </c>
      <c r="I5" s="106" t="str">
        <f>IFERROR(VLOOKUP($A5,General!$A$3:$S$1000,'Reporte de Nomina'!I$1,FALSE),"")</f>
        <v/>
      </c>
      <c r="J5" s="106" t="str">
        <f>IFERROR(VLOOKUP($A5,General!$A$3:$S$1000,'Reporte de Nomina'!J$1,FALSE),"")</f>
        <v/>
      </c>
      <c r="K5" s="106" t="str">
        <f>IFERROR(VLOOKUP($A5,General!$A$3:$S$1000,'Reporte de Nomina'!K$1,FALSE),"")</f>
        <v/>
      </c>
      <c r="L5" s="106" t="str">
        <f>IFERROR(VLOOKUP($A5,General!$A$3:$S$1000,'Reporte de Nomina'!L$1,FALSE),"")</f>
        <v/>
      </c>
      <c r="M5" s="106" t="str">
        <f>IFERROR(VLOOKUP($A5,General!$A$3:$S$1000,'Reporte de Nomina'!M$1,FALSE),"")</f>
        <v/>
      </c>
      <c r="N5" s="137" t="str">
        <f>IFERROR(VLOOKUP($A5,General!$A$3:$S$1000,'Reporte de Nomina'!N$1,FALSE),"")</f>
        <v/>
      </c>
    </row>
    <row r="6" spans="1:27" ht="9" customHeight="1" x14ac:dyDescent="0.25">
      <c r="A6" s="105">
        <v>3</v>
      </c>
      <c r="B6" s="136" t="str">
        <f>IFERROR(VLOOKUP($A6,General!$A$3:$S$1000,'Reporte de Nomina'!B$1,FALSE),"")</f>
        <v/>
      </c>
      <c r="C6" s="106" t="str">
        <f>IFERROR(VLOOKUP($A6,General!$A$3:$S$1000,'Reporte de Nomina'!C$1,FALSE),"")</f>
        <v/>
      </c>
      <c r="D6" s="106" t="str">
        <f>IFERROR(VLOOKUP($A6,General!$A$3:$S$1000,'Reporte de Nomina'!D$1,FALSE),"")</f>
        <v/>
      </c>
      <c r="E6" s="106" t="str">
        <f>IFERROR(VLOOKUP($A6,General!$A$3:$S$1000,'Reporte de Nomina'!E$1,FALSE),"")</f>
        <v/>
      </c>
      <c r="F6" s="106" t="str">
        <f>IFERROR(VLOOKUP($A6,General!$A$3:$S$1000,'Reporte de Nomina'!F$1,FALSE),"")</f>
        <v/>
      </c>
      <c r="G6" s="106" t="str">
        <f>IFERROR(VLOOKUP($A6,General!$A$3:$S$1000,'Reporte de Nomina'!G$1,FALSE),"")</f>
        <v/>
      </c>
      <c r="H6" s="106" t="str">
        <f>IFERROR(VLOOKUP($A6,General!$A$3:$S$1000,'Reporte de Nomina'!H$1,FALSE),"")</f>
        <v/>
      </c>
      <c r="I6" s="106" t="str">
        <f>IFERROR(VLOOKUP($A6,General!$A$3:$S$1000,'Reporte de Nomina'!I$1,FALSE),"")</f>
        <v/>
      </c>
      <c r="J6" s="106" t="str">
        <f>IFERROR(VLOOKUP($A6,General!$A$3:$S$1000,'Reporte de Nomina'!J$1,FALSE),"")</f>
        <v/>
      </c>
      <c r="K6" s="106" t="str">
        <f>IFERROR(VLOOKUP($A6,General!$A$3:$S$1000,'Reporte de Nomina'!K$1,FALSE),"")</f>
        <v/>
      </c>
      <c r="L6" s="106" t="str">
        <f>IFERROR(VLOOKUP($A6,General!$A$3:$S$1000,'Reporte de Nomina'!L$1,FALSE),"")</f>
        <v/>
      </c>
      <c r="M6" s="106" t="str">
        <f>IFERROR(VLOOKUP($A6,General!$A$3:$S$1000,'Reporte de Nomina'!M$1,FALSE),"")</f>
        <v/>
      </c>
      <c r="N6" s="137" t="str">
        <f>IFERROR(VLOOKUP($A6,General!$A$3:$S$1000,'Reporte de Nomina'!N$1,FALSE),"")</f>
        <v/>
      </c>
    </row>
    <row r="7" spans="1:27" ht="9" customHeight="1" x14ac:dyDescent="0.25">
      <c r="A7" s="105">
        <v>4</v>
      </c>
      <c r="B7" s="136" t="str">
        <f>IFERROR(VLOOKUP($A7,General!$A$3:$S$1000,'Reporte de Nomina'!B$1,FALSE),"")</f>
        <v/>
      </c>
      <c r="C7" s="106" t="str">
        <f>IFERROR(VLOOKUP($A7,General!$A$3:$S$1000,'Reporte de Nomina'!C$1,FALSE),"")</f>
        <v/>
      </c>
      <c r="D7" s="106" t="str">
        <f>IFERROR(VLOOKUP($A7,General!$A$3:$S$1000,'Reporte de Nomina'!D$1,FALSE),"")</f>
        <v/>
      </c>
      <c r="E7" s="106" t="str">
        <f>IFERROR(VLOOKUP($A7,General!$A$3:$S$1000,'Reporte de Nomina'!E$1,FALSE),"")</f>
        <v/>
      </c>
      <c r="F7" s="106" t="str">
        <f>IFERROR(VLOOKUP($A7,General!$A$3:$S$1000,'Reporte de Nomina'!F$1,FALSE),"")</f>
        <v/>
      </c>
      <c r="G7" s="106" t="str">
        <f>IFERROR(VLOOKUP($A7,General!$A$3:$S$1000,'Reporte de Nomina'!G$1,FALSE),"")</f>
        <v/>
      </c>
      <c r="H7" s="106" t="str">
        <f>IFERROR(VLOOKUP($A7,General!$A$3:$S$1000,'Reporte de Nomina'!H$1,FALSE),"")</f>
        <v/>
      </c>
      <c r="I7" s="106" t="str">
        <f>IFERROR(VLOOKUP($A7,General!$A$3:$S$1000,'Reporte de Nomina'!I$1,FALSE),"")</f>
        <v/>
      </c>
      <c r="J7" s="106" t="str">
        <f>IFERROR(VLOOKUP($A7,General!$A$3:$S$1000,'Reporte de Nomina'!J$1,FALSE),"")</f>
        <v/>
      </c>
      <c r="K7" s="106" t="str">
        <f>IFERROR(VLOOKUP($A7,General!$A$3:$S$1000,'Reporte de Nomina'!K$1,FALSE),"")</f>
        <v/>
      </c>
      <c r="L7" s="106" t="str">
        <f>IFERROR(VLOOKUP($A7,General!$A$3:$S$1000,'Reporte de Nomina'!L$1,FALSE),"")</f>
        <v/>
      </c>
      <c r="M7" s="106" t="str">
        <f>IFERROR(VLOOKUP($A7,General!$A$3:$S$1000,'Reporte de Nomina'!M$1,FALSE),"")</f>
        <v/>
      </c>
      <c r="N7" s="137" t="str">
        <f>IFERROR(VLOOKUP($A7,General!$A$3:$S$1000,'Reporte de Nomina'!N$1,FALSE),"")</f>
        <v/>
      </c>
    </row>
    <row r="8" spans="1:27" ht="9" customHeight="1" x14ac:dyDescent="0.25">
      <c r="A8" s="105">
        <v>5</v>
      </c>
      <c r="B8" s="136" t="str">
        <f>IFERROR(VLOOKUP($A8,General!$A$3:$S$1000,'Reporte de Nomina'!B$1,FALSE),"")</f>
        <v/>
      </c>
      <c r="C8" s="106" t="str">
        <f>IFERROR(VLOOKUP($A8,General!$A$3:$S$1000,'Reporte de Nomina'!C$1,FALSE),"")</f>
        <v/>
      </c>
      <c r="D8" s="106" t="str">
        <f>IFERROR(VLOOKUP($A8,General!$A$3:$S$1000,'Reporte de Nomina'!D$1,FALSE),"")</f>
        <v/>
      </c>
      <c r="E8" s="106" t="str">
        <f>IFERROR(VLOOKUP($A8,General!$A$3:$S$1000,'Reporte de Nomina'!E$1,FALSE),"")</f>
        <v/>
      </c>
      <c r="F8" s="106" t="str">
        <f>IFERROR(VLOOKUP($A8,General!$A$3:$S$1000,'Reporte de Nomina'!F$1,FALSE),"")</f>
        <v/>
      </c>
      <c r="G8" s="106" t="str">
        <f>IFERROR(VLOOKUP($A8,General!$A$3:$S$1000,'Reporte de Nomina'!G$1,FALSE),"")</f>
        <v/>
      </c>
      <c r="H8" s="106" t="str">
        <f>IFERROR(VLOOKUP($A8,General!$A$3:$S$1000,'Reporte de Nomina'!H$1,FALSE),"")</f>
        <v/>
      </c>
      <c r="I8" s="106" t="str">
        <f>IFERROR(VLOOKUP($A8,General!$A$3:$S$1000,'Reporte de Nomina'!I$1,FALSE),"")</f>
        <v/>
      </c>
      <c r="J8" s="106" t="str">
        <f>IFERROR(VLOOKUP($A8,General!$A$3:$S$1000,'Reporte de Nomina'!J$1,FALSE),"")</f>
        <v/>
      </c>
      <c r="K8" s="106" t="str">
        <f>IFERROR(VLOOKUP($A8,General!$A$3:$S$1000,'Reporte de Nomina'!K$1,FALSE),"")</f>
        <v/>
      </c>
      <c r="L8" s="106" t="str">
        <f>IFERROR(VLOOKUP($A8,General!$A$3:$S$1000,'Reporte de Nomina'!L$1,FALSE),"")</f>
        <v/>
      </c>
      <c r="M8" s="106" t="str">
        <f>IFERROR(VLOOKUP($A8,General!$A$3:$S$1000,'Reporte de Nomina'!M$1,FALSE),"")</f>
        <v/>
      </c>
      <c r="N8" s="137" t="str">
        <f>IFERROR(VLOOKUP($A8,General!$A$3:$S$1000,'Reporte de Nomina'!N$1,FALSE),"")</f>
        <v/>
      </c>
    </row>
    <row r="9" spans="1:27" ht="9" customHeight="1" x14ac:dyDescent="0.25">
      <c r="A9" s="105">
        <v>6</v>
      </c>
      <c r="B9" s="136" t="str">
        <f>IFERROR(VLOOKUP($A9,General!$A$3:$S$1000,'Reporte de Nomina'!B$1,FALSE),"")</f>
        <v/>
      </c>
      <c r="C9" s="106" t="str">
        <f>IFERROR(VLOOKUP($A9,General!$A$3:$S$1000,'Reporte de Nomina'!C$1,FALSE),"")</f>
        <v/>
      </c>
      <c r="D9" s="106" t="str">
        <f>IFERROR(VLOOKUP($A9,General!$A$3:$S$1000,'Reporte de Nomina'!D$1,FALSE),"")</f>
        <v/>
      </c>
      <c r="E9" s="106" t="str">
        <f>IFERROR(VLOOKUP($A9,General!$A$3:$S$1000,'Reporte de Nomina'!E$1,FALSE),"")</f>
        <v/>
      </c>
      <c r="F9" s="106" t="str">
        <f>IFERROR(VLOOKUP($A9,General!$A$3:$S$1000,'Reporte de Nomina'!F$1,FALSE),"")</f>
        <v/>
      </c>
      <c r="G9" s="106" t="str">
        <f>IFERROR(VLOOKUP($A9,General!$A$3:$S$1000,'Reporte de Nomina'!G$1,FALSE),"")</f>
        <v/>
      </c>
      <c r="H9" s="106" t="str">
        <f>IFERROR(VLOOKUP($A9,General!$A$3:$S$1000,'Reporte de Nomina'!H$1,FALSE),"")</f>
        <v/>
      </c>
      <c r="I9" s="106" t="str">
        <f>IFERROR(VLOOKUP($A9,General!$A$3:$S$1000,'Reporte de Nomina'!I$1,FALSE),"")</f>
        <v/>
      </c>
      <c r="J9" s="106" t="str">
        <f>IFERROR(VLOOKUP($A9,General!$A$3:$S$1000,'Reporte de Nomina'!J$1,FALSE),"")</f>
        <v/>
      </c>
      <c r="K9" s="106" t="str">
        <f>IFERROR(VLOOKUP($A9,General!$A$3:$S$1000,'Reporte de Nomina'!K$1,FALSE),"")</f>
        <v/>
      </c>
      <c r="L9" s="106" t="str">
        <f>IFERROR(VLOOKUP($A9,General!$A$3:$S$1000,'Reporte de Nomina'!L$1,FALSE),"")</f>
        <v/>
      </c>
      <c r="M9" s="106" t="str">
        <f>IFERROR(VLOOKUP($A9,General!$A$3:$S$1000,'Reporte de Nomina'!M$1,FALSE),"")</f>
        <v/>
      </c>
      <c r="N9" s="137" t="str">
        <f>IFERROR(VLOOKUP($A9,General!$A$3:$S$1000,'Reporte de Nomina'!N$1,FALSE),"")</f>
        <v/>
      </c>
    </row>
    <row r="10" spans="1:27" ht="9" customHeight="1" x14ac:dyDescent="0.25">
      <c r="A10" s="105">
        <v>7</v>
      </c>
      <c r="B10" s="136" t="str">
        <f>IFERROR(VLOOKUP($A10,General!$A$3:$S$1000,'Reporte de Nomina'!B$1,FALSE),"")</f>
        <v/>
      </c>
      <c r="C10" s="106" t="str">
        <f>IFERROR(VLOOKUP($A10,General!$A$3:$S$1000,'Reporte de Nomina'!C$1,FALSE),"")</f>
        <v/>
      </c>
      <c r="D10" s="106" t="str">
        <f>IFERROR(VLOOKUP($A10,General!$A$3:$S$1000,'Reporte de Nomina'!D$1,FALSE),"")</f>
        <v/>
      </c>
      <c r="E10" s="106" t="str">
        <f>IFERROR(VLOOKUP($A10,General!$A$3:$S$1000,'Reporte de Nomina'!E$1,FALSE),"")</f>
        <v/>
      </c>
      <c r="F10" s="106" t="str">
        <f>IFERROR(VLOOKUP($A10,General!$A$3:$S$1000,'Reporte de Nomina'!F$1,FALSE),"")</f>
        <v/>
      </c>
      <c r="G10" s="106" t="str">
        <f>IFERROR(VLOOKUP($A10,General!$A$3:$S$1000,'Reporte de Nomina'!G$1,FALSE),"")</f>
        <v/>
      </c>
      <c r="H10" s="106" t="str">
        <f>IFERROR(VLOOKUP($A10,General!$A$3:$S$1000,'Reporte de Nomina'!H$1,FALSE),"")</f>
        <v/>
      </c>
      <c r="I10" s="106" t="str">
        <f>IFERROR(VLOOKUP($A10,General!$A$3:$S$1000,'Reporte de Nomina'!I$1,FALSE),"")</f>
        <v/>
      </c>
      <c r="J10" s="106" t="str">
        <f>IFERROR(VLOOKUP($A10,General!$A$3:$S$1000,'Reporte de Nomina'!J$1,FALSE),"")</f>
        <v/>
      </c>
      <c r="K10" s="106" t="str">
        <f>IFERROR(VLOOKUP($A10,General!$A$3:$S$1000,'Reporte de Nomina'!K$1,FALSE),"")</f>
        <v/>
      </c>
      <c r="L10" s="106" t="str">
        <f>IFERROR(VLOOKUP($A10,General!$A$3:$S$1000,'Reporte de Nomina'!L$1,FALSE),"")</f>
        <v/>
      </c>
      <c r="M10" s="106" t="str">
        <f>IFERROR(VLOOKUP($A10,General!$A$3:$S$1000,'Reporte de Nomina'!M$1,FALSE),"")</f>
        <v/>
      </c>
      <c r="N10" s="137" t="str">
        <f>IFERROR(VLOOKUP($A10,General!$A$3:$S$1000,'Reporte de Nomina'!N$1,FALSE),"")</f>
        <v/>
      </c>
    </row>
    <row r="11" spans="1:27" ht="9" customHeight="1" x14ac:dyDescent="0.25">
      <c r="A11" s="105">
        <v>8</v>
      </c>
      <c r="B11" s="136" t="str">
        <f>IFERROR(VLOOKUP($A11,General!$A$3:$S$1000,'Reporte de Nomina'!B$1,FALSE),"")</f>
        <v/>
      </c>
      <c r="C11" s="106" t="str">
        <f>IFERROR(VLOOKUP($A11,General!$A$3:$S$1000,'Reporte de Nomina'!C$1,FALSE),"")</f>
        <v/>
      </c>
      <c r="D11" s="106" t="str">
        <f>IFERROR(VLOOKUP($A11,General!$A$3:$S$1000,'Reporte de Nomina'!D$1,FALSE),"")</f>
        <v/>
      </c>
      <c r="E11" s="106" t="str">
        <f>IFERROR(VLOOKUP($A11,General!$A$3:$S$1000,'Reporte de Nomina'!E$1,FALSE),"")</f>
        <v/>
      </c>
      <c r="F11" s="106" t="str">
        <f>IFERROR(VLOOKUP($A11,General!$A$3:$S$1000,'Reporte de Nomina'!F$1,FALSE),"")</f>
        <v/>
      </c>
      <c r="G11" s="106" t="str">
        <f>IFERROR(VLOOKUP($A11,General!$A$3:$S$1000,'Reporte de Nomina'!G$1,FALSE),"")</f>
        <v/>
      </c>
      <c r="H11" s="106" t="str">
        <f>IFERROR(VLOOKUP($A11,General!$A$3:$S$1000,'Reporte de Nomina'!H$1,FALSE),"")</f>
        <v/>
      </c>
      <c r="I11" s="106" t="str">
        <f>IFERROR(VLOOKUP($A11,General!$A$3:$S$1000,'Reporte de Nomina'!I$1,FALSE),"")</f>
        <v/>
      </c>
      <c r="J11" s="106" t="str">
        <f>IFERROR(VLOOKUP($A11,General!$A$3:$S$1000,'Reporte de Nomina'!J$1,FALSE),"")</f>
        <v/>
      </c>
      <c r="K11" s="106" t="str">
        <f>IFERROR(VLOOKUP($A11,General!$A$3:$S$1000,'Reporte de Nomina'!K$1,FALSE),"")</f>
        <v/>
      </c>
      <c r="L11" s="106" t="str">
        <f>IFERROR(VLOOKUP($A11,General!$A$3:$S$1000,'Reporte de Nomina'!L$1,FALSE),"")</f>
        <v/>
      </c>
      <c r="M11" s="106" t="str">
        <f>IFERROR(VLOOKUP($A11,General!$A$3:$S$1000,'Reporte de Nomina'!M$1,FALSE),"")</f>
        <v/>
      </c>
      <c r="N11" s="137" t="str">
        <f>IFERROR(VLOOKUP($A11,General!$A$3:$S$1000,'Reporte de Nomina'!N$1,FALSE),"")</f>
        <v/>
      </c>
    </row>
    <row r="12" spans="1:27" ht="9" customHeight="1" x14ac:dyDescent="0.25">
      <c r="A12" s="105">
        <v>9</v>
      </c>
      <c r="B12" s="136" t="str">
        <f>IFERROR(VLOOKUP($A12,General!$A$3:$S$1000,'Reporte de Nomina'!B$1,FALSE),"")</f>
        <v/>
      </c>
      <c r="C12" s="106" t="str">
        <f>IFERROR(VLOOKUP($A12,General!$A$3:$S$1000,'Reporte de Nomina'!C$1,FALSE),"")</f>
        <v/>
      </c>
      <c r="D12" s="106" t="str">
        <f>IFERROR(VLOOKUP($A12,General!$A$3:$S$1000,'Reporte de Nomina'!D$1,FALSE),"")</f>
        <v/>
      </c>
      <c r="E12" s="106" t="str">
        <f>IFERROR(VLOOKUP($A12,General!$A$3:$S$1000,'Reporte de Nomina'!E$1,FALSE),"")</f>
        <v/>
      </c>
      <c r="F12" s="106" t="str">
        <f>IFERROR(VLOOKUP($A12,General!$A$3:$S$1000,'Reporte de Nomina'!F$1,FALSE),"")</f>
        <v/>
      </c>
      <c r="G12" s="106" t="str">
        <f>IFERROR(VLOOKUP($A12,General!$A$3:$S$1000,'Reporte de Nomina'!G$1,FALSE),"")</f>
        <v/>
      </c>
      <c r="H12" s="106" t="str">
        <f>IFERROR(VLOOKUP($A12,General!$A$3:$S$1000,'Reporte de Nomina'!H$1,FALSE),"")</f>
        <v/>
      </c>
      <c r="I12" s="106" t="str">
        <f>IFERROR(VLOOKUP($A12,General!$A$3:$S$1000,'Reporte de Nomina'!I$1,FALSE),"")</f>
        <v/>
      </c>
      <c r="J12" s="106" t="str">
        <f>IFERROR(VLOOKUP($A12,General!$A$3:$S$1000,'Reporte de Nomina'!J$1,FALSE),"")</f>
        <v/>
      </c>
      <c r="K12" s="106" t="str">
        <f>IFERROR(VLOOKUP($A12,General!$A$3:$S$1000,'Reporte de Nomina'!K$1,FALSE),"")</f>
        <v/>
      </c>
      <c r="L12" s="106" t="str">
        <f>IFERROR(VLOOKUP($A12,General!$A$3:$S$1000,'Reporte de Nomina'!L$1,FALSE),"")</f>
        <v/>
      </c>
      <c r="M12" s="106" t="str">
        <f>IFERROR(VLOOKUP($A12,General!$A$3:$S$1000,'Reporte de Nomina'!M$1,FALSE),"")</f>
        <v/>
      </c>
      <c r="N12" s="137" t="str">
        <f>IFERROR(VLOOKUP($A12,General!$A$3:$S$1000,'Reporte de Nomina'!N$1,FALSE),"")</f>
        <v/>
      </c>
    </row>
    <row r="13" spans="1:27" ht="9" customHeight="1" x14ac:dyDescent="0.25">
      <c r="A13" s="105">
        <v>10</v>
      </c>
      <c r="B13" s="136" t="str">
        <f>IFERROR(VLOOKUP($A13,General!$A$3:$S$1000,'Reporte de Nomina'!B$1,FALSE),"")</f>
        <v/>
      </c>
      <c r="C13" s="106" t="str">
        <f>IFERROR(VLOOKUP($A13,General!$A$3:$S$1000,'Reporte de Nomina'!C$1,FALSE),"")</f>
        <v/>
      </c>
      <c r="D13" s="106" t="str">
        <f>IFERROR(VLOOKUP($A13,General!$A$3:$S$1000,'Reporte de Nomina'!D$1,FALSE),"")</f>
        <v/>
      </c>
      <c r="E13" s="106" t="str">
        <f>IFERROR(VLOOKUP($A13,General!$A$3:$S$1000,'Reporte de Nomina'!E$1,FALSE),"")</f>
        <v/>
      </c>
      <c r="F13" s="106" t="str">
        <f>IFERROR(VLOOKUP($A13,General!$A$3:$S$1000,'Reporte de Nomina'!F$1,FALSE),"")</f>
        <v/>
      </c>
      <c r="G13" s="106" t="str">
        <f>IFERROR(VLOOKUP($A13,General!$A$3:$S$1000,'Reporte de Nomina'!G$1,FALSE),"")</f>
        <v/>
      </c>
      <c r="H13" s="106" t="str">
        <f>IFERROR(VLOOKUP($A13,General!$A$3:$S$1000,'Reporte de Nomina'!H$1,FALSE),"")</f>
        <v/>
      </c>
      <c r="I13" s="106" t="str">
        <f>IFERROR(VLOOKUP($A13,General!$A$3:$S$1000,'Reporte de Nomina'!I$1,FALSE),"")</f>
        <v/>
      </c>
      <c r="J13" s="106" t="str">
        <f>IFERROR(VLOOKUP($A13,General!$A$3:$S$1000,'Reporte de Nomina'!J$1,FALSE),"")</f>
        <v/>
      </c>
      <c r="K13" s="106" t="str">
        <f>IFERROR(VLOOKUP($A13,General!$A$3:$S$1000,'Reporte de Nomina'!K$1,FALSE),"")</f>
        <v/>
      </c>
      <c r="L13" s="106" t="str">
        <f>IFERROR(VLOOKUP($A13,General!$A$3:$S$1000,'Reporte de Nomina'!L$1,FALSE),"")</f>
        <v/>
      </c>
      <c r="M13" s="106" t="str">
        <f>IFERROR(VLOOKUP($A13,General!$A$3:$S$1000,'Reporte de Nomina'!M$1,FALSE),"")</f>
        <v/>
      </c>
      <c r="N13" s="137" t="str">
        <f>IFERROR(VLOOKUP($A13,General!$A$3:$S$1000,'Reporte de Nomina'!N$1,FALSE),"")</f>
        <v/>
      </c>
    </row>
    <row r="14" spans="1:27" ht="9" customHeight="1" x14ac:dyDescent="0.25">
      <c r="A14" s="105">
        <v>11</v>
      </c>
      <c r="B14" s="136" t="str">
        <f>IFERROR(VLOOKUP($A14,General!$A$3:$S$1000,'Reporte de Nomina'!B$1,FALSE),"")</f>
        <v/>
      </c>
      <c r="C14" s="106" t="str">
        <f>IFERROR(VLOOKUP($A14,General!$A$3:$S$1000,'Reporte de Nomina'!C$1,FALSE),"")</f>
        <v/>
      </c>
      <c r="D14" s="106" t="str">
        <f>IFERROR(VLOOKUP($A14,General!$A$3:$S$1000,'Reporte de Nomina'!D$1,FALSE),"")</f>
        <v/>
      </c>
      <c r="E14" s="106" t="str">
        <f>IFERROR(VLOOKUP($A14,General!$A$3:$S$1000,'Reporte de Nomina'!E$1,FALSE),"")</f>
        <v/>
      </c>
      <c r="F14" s="106" t="str">
        <f>IFERROR(VLOOKUP($A14,General!$A$3:$S$1000,'Reporte de Nomina'!F$1,FALSE),"")</f>
        <v/>
      </c>
      <c r="G14" s="106" t="str">
        <f>IFERROR(VLOOKUP($A14,General!$A$3:$S$1000,'Reporte de Nomina'!G$1,FALSE),"")</f>
        <v/>
      </c>
      <c r="H14" s="106" t="str">
        <f>IFERROR(VLOOKUP($A14,General!$A$3:$S$1000,'Reporte de Nomina'!H$1,FALSE),"")</f>
        <v/>
      </c>
      <c r="I14" s="106" t="str">
        <f>IFERROR(VLOOKUP($A14,General!$A$3:$S$1000,'Reporte de Nomina'!I$1,FALSE),"")</f>
        <v/>
      </c>
      <c r="J14" s="106" t="str">
        <f>IFERROR(VLOOKUP($A14,General!$A$3:$S$1000,'Reporte de Nomina'!J$1,FALSE),"")</f>
        <v/>
      </c>
      <c r="K14" s="106" t="str">
        <f>IFERROR(VLOOKUP($A14,General!$A$3:$S$1000,'Reporte de Nomina'!K$1,FALSE),"")</f>
        <v/>
      </c>
      <c r="L14" s="106" t="str">
        <f>IFERROR(VLOOKUP($A14,General!$A$3:$S$1000,'Reporte de Nomina'!L$1,FALSE),"")</f>
        <v/>
      </c>
      <c r="M14" s="106" t="str">
        <f>IFERROR(VLOOKUP($A14,General!$A$3:$S$1000,'Reporte de Nomina'!M$1,FALSE),"")</f>
        <v/>
      </c>
      <c r="N14" s="137" t="str">
        <f>IFERROR(VLOOKUP($A14,General!$A$3:$S$1000,'Reporte de Nomina'!N$1,FALSE),"")</f>
        <v/>
      </c>
    </row>
    <row r="15" spans="1:27" ht="9" customHeight="1" x14ac:dyDescent="0.25">
      <c r="A15" s="105">
        <v>12</v>
      </c>
      <c r="B15" s="136" t="str">
        <f>IFERROR(VLOOKUP($A15,General!$A$3:$S$1000,'Reporte de Nomina'!B$1,FALSE),"")</f>
        <v/>
      </c>
      <c r="C15" s="106" t="str">
        <f>IFERROR(VLOOKUP($A15,General!$A$3:$S$1000,'Reporte de Nomina'!C$1,FALSE),"")</f>
        <v/>
      </c>
      <c r="D15" s="106" t="str">
        <f>IFERROR(VLOOKUP($A15,General!$A$3:$S$1000,'Reporte de Nomina'!D$1,FALSE),"")</f>
        <v/>
      </c>
      <c r="E15" s="106" t="str">
        <f>IFERROR(VLOOKUP($A15,General!$A$3:$S$1000,'Reporte de Nomina'!E$1,FALSE),"")</f>
        <v/>
      </c>
      <c r="F15" s="106" t="str">
        <f>IFERROR(VLOOKUP($A15,General!$A$3:$S$1000,'Reporte de Nomina'!F$1,FALSE),"")</f>
        <v/>
      </c>
      <c r="G15" s="106" t="str">
        <f>IFERROR(VLOOKUP($A15,General!$A$3:$S$1000,'Reporte de Nomina'!G$1,FALSE),"")</f>
        <v/>
      </c>
      <c r="H15" s="106" t="str">
        <f>IFERROR(VLOOKUP($A15,General!$A$3:$S$1000,'Reporte de Nomina'!H$1,FALSE),"")</f>
        <v/>
      </c>
      <c r="I15" s="106" t="str">
        <f>IFERROR(VLOOKUP($A15,General!$A$3:$S$1000,'Reporte de Nomina'!I$1,FALSE),"")</f>
        <v/>
      </c>
      <c r="J15" s="106" t="str">
        <f>IFERROR(VLOOKUP($A15,General!$A$3:$S$1000,'Reporte de Nomina'!J$1,FALSE),"")</f>
        <v/>
      </c>
      <c r="K15" s="106" t="str">
        <f>IFERROR(VLOOKUP($A15,General!$A$3:$S$1000,'Reporte de Nomina'!K$1,FALSE),"")</f>
        <v/>
      </c>
      <c r="L15" s="106" t="str">
        <f>IFERROR(VLOOKUP($A15,General!$A$3:$S$1000,'Reporte de Nomina'!L$1,FALSE),"")</f>
        <v/>
      </c>
      <c r="M15" s="106" t="str">
        <f>IFERROR(VLOOKUP($A15,General!$A$3:$S$1000,'Reporte de Nomina'!M$1,FALSE),"")</f>
        <v/>
      </c>
      <c r="N15" s="137" t="str">
        <f>IFERROR(VLOOKUP($A15,General!$A$3:$S$1000,'Reporte de Nomina'!N$1,FALSE),"")</f>
        <v/>
      </c>
    </row>
    <row r="16" spans="1:27" ht="9" customHeight="1" x14ac:dyDescent="0.25">
      <c r="A16" s="105">
        <v>13</v>
      </c>
      <c r="B16" s="136" t="str">
        <f>IFERROR(VLOOKUP($A16,General!$A$3:$S$1000,'Reporte de Nomina'!B$1,FALSE),"")</f>
        <v/>
      </c>
      <c r="C16" s="106" t="str">
        <f>IFERROR(VLOOKUP($A16,General!$A$3:$S$1000,'Reporte de Nomina'!C$1,FALSE),"")</f>
        <v/>
      </c>
      <c r="D16" s="106" t="str">
        <f>IFERROR(VLOOKUP($A16,General!$A$3:$S$1000,'Reporte de Nomina'!D$1,FALSE),"")</f>
        <v/>
      </c>
      <c r="E16" s="106" t="str">
        <f>IFERROR(VLOOKUP($A16,General!$A$3:$S$1000,'Reporte de Nomina'!E$1,FALSE),"")</f>
        <v/>
      </c>
      <c r="F16" s="106" t="str">
        <f>IFERROR(VLOOKUP($A16,General!$A$3:$S$1000,'Reporte de Nomina'!F$1,FALSE),"")</f>
        <v/>
      </c>
      <c r="G16" s="106" t="str">
        <f>IFERROR(VLOOKUP($A16,General!$A$3:$S$1000,'Reporte de Nomina'!G$1,FALSE),"")</f>
        <v/>
      </c>
      <c r="H16" s="106" t="str">
        <f>IFERROR(VLOOKUP($A16,General!$A$3:$S$1000,'Reporte de Nomina'!H$1,FALSE),"")</f>
        <v/>
      </c>
      <c r="I16" s="106" t="str">
        <f>IFERROR(VLOOKUP($A16,General!$A$3:$S$1000,'Reporte de Nomina'!I$1,FALSE),"")</f>
        <v/>
      </c>
      <c r="J16" s="106" t="str">
        <f>IFERROR(VLOOKUP($A16,General!$A$3:$S$1000,'Reporte de Nomina'!J$1,FALSE),"")</f>
        <v/>
      </c>
      <c r="K16" s="106" t="str">
        <f>IFERROR(VLOOKUP($A16,General!$A$3:$S$1000,'Reporte de Nomina'!K$1,FALSE),"")</f>
        <v/>
      </c>
      <c r="L16" s="106" t="str">
        <f>IFERROR(VLOOKUP($A16,General!$A$3:$S$1000,'Reporte de Nomina'!L$1,FALSE),"")</f>
        <v/>
      </c>
      <c r="M16" s="106" t="str">
        <f>IFERROR(VLOOKUP($A16,General!$A$3:$S$1000,'Reporte de Nomina'!M$1,FALSE),"")</f>
        <v/>
      </c>
      <c r="N16" s="137" t="str">
        <f>IFERROR(VLOOKUP($A16,General!$A$3:$S$1000,'Reporte de Nomina'!N$1,FALSE),"")</f>
        <v/>
      </c>
    </row>
    <row r="17" spans="1:14" ht="9" customHeight="1" x14ac:dyDescent="0.25">
      <c r="A17" s="105">
        <v>14</v>
      </c>
      <c r="B17" s="136" t="str">
        <f>IFERROR(VLOOKUP($A17,General!$A$3:$S$1000,'Reporte de Nomina'!B$1,FALSE),"")</f>
        <v/>
      </c>
      <c r="C17" s="106" t="str">
        <f>IFERROR(VLOOKUP($A17,General!$A$3:$S$1000,'Reporte de Nomina'!C$1,FALSE),"")</f>
        <v/>
      </c>
      <c r="D17" s="106" t="str">
        <f>IFERROR(VLOOKUP($A17,General!$A$3:$S$1000,'Reporte de Nomina'!D$1,FALSE),"")</f>
        <v/>
      </c>
      <c r="E17" s="106" t="str">
        <f>IFERROR(VLOOKUP($A17,General!$A$3:$S$1000,'Reporte de Nomina'!E$1,FALSE),"")</f>
        <v/>
      </c>
      <c r="F17" s="106" t="str">
        <f>IFERROR(VLOOKUP($A17,General!$A$3:$S$1000,'Reporte de Nomina'!F$1,FALSE),"")</f>
        <v/>
      </c>
      <c r="G17" s="106" t="str">
        <f>IFERROR(VLOOKUP($A17,General!$A$3:$S$1000,'Reporte de Nomina'!G$1,FALSE),"")</f>
        <v/>
      </c>
      <c r="H17" s="106" t="str">
        <f>IFERROR(VLOOKUP($A17,General!$A$3:$S$1000,'Reporte de Nomina'!H$1,FALSE),"")</f>
        <v/>
      </c>
      <c r="I17" s="106" t="str">
        <f>IFERROR(VLOOKUP($A17,General!$A$3:$S$1000,'Reporte de Nomina'!I$1,FALSE),"")</f>
        <v/>
      </c>
      <c r="J17" s="106" t="str">
        <f>IFERROR(VLOOKUP($A17,General!$A$3:$S$1000,'Reporte de Nomina'!J$1,FALSE),"")</f>
        <v/>
      </c>
      <c r="K17" s="106" t="str">
        <f>IFERROR(VLOOKUP($A17,General!$A$3:$S$1000,'Reporte de Nomina'!K$1,FALSE),"")</f>
        <v/>
      </c>
      <c r="L17" s="106" t="str">
        <f>IFERROR(VLOOKUP($A17,General!$A$3:$S$1000,'Reporte de Nomina'!L$1,FALSE),"")</f>
        <v/>
      </c>
      <c r="M17" s="106" t="str">
        <f>IFERROR(VLOOKUP($A17,General!$A$3:$S$1000,'Reporte de Nomina'!M$1,FALSE),"")</f>
        <v/>
      </c>
      <c r="N17" s="137" t="str">
        <f>IFERROR(VLOOKUP($A17,General!$A$3:$S$1000,'Reporte de Nomina'!N$1,FALSE),"")</f>
        <v/>
      </c>
    </row>
    <row r="18" spans="1:14" ht="9" customHeight="1" x14ac:dyDescent="0.25">
      <c r="A18" s="105">
        <v>15</v>
      </c>
      <c r="B18" s="136" t="str">
        <f>IFERROR(VLOOKUP($A18,General!$A$3:$S$1000,'Reporte de Nomina'!B$1,FALSE),"")</f>
        <v/>
      </c>
      <c r="C18" s="106" t="str">
        <f>IFERROR(VLOOKUP($A18,General!$A$3:$S$1000,'Reporte de Nomina'!C$1,FALSE),"")</f>
        <v/>
      </c>
      <c r="D18" s="106" t="str">
        <f>IFERROR(VLOOKUP($A18,General!$A$3:$S$1000,'Reporte de Nomina'!D$1,FALSE),"")</f>
        <v/>
      </c>
      <c r="E18" s="106" t="str">
        <f>IFERROR(VLOOKUP($A18,General!$A$3:$S$1000,'Reporte de Nomina'!E$1,FALSE),"")</f>
        <v/>
      </c>
      <c r="F18" s="106" t="str">
        <f>IFERROR(VLOOKUP($A18,General!$A$3:$S$1000,'Reporte de Nomina'!F$1,FALSE),"")</f>
        <v/>
      </c>
      <c r="G18" s="106" t="str">
        <f>IFERROR(VLOOKUP($A18,General!$A$3:$S$1000,'Reporte de Nomina'!G$1,FALSE),"")</f>
        <v/>
      </c>
      <c r="H18" s="106" t="str">
        <f>IFERROR(VLOOKUP($A18,General!$A$3:$S$1000,'Reporte de Nomina'!H$1,FALSE),"")</f>
        <v/>
      </c>
      <c r="I18" s="106" t="str">
        <f>IFERROR(VLOOKUP($A18,General!$A$3:$S$1000,'Reporte de Nomina'!I$1,FALSE),"")</f>
        <v/>
      </c>
      <c r="J18" s="106" t="str">
        <f>IFERROR(VLOOKUP($A18,General!$A$3:$S$1000,'Reporte de Nomina'!J$1,FALSE),"")</f>
        <v/>
      </c>
      <c r="K18" s="106" t="str">
        <f>IFERROR(VLOOKUP($A18,General!$A$3:$S$1000,'Reporte de Nomina'!K$1,FALSE),"")</f>
        <v/>
      </c>
      <c r="L18" s="106" t="str">
        <f>IFERROR(VLOOKUP($A18,General!$A$3:$S$1000,'Reporte de Nomina'!L$1,FALSE),"")</f>
        <v/>
      </c>
      <c r="M18" s="106" t="str">
        <f>IFERROR(VLOOKUP($A18,General!$A$3:$S$1000,'Reporte de Nomina'!M$1,FALSE),"")</f>
        <v/>
      </c>
      <c r="N18" s="137" t="str">
        <f>IFERROR(VLOOKUP($A18,General!$A$3:$S$1000,'Reporte de Nomina'!N$1,FALSE),"")</f>
        <v/>
      </c>
    </row>
    <row r="19" spans="1:14" ht="9" customHeight="1" x14ac:dyDescent="0.25">
      <c r="A19" s="105">
        <v>16</v>
      </c>
      <c r="B19" s="136" t="str">
        <f>IFERROR(VLOOKUP($A19,General!$A$3:$S$1000,'Reporte de Nomina'!B$1,FALSE),"")</f>
        <v/>
      </c>
      <c r="C19" s="106" t="str">
        <f>IFERROR(VLOOKUP($A19,General!$A$3:$S$1000,'Reporte de Nomina'!C$1,FALSE),"")</f>
        <v/>
      </c>
      <c r="D19" s="106" t="str">
        <f>IFERROR(VLOOKUP($A19,General!$A$3:$S$1000,'Reporte de Nomina'!D$1,FALSE),"")</f>
        <v/>
      </c>
      <c r="E19" s="106" t="str">
        <f>IFERROR(VLOOKUP($A19,General!$A$3:$S$1000,'Reporte de Nomina'!E$1,FALSE),"")</f>
        <v/>
      </c>
      <c r="F19" s="106" t="str">
        <f>IFERROR(VLOOKUP($A19,General!$A$3:$S$1000,'Reporte de Nomina'!F$1,FALSE),"")</f>
        <v/>
      </c>
      <c r="G19" s="106" t="str">
        <f>IFERROR(VLOOKUP($A19,General!$A$3:$S$1000,'Reporte de Nomina'!G$1,FALSE),"")</f>
        <v/>
      </c>
      <c r="H19" s="106" t="str">
        <f>IFERROR(VLOOKUP($A19,General!$A$3:$S$1000,'Reporte de Nomina'!H$1,FALSE),"")</f>
        <v/>
      </c>
      <c r="I19" s="106" t="str">
        <f>IFERROR(VLOOKUP($A19,General!$A$3:$S$1000,'Reporte de Nomina'!I$1,FALSE),"")</f>
        <v/>
      </c>
      <c r="J19" s="106" t="str">
        <f>IFERROR(VLOOKUP($A19,General!$A$3:$S$1000,'Reporte de Nomina'!J$1,FALSE),"")</f>
        <v/>
      </c>
      <c r="K19" s="106" t="str">
        <f>IFERROR(VLOOKUP($A19,General!$A$3:$S$1000,'Reporte de Nomina'!K$1,FALSE),"")</f>
        <v/>
      </c>
      <c r="L19" s="106" t="str">
        <f>IFERROR(VLOOKUP($A19,General!$A$3:$S$1000,'Reporte de Nomina'!L$1,FALSE),"")</f>
        <v/>
      </c>
      <c r="M19" s="106" t="str">
        <f>IFERROR(VLOOKUP($A19,General!$A$3:$S$1000,'Reporte de Nomina'!M$1,FALSE),"")</f>
        <v/>
      </c>
      <c r="N19" s="137" t="str">
        <f>IFERROR(VLOOKUP($A19,General!$A$3:$S$1000,'Reporte de Nomina'!N$1,FALSE),"")</f>
        <v/>
      </c>
    </row>
    <row r="20" spans="1:14" ht="9" customHeight="1" x14ac:dyDescent="0.25">
      <c r="A20" s="105">
        <v>17</v>
      </c>
      <c r="B20" s="136" t="str">
        <f>IFERROR(VLOOKUP($A20,General!$A$3:$S$1000,'Reporte de Nomina'!B$1,FALSE),"")</f>
        <v/>
      </c>
      <c r="C20" s="106" t="str">
        <f>IFERROR(VLOOKUP($A20,General!$A$3:$S$1000,'Reporte de Nomina'!C$1,FALSE),"")</f>
        <v/>
      </c>
      <c r="D20" s="106" t="str">
        <f>IFERROR(VLOOKUP($A20,General!$A$3:$S$1000,'Reporte de Nomina'!D$1,FALSE),"")</f>
        <v/>
      </c>
      <c r="E20" s="106" t="str">
        <f>IFERROR(VLOOKUP($A20,General!$A$3:$S$1000,'Reporte de Nomina'!E$1,FALSE),"")</f>
        <v/>
      </c>
      <c r="F20" s="106" t="str">
        <f>IFERROR(VLOOKUP($A20,General!$A$3:$S$1000,'Reporte de Nomina'!F$1,FALSE),"")</f>
        <v/>
      </c>
      <c r="G20" s="106" t="str">
        <f>IFERROR(VLOOKUP($A20,General!$A$3:$S$1000,'Reporte de Nomina'!G$1,FALSE),"")</f>
        <v/>
      </c>
      <c r="H20" s="106" t="str">
        <f>IFERROR(VLOOKUP($A20,General!$A$3:$S$1000,'Reporte de Nomina'!H$1,FALSE),"")</f>
        <v/>
      </c>
      <c r="I20" s="106" t="str">
        <f>IFERROR(VLOOKUP($A20,General!$A$3:$S$1000,'Reporte de Nomina'!I$1,FALSE),"")</f>
        <v/>
      </c>
      <c r="J20" s="106" t="str">
        <f>IFERROR(VLOOKUP($A20,General!$A$3:$S$1000,'Reporte de Nomina'!J$1,FALSE),"")</f>
        <v/>
      </c>
      <c r="K20" s="106" t="str">
        <f>IFERROR(VLOOKUP($A20,General!$A$3:$S$1000,'Reporte de Nomina'!K$1,FALSE),"")</f>
        <v/>
      </c>
      <c r="L20" s="106" t="str">
        <f>IFERROR(VLOOKUP($A20,General!$A$3:$S$1000,'Reporte de Nomina'!L$1,FALSE),"")</f>
        <v/>
      </c>
      <c r="M20" s="106" t="str">
        <f>IFERROR(VLOOKUP($A20,General!$A$3:$S$1000,'Reporte de Nomina'!M$1,FALSE),"")</f>
        <v/>
      </c>
      <c r="N20" s="137" t="str">
        <f>IFERROR(VLOOKUP($A20,General!$A$3:$S$1000,'Reporte de Nomina'!N$1,FALSE),"")</f>
        <v/>
      </c>
    </row>
    <row r="21" spans="1:14" ht="9" customHeight="1" x14ac:dyDescent="0.25">
      <c r="A21" s="105">
        <v>18</v>
      </c>
      <c r="B21" s="136" t="str">
        <f>IFERROR(VLOOKUP($A21,General!$A$3:$S$1000,'Reporte de Nomina'!B$1,FALSE),"")</f>
        <v/>
      </c>
      <c r="C21" s="106" t="str">
        <f>IFERROR(VLOOKUP($A21,General!$A$3:$S$1000,'Reporte de Nomina'!C$1,FALSE),"")</f>
        <v/>
      </c>
      <c r="D21" s="106" t="str">
        <f>IFERROR(VLOOKUP($A21,General!$A$3:$S$1000,'Reporte de Nomina'!D$1,FALSE),"")</f>
        <v/>
      </c>
      <c r="E21" s="106" t="str">
        <f>IFERROR(VLOOKUP($A21,General!$A$3:$S$1000,'Reporte de Nomina'!E$1,FALSE),"")</f>
        <v/>
      </c>
      <c r="F21" s="106" t="str">
        <f>IFERROR(VLOOKUP($A21,General!$A$3:$S$1000,'Reporte de Nomina'!F$1,FALSE),"")</f>
        <v/>
      </c>
      <c r="G21" s="106" t="str">
        <f>IFERROR(VLOOKUP($A21,General!$A$3:$S$1000,'Reporte de Nomina'!G$1,FALSE),"")</f>
        <v/>
      </c>
      <c r="H21" s="106" t="str">
        <f>IFERROR(VLOOKUP($A21,General!$A$3:$S$1000,'Reporte de Nomina'!H$1,FALSE),"")</f>
        <v/>
      </c>
      <c r="I21" s="106" t="str">
        <f>IFERROR(VLOOKUP($A21,General!$A$3:$S$1000,'Reporte de Nomina'!I$1,FALSE),"")</f>
        <v/>
      </c>
      <c r="J21" s="106" t="str">
        <f>IFERROR(VLOOKUP($A21,General!$A$3:$S$1000,'Reporte de Nomina'!J$1,FALSE),"")</f>
        <v/>
      </c>
      <c r="K21" s="106" t="str">
        <f>IFERROR(VLOOKUP($A21,General!$A$3:$S$1000,'Reporte de Nomina'!K$1,FALSE),"")</f>
        <v/>
      </c>
      <c r="L21" s="106" t="str">
        <f>IFERROR(VLOOKUP($A21,General!$A$3:$S$1000,'Reporte de Nomina'!L$1,FALSE),"")</f>
        <v/>
      </c>
      <c r="M21" s="106" t="str">
        <f>IFERROR(VLOOKUP($A21,General!$A$3:$S$1000,'Reporte de Nomina'!M$1,FALSE),"")</f>
        <v/>
      </c>
      <c r="N21" s="137" t="str">
        <f>IFERROR(VLOOKUP($A21,General!$A$3:$S$1000,'Reporte de Nomina'!N$1,FALSE),"")</f>
        <v/>
      </c>
    </row>
    <row r="22" spans="1:14" ht="9" customHeight="1" x14ac:dyDescent="0.25">
      <c r="A22" s="105">
        <v>19</v>
      </c>
      <c r="B22" s="136" t="str">
        <f>IFERROR(VLOOKUP($A22,General!$A$3:$S$1000,'Reporte de Nomina'!B$1,FALSE),"")</f>
        <v/>
      </c>
      <c r="C22" s="106" t="str">
        <f>IFERROR(VLOOKUP($A22,General!$A$3:$S$1000,'Reporte de Nomina'!C$1,FALSE),"")</f>
        <v/>
      </c>
      <c r="D22" s="106" t="str">
        <f>IFERROR(VLOOKUP($A22,General!$A$3:$S$1000,'Reporte de Nomina'!D$1,FALSE),"")</f>
        <v/>
      </c>
      <c r="E22" s="106" t="str">
        <f>IFERROR(VLOOKUP($A22,General!$A$3:$S$1000,'Reporte de Nomina'!E$1,FALSE),"")</f>
        <v/>
      </c>
      <c r="F22" s="106" t="str">
        <f>IFERROR(VLOOKUP($A22,General!$A$3:$S$1000,'Reporte de Nomina'!F$1,FALSE),"")</f>
        <v/>
      </c>
      <c r="G22" s="106" t="str">
        <f>IFERROR(VLOOKUP($A22,General!$A$3:$S$1000,'Reporte de Nomina'!G$1,FALSE),"")</f>
        <v/>
      </c>
      <c r="H22" s="106" t="str">
        <f>IFERROR(VLOOKUP($A22,General!$A$3:$S$1000,'Reporte de Nomina'!H$1,FALSE),"")</f>
        <v/>
      </c>
      <c r="I22" s="106" t="str">
        <f>IFERROR(VLOOKUP($A22,General!$A$3:$S$1000,'Reporte de Nomina'!I$1,FALSE),"")</f>
        <v/>
      </c>
      <c r="J22" s="106" t="str">
        <f>IFERROR(VLOOKUP($A22,General!$A$3:$S$1000,'Reporte de Nomina'!J$1,FALSE),"")</f>
        <v/>
      </c>
      <c r="K22" s="106" t="str">
        <f>IFERROR(VLOOKUP($A22,General!$A$3:$S$1000,'Reporte de Nomina'!K$1,FALSE),"")</f>
        <v/>
      </c>
      <c r="L22" s="106" t="str">
        <f>IFERROR(VLOOKUP($A22,General!$A$3:$S$1000,'Reporte de Nomina'!L$1,FALSE),"")</f>
        <v/>
      </c>
      <c r="M22" s="106" t="str">
        <f>IFERROR(VLOOKUP($A22,General!$A$3:$S$1000,'Reporte de Nomina'!M$1,FALSE),"")</f>
        <v/>
      </c>
      <c r="N22" s="137" t="str">
        <f>IFERROR(VLOOKUP($A22,General!$A$3:$S$1000,'Reporte de Nomina'!N$1,FALSE),"")</f>
        <v/>
      </c>
    </row>
    <row r="23" spans="1:14" ht="9" customHeight="1" x14ac:dyDescent="0.25">
      <c r="A23" s="105">
        <v>20</v>
      </c>
      <c r="B23" s="136" t="str">
        <f>IFERROR(VLOOKUP($A23,General!$A$3:$S$1000,'Reporte de Nomina'!B$1,FALSE),"")</f>
        <v/>
      </c>
      <c r="C23" s="106" t="str">
        <f>IFERROR(VLOOKUP($A23,General!$A$3:$S$1000,'Reporte de Nomina'!C$1,FALSE),"")</f>
        <v/>
      </c>
      <c r="D23" s="106" t="str">
        <f>IFERROR(VLOOKUP($A23,General!$A$3:$S$1000,'Reporte de Nomina'!D$1,FALSE),"")</f>
        <v/>
      </c>
      <c r="E23" s="106" t="str">
        <f>IFERROR(VLOOKUP($A23,General!$A$3:$S$1000,'Reporte de Nomina'!E$1,FALSE),"")</f>
        <v/>
      </c>
      <c r="F23" s="106" t="str">
        <f>IFERROR(VLOOKUP($A23,General!$A$3:$S$1000,'Reporte de Nomina'!F$1,FALSE),"")</f>
        <v/>
      </c>
      <c r="G23" s="106" t="str">
        <f>IFERROR(VLOOKUP($A23,General!$A$3:$S$1000,'Reporte de Nomina'!G$1,FALSE),"")</f>
        <v/>
      </c>
      <c r="H23" s="106" t="str">
        <f>IFERROR(VLOOKUP($A23,General!$A$3:$S$1000,'Reporte de Nomina'!H$1,FALSE),"")</f>
        <v/>
      </c>
      <c r="I23" s="106" t="str">
        <f>IFERROR(VLOOKUP($A23,General!$A$3:$S$1000,'Reporte de Nomina'!I$1,FALSE),"")</f>
        <v/>
      </c>
      <c r="J23" s="106" t="str">
        <f>IFERROR(VLOOKUP($A23,General!$A$3:$S$1000,'Reporte de Nomina'!J$1,FALSE),"")</f>
        <v/>
      </c>
      <c r="K23" s="106" t="str">
        <f>IFERROR(VLOOKUP($A23,General!$A$3:$S$1000,'Reporte de Nomina'!K$1,FALSE),"")</f>
        <v/>
      </c>
      <c r="L23" s="106" t="str">
        <f>IFERROR(VLOOKUP($A23,General!$A$3:$S$1000,'Reporte de Nomina'!L$1,FALSE),"")</f>
        <v/>
      </c>
      <c r="M23" s="106" t="str">
        <f>IFERROR(VLOOKUP($A23,General!$A$3:$S$1000,'Reporte de Nomina'!M$1,FALSE),"")</f>
        <v/>
      </c>
      <c r="N23" s="137" t="str">
        <f>IFERROR(VLOOKUP($A23,General!$A$3:$S$1000,'Reporte de Nomina'!N$1,FALSE),"")</f>
        <v/>
      </c>
    </row>
    <row r="24" spans="1:14" ht="9" customHeight="1" x14ac:dyDescent="0.25">
      <c r="A24" s="105">
        <v>21</v>
      </c>
      <c r="B24" s="136" t="str">
        <f>IFERROR(VLOOKUP($A24,General!$A$3:$S$1000,'Reporte de Nomina'!B$1,FALSE),"")</f>
        <v/>
      </c>
      <c r="C24" s="106" t="str">
        <f>IFERROR(VLOOKUP($A24,General!$A$3:$S$1000,'Reporte de Nomina'!C$1,FALSE),"")</f>
        <v/>
      </c>
      <c r="D24" s="106" t="str">
        <f>IFERROR(VLOOKUP($A24,General!$A$3:$S$1000,'Reporte de Nomina'!D$1,FALSE),"")</f>
        <v/>
      </c>
      <c r="E24" s="106" t="str">
        <f>IFERROR(VLOOKUP($A24,General!$A$3:$S$1000,'Reporte de Nomina'!E$1,FALSE),"")</f>
        <v/>
      </c>
      <c r="F24" s="106" t="str">
        <f>IFERROR(VLOOKUP($A24,General!$A$3:$S$1000,'Reporte de Nomina'!F$1,FALSE),"")</f>
        <v/>
      </c>
      <c r="G24" s="106" t="str">
        <f>IFERROR(VLOOKUP($A24,General!$A$3:$S$1000,'Reporte de Nomina'!G$1,FALSE),"")</f>
        <v/>
      </c>
      <c r="H24" s="106" t="str">
        <f>IFERROR(VLOOKUP($A24,General!$A$3:$S$1000,'Reporte de Nomina'!H$1,FALSE),"")</f>
        <v/>
      </c>
      <c r="I24" s="106" t="str">
        <f>IFERROR(VLOOKUP($A24,General!$A$3:$S$1000,'Reporte de Nomina'!I$1,FALSE),"")</f>
        <v/>
      </c>
      <c r="J24" s="106" t="str">
        <f>IFERROR(VLOOKUP($A24,General!$A$3:$S$1000,'Reporte de Nomina'!J$1,FALSE),"")</f>
        <v/>
      </c>
      <c r="K24" s="106" t="str">
        <f>IFERROR(VLOOKUP($A24,General!$A$3:$S$1000,'Reporte de Nomina'!K$1,FALSE),"")</f>
        <v/>
      </c>
      <c r="L24" s="106" t="str">
        <f>IFERROR(VLOOKUP($A24,General!$A$3:$S$1000,'Reporte de Nomina'!L$1,FALSE),"")</f>
        <v/>
      </c>
      <c r="M24" s="106" t="str">
        <f>IFERROR(VLOOKUP($A24,General!$A$3:$S$1000,'Reporte de Nomina'!M$1,FALSE),"")</f>
        <v/>
      </c>
      <c r="N24" s="137" t="str">
        <f>IFERROR(VLOOKUP($A24,General!$A$3:$S$1000,'Reporte de Nomina'!N$1,FALSE),"")</f>
        <v/>
      </c>
    </row>
    <row r="25" spans="1:14" ht="9" customHeight="1" x14ac:dyDescent="0.25">
      <c r="A25" s="105">
        <v>22</v>
      </c>
      <c r="B25" s="136" t="str">
        <f>IFERROR(VLOOKUP($A25,General!$A$3:$S$1000,'Reporte de Nomina'!B$1,FALSE),"")</f>
        <v/>
      </c>
      <c r="C25" s="106" t="str">
        <f>IFERROR(VLOOKUP($A25,General!$A$3:$S$1000,'Reporte de Nomina'!C$1,FALSE),"")</f>
        <v/>
      </c>
      <c r="D25" s="106" t="str">
        <f>IFERROR(VLOOKUP($A25,General!$A$3:$S$1000,'Reporte de Nomina'!D$1,FALSE),"")</f>
        <v/>
      </c>
      <c r="E25" s="106" t="str">
        <f>IFERROR(VLOOKUP($A25,General!$A$3:$S$1000,'Reporte de Nomina'!E$1,FALSE),"")</f>
        <v/>
      </c>
      <c r="F25" s="106" t="str">
        <f>IFERROR(VLOOKUP($A25,General!$A$3:$S$1000,'Reporte de Nomina'!F$1,FALSE),"")</f>
        <v/>
      </c>
      <c r="G25" s="106" t="str">
        <f>IFERROR(VLOOKUP($A25,General!$A$3:$S$1000,'Reporte de Nomina'!G$1,FALSE),"")</f>
        <v/>
      </c>
      <c r="H25" s="106" t="str">
        <f>IFERROR(VLOOKUP($A25,General!$A$3:$S$1000,'Reporte de Nomina'!H$1,FALSE),"")</f>
        <v/>
      </c>
      <c r="I25" s="106" t="str">
        <f>IFERROR(VLOOKUP($A25,General!$A$3:$S$1000,'Reporte de Nomina'!I$1,FALSE),"")</f>
        <v/>
      </c>
      <c r="J25" s="106" t="str">
        <f>IFERROR(VLOOKUP($A25,General!$A$3:$S$1000,'Reporte de Nomina'!J$1,FALSE),"")</f>
        <v/>
      </c>
      <c r="K25" s="106" t="str">
        <f>IFERROR(VLOOKUP($A25,General!$A$3:$S$1000,'Reporte de Nomina'!K$1,FALSE),"")</f>
        <v/>
      </c>
      <c r="L25" s="106" t="str">
        <f>IFERROR(VLOOKUP($A25,General!$A$3:$S$1000,'Reporte de Nomina'!L$1,FALSE),"")</f>
        <v/>
      </c>
      <c r="M25" s="106" t="str">
        <f>IFERROR(VLOOKUP($A25,General!$A$3:$S$1000,'Reporte de Nomina'!M$1,FALSE),"")</f>
        <v/>
      </c>
      <c r="N25" s="137" t="str">
        <f>IFERROR(VLOOKUP($A25,General!$A$3:$S$1000,'Reporte de Nomina'!N$1,FALSE),"")</f>
        <v/>
      </c>
    </row>
    <row r="26" spans="1:14" ht="9" customHeight="1" x14ac:dyDescent="0.25">
      <c r="A26" s="105">
        <v>23</v>
      </c>
      <c r="B26" s="136" t="str">
        <f>IFERROR(VLOOKUP($A26,General!$A$3:$S$1000,'Reporte de Nomina'!B$1,FALSE),"")</f>
        <v/>
      </c>
      <c r="C26" s="106" t="str">
        <f>IFERROR(VLOOKUP($A26,General!$A$3:$S$1000,'Reporte de Nomina'!C$1,FALSE),"")</f>
        <v/>
      </c>
      <c r="D26" s="106" t="str">
        <f>IFERROR(VLOOKUP($A26,General!$A$3:$S$1000,'Reporte de Nomina'!D$1,FALSE),"")</f>
        <v/>
      </c>
      <c r="E26" s="106" t="str">
        <f>IFERROR(VLOOKUP($A26,General!$A$3:$S$1000,'Reporte de Nomina'!E$1,FALSE),"")</f>
        <v/>
      </c>
      <c r="F26" s="106" t="str">
        <f>IFERROR(VLOOKUP($A26,General!$A$3:$S$1000,'Reporte de Nomina'!F$1,FALSE),"")</f>
        <v/>
      </c>
      <c r="G26" s="106" t="str">
        <f>IFERROR(VLOOKUP($A26,General!$A$3:$S$1000,'Reporte de Nomina'!G$1,FALSE),"")</f>
        <v/>
      </c>
      <c r="H26" s="106" t="str">
        <f>IFERROR(VLOOKUP($A26,General!$A$3:$S$1000,'Reporte de Nomina'!H$1,FALSE),"")</f>
        <v/>
      </c>
      <c r="I26" s="106" t="str">
        <f>IFERROR(VLOOKUP($A26,General!$A$3:$S$1000,'Reporte de Nomina'!I$1,FALSE),"")</f>
        <v/>
      </c>
      <c r="J26" s="106" t="str">
        <f>IFERROR(VLOOKUP($A26,General!$A$3:$S$1000,'Reporte de Nomina'!J$1,FALSE),"")</f>
        <v/>
      </c>
      <c r="K26" s="106" t="str">
        <f>IFERROR(VLOOKUP($A26,General!$A$3:$S$1000,'Reporte de Nomina'!K$1,FALSE),"")</f>
        <v/>
      </c>
      <c r="L26" s="106" t="str">
        <f>IFERROR(VLOOKUP($A26,General!$A$3:$S$1000,'Reporte de Nomina'!L$1,FALSE),"")</f>
        <v/>
      </c>
      <c r="M26" s="106" t="str">
        <f>IFERROR(VLOOKUP($A26,General!$A$3:$S$1000,'Reporte de Nomina'!M$1,FALSE),"")</f>
        <v/>
      </c>
      <c r="N26" s="137" t="str">
        <f>IFERROR(VLOOKUP($A26,General!$A$3:$S$1000,'Reporte de Nomina'!N$1,FALSE),"")</f>
        <v/>
      </c>
    </row>
    <row r="27" spans="1:14" ht="9" customHeight="1" x14ac:dyDescent="0.25">
      <c r="A27" s="105">
        <v>24</v>
      </c>
      <c r="B27" s="136" t="str">
        <f>IFERROR(VLOOKUP($A27,General!$A$3:$S$1000,'Reporte de Nomina'!B$1,FALSE),"")</f>
        <v/>
      </c>
      <c r="C27" s="106" t="str">
        <f>IFERROR(VLOOKUP($A27,General!$A$3:$S$1000,'Reporte de Nomina'!C$1,FALSE),"")</f>
        <v/>
      </c>
      <c r="D27" s="106" t="str">
        <f>IFERROR(VLOOKUP($A27,General!$A$3:$S$1000,'Reporte de Nomina'!D$1,FALSE),"")</f>
        <v/>
      </c>
      <c r="E27" s="106" t="str">
        <f>IFERROR(VLOOKUP($A27,General!$A$3:$S$1000,'Reporte de Nomina'!E$1,FALSE),"")</f>
        <v/>
      </c>
      <c r="F27" s="106" t="str">
        <f>IFERROR(VLOOKUP($A27,General!$A$3:$S$1000,'Reporte de Nomina'!F$1,FALSE),"")</f>
        <v/>
      </c>
      <c r="G27" s="106" t="str">
        <f>IFERROR(VLOOKUP($A27,General!$A$3:$S$1000,'Reporte de Nomina'!G$1,FALSE),"")</f>
        <v/>
      </c>
      <c r="H27" s="106" t="str">
        <f>IFERROR(VLOOKUP($A27,General!$A$3:$S$1000,'Reporte de Nomina'!H$1,FALSE),"")</f>
        <v/>
      </c>
      <c r="I27" s="106" t="str">
        <f>IFERROR(VLOOKUP($A27,General!$A$3:$S$1000,'Reporte de Nomina'!I$1,FALSE),"")</f>
        <v/>
      </c>
      <c r="J27" s="106" t="str">
        <f>IFERROR(VLOOKUP($A27,General!$A$3:$S$1000,'Reporte de Nomina'!J$1,FALSE),"")</f>
        <v/>
      </c>
      <c r="K27" s="106" t="str">
        <f>IFERROR(VLOOKUP($A27,General!$A$3:$S$1000,'Reporte de Nomina'!K$1,FALSE),"")</f>
        <v/>
      </c>
      <c r="L27" s="106" t="str">
        <f>IFERROR(VLOOKUP($A27,General!$A$3:$S$1000,'Reporte de Nomina'!L$1,FALSE),"")</f>
        <v/>
      </c>
      <c r="M27" s="106" t="str">
        <f>IFERROR(VLOOKUP($A27,General!$A$3:$S$1000,'Reporte de Nomina'!M$1,FALSE),"")</f>
        <v/>
      </c>
      <c r="N27" s="137" t="str">
        <f>IFERROR(VLOOKUP($A27,General!$A$3:$S$1000,'Reporte de Nomina'!N$1,FALSE),"")</f>
        <v/>
      </c>
    </row>
    <row r="28" spans="1:14" ht="9" customHeight="1" x14ac:dyDescent="0.25">
      <c r="A28" s="105">
        <v>25</v>
      </c>
      <c r="B28" s="136" t="str">
        <f>IFERROR(VLOOKUP($A28,General!$A$3:$S$1000,'Reporte de Nomina'!B$1,FALSE),"")</f>
        <v/>
      </c>
      <c r="C28" s="106" t="str">
        <f>IFERROR(VLOOKUP($A28,General!$A$3:$S$1000,'Reporte de Nomina'!C$1,FALSE),"")</f>
        <v/>
      </c>
      <c r="D28" s="106" t="str">
        <f>IFERROR(VLOOKUP($A28,General!$A$3:$S$1000,'Reporte de Nomina'!D$1,FALSE),"")</f>
        <v/>
      </c>
      <c r="E28" s="106" t="str">
        <f>IFERROR(VLOOKUP($A28,General!$A$3:$S$1000,'Reporte de Nomina'!E$1,FALSE),"")</f>
        <v/>
      </c>
      <c r="F28" s="106" t="str">
        <f>IFERROR(VLOOKUP($A28,General!$A$3:$S$1000,'Reporte de Nomina'!F$1,FALSE),"")</f>
        <v/>
      </c>
      <c r="G28" s="106" t="str">
        <f>IFERROR(VLOOKUP($A28,General!$A$3:$S$1000,'Reporte de Nomina'!G$1,FALSE),"")</f>
        <v/>
      </c>
      <c r="H28" s="106" t="str">
        <f>IFERROR(VLOOKUP($A28,General!$A$3:$S$1000,'Reporte de Nomina'!H$1,FALSE),"")</f>
        <v/>
      </c>
      <c r="I28" s="106" t="str">
        <f>IFERROR(VLOOKUP($A28,General!$A$3:$S$1000,'Reporte de Nomina'!I$1,FALSE),"")</f>
        <v/>
      </c>
      <c r="J28" s="106" t="str">
        <f>IFERROR(VLOOKUP($A28,General!$A$3:$S$1000,'Reporte de Nomina'!J$1,FALSE),"")</f>
        <v/>
      </c>
      <c r="K28" s="106" t="str">
        <f>IFERROR(VLOOKUP($A28,General!$A$3:$S$1000,'Reporte de Nomina'!K$1,FALSE),"")</f>
        <v/>
      </c>
      <c r="L28" s="106" t="str">
        <f>IFERROR(VLOOKUP($A28,General!$A$3:$S$1000,'Reporte de Nomina'!L$1,FALSE),"")</f>
        <v/>
      </c>
      <c r="M28" s="106" t="str">
        <f>IFERROR(VLOOKUP($A28,General!$A$3:$S$1000,'Reporte de Nomina'!M$1,FALSE),"")</f>
        <v/>
      </c>
      <c r="N28" s="137" t="str">
        <f>IFERROR(VLOOKUP($A28,General!$A$3:$S$1000,'Reporte de Nomina'!N$1,FALSE),"")</f>
        <v/>
      </c>
    </row>
    <row r="29" spans="1:14" ht="9" customHeight="1" x14ac:dyDescent="0.25">
      <c r="A29" s="105">
        <v>26</v>
      </c>
      <c r="B29" s="136" t="str">
        <f>IFERROR(VLOOKUP($A29,General!$A$3:$S$1000,'Reporte de Nomina'!B$1,FALSE),"")</f>
        <v/>
      </c>
      <c r="C29" s="106" t="str">
        <f>IFERROR(VLOOKUP($A29,General!$A$3:$S$1000,'Reporte de Nomina'!C$1,FALSE),"")</f>
        <v/>
      </c>
      <c r="D29" s="106" t="str">
        <f>IFERROR(VLOOKUP($A29,General!$A$3:$S$1000,'Reporte de Nomina'!D$1,FALSE),"")</f>
        <v/>
      </c>
      <c r="E29" s="106" t="str">
        <f>IFERROR(VLOOKUP($A29,General!$A$3:$S$1000,'Reporte de Nomina'!E$1,FALSE),"")</f>
        <v/>
      </c>
      <c r="F29" s="106" t="str">
        <f>IFERROR(VLOOKUP($A29,General!$A$3:$S$1000,'Reporte de Nomina'!F$1,FALSE),"")</f>
        <v/>
      </c>
      <c r="G29" s="106" t="str">
        <f>IFERROR(VLOOKUP($A29,General!$A$3:$S$1000,'Reporte de Nomina'!G$1,FALSE),"")</f>
        <v/>
      </c>
      <c r="H29" s="106" t="str">
        <f>IFERROR(VLOOKUP($A29,General!$A$3:$S$1000,'Reporte de Nomina'!H$1,FALSE),"")</f>
        <v/>
      </c>
      <c r="I29" s="106" t="str">
        <f>IFERROR(VLOOKUP($A29,General!$A$3:$S$1000,'Reporte de Nomina'!I$1,FALSE),"")</f>
        <v/>
      </c>
      <c r="J29" s="106" t="str">
        <f>IFERROR(VLOOKUP($A29,General!$A$3:$S$1000,'Reporte de Nomina'!J$1,FALSE),"")</f>
        <v/>
      </c>
      <c r="K29" s="106" t="str">
        <f>IFERROR(VLOOKUP($A29,General!$A$3:$S$1000,'Reporte de Nomina'!K$1,FALSE),"")</f>
        <v/>
      </c>
      <c r="L29" s="106" t="str">
        <f>IFERROR(VLOOKUP($A29,General!$A$3:$S$1000,'Reporte de Nomina'!L$1,FALSE),"")</f>
        <v/>
      </c>
      <c r="M29" s="106" t="str">
        <f>IFERROR(VLOOKUP($A29,General!$A$3:$S$1000,'Reporte de Nomina'!M$1,FALSE),"")</f>
        <v/>
      </c>
      <c r="N29" s="137" t="str">
        <f>IFERROR(VLOOKUP($A29,General!$A$3:$S$1000,'Reporte de Nomina'!N$1,FALSE),"")</f>
        <v/>
      </c>
    </row>
    <row r="30" spans="1:14" ht="9" customHeight="1" x14ac:dyDescent="0.25">
      <c r="A30" s="105">
        <v>27</v>
      </c>
      <c r="B30" s="136" t="str">
        <f>IFERROR(VLOOKUP($A30,General!$A$3:$S$1000,'Reporte de Nomina'!B$1,FALSE),"")</f>
        <v/>
      </c>
      <c r="C30" s="106" t="str">
        <f>IFERROR(VLOOKUP($A30,General!$A$3:$S$1000,'Reporte de Nomina'!C$1,FALSE),"")</f>
        <v/>
      </c>
      <c r="D30" s="106" t="str">
        <f>IFERROR(VLOOKUP($A30,General!$A$3:$S$1000,'Reporte de Nomina'!D$1,FALSE),"")</f>
        <v/>
      </c>
      <c r="E30" s="106" t="str">
        <f>IFERROR(VLOOKUP($A30,General!$A$3:$S$1000,'Reporte de Nomina'!E$1,FALSE),"")</f>
        <v/>
      </c>
      <c r="F30" s="106" t="str">
        <f>IFERROR(VLOOKUP($A30,General!$A$3:$S$1000,'Reporte de Nomina'!F$1,FALSE),"")</f>
        <v/>
      </c>
      <c r="G30" s="106" t="str">
        <f>IFERROR(VLOOKUP($A30,General!$A$3:$S$1000,'Reporte de Nomina'!G$1,FALSE),"")</f>
        <v/>
      </c>
      <c r="H30" s="106" t="str">
        <f>IFERROR(VLOOKUP($A30,General!$A$3:$S$1000,'Reporte de Nomina'!H$1,FALSE),"")</f>
        <v/>
      </c>
      <c r="I30" s="106" t="str">
        <f>IFERROR(VLOOKUP($A30,General!$A$3:$S$1000,'Reporte de Nomina'!I$1,FALSE),"")</f>
        <v/>
      </c>
      <c r="J30" s="106" t="str">
        <f>IFERROR(VLOOKUP($A30,General!$A$3:$S$1000,'Reporte de Nomina'!J$1,FALSE),"")</f>
        <v/>
      </c>
      <c r="K30" s="106" t="str">
        <f>IFERROR(VLOOKUP($A30,General!$A$3:$S$1000,'Reporte de Nomina'!K$1,FALSE),"")</f>
        <v/>
      </c>
      <c r="L30" s="106" t="str">
        <f>IFERROR(VLOOKUP($A30,General!$A$3:$S$1000,'Reporte de Nomina'!L$1,FALSE),"")</f>
        <v/>
      </c>
      <c r="M30" s="106" t="str">
        <f>IFERROR(VLOOKUP($A30,General!$A$3:$S$1000,'Reporte de Nomina'!M$1,FALSE),"")</f>
        <v/>
      </c>
      <c r="N30" s="137" t="str">
        <f>IFERROR(VLOOKUP($A30,General!$A$3:$S$1000,'Reporte de Nomina'!N$1,FALSE),"")</f>
        <v/>
      </c>
    </row>
    <row r="31" spans="1:14" ht="9" customHeight="1" x14ac:dyDescent="0.25">
      <c r="A31" s="105">
        <v>28</v>
      </c>
      <c r="B31" s="136" t="str">
        <f>IFERROR(VLOOKUP($A31,General!$A$3:$S$1000,'Reporte de Nomina'!B$1,FALSE),"")</f>
        <v/>
      </c>
      <c r="C31" s="106" t="str">
        <f>IFERROR(VLOOKUP($A31,General!$A$3:$S$1000,'Reporte de Nomina'!C$1,FALSE),"")</f>
        <v/>
      </c>
      <c r="D31" s="106" t="str">
        <f>IFERROR(VLOOKUP($A31,General!$A$3:$S$1000,'Reporte de Nomina'!D$1,FALSE),"")</f>
        <v/>
      </c>
      <c r="E31" s="106" t="str">
        <f>IFERROR(VLOOKUP($A31,General!$A$3:$S$1000,'Reporte de Nomina'!E$1,FALSE),"")</f>
        <v/>
      </c>
      <c r="F31" s="106" t="str">
        <f>IFERROR(VLOOKUP($A31,General!$A$3:$S$1000,'Reporte de Nomina'!F$1,FALSE),"")</f>
        <v/>
      </c>
      <c r="G31" s="106" t="str">
        <f>IFERROR(VLOOKUP($A31,General!$A$3:$S$1000,'Reporte de Nomina'!G$1,FALSE),"")</f>
        <v/>
      </c>
      <c r="H31" s="106" t="str">
        <f>IFERROR(VLOOKUP($A31,General!$A$3:$S$1000,'Reporte de Nomina'!H$1,FALSE),"")</f>
        <v/>
      </c>
      <c r="I31" s="106" t="str">
        <f>IFERROR(VLOOKUP($A31,General!$A$3:$S$1000,'Reporte de Nomina'!I$1,FALSE),"")</f>
        <v/>
      </c>
      <c r="J31" s="106" t="str">
        <f>IFERROR(VLOOKUP($A31,General!$A$3:$S$1000,'Reporte de Nomina'!J$1,FALSE),"")</f>
        <v/>
      </c>
      <c r="K31" s="106" t="str">
        <f>IFERROR(VLOOKUP($A31,General!$A$3:$S$1000,'Reporte de Nomina'!K$1,FALSE),"")</f>
        <v/>
      </c>
      <c r="L31" s="106" t="str">
        <f>IFERROR(VLOOKUP($A31,General!$A$3:$S$1000,'Reporte de Nomina'!L$1,FALSE),"")</f>
        <v/>
      </c>
      <c r="M31" s="106" t="str">
        <f>IFERROR(VLOOKUP($A31,General!$A$3:$S$1000,'Reporte de Nomina'!M$1,FALSE),"")</f>
        <v/>
      </c>
      <c r="N31" s="137" t="str">
        <f>IFERROR(VLOOKUP($A31,General!$A$3:$S$1000,'Reporte de Nomina'!N$1,FALSE),"")</f>
        <v/>
      </c>
    </row>
    <row r="32" spans="1:14" ht="9" customHeight="1" x14ac:dyDescent="0.25">
      <c r="A32" s="105">
        <v>29</v>
      </c>
      <c r="B32" s="136" t="str">
        <f>IFERROR(VLOOKUP($A32,General!$A$3:$S$1000,'Reporte de Nomina'!B$1,FALSE),"")</f>
        <v/>
      </c>
      <c r="C32" s="106" t="str">
        <f>IFERROR(VLOOKUP($A32,General!$A$3:$S$1000,'Reporte de Nomina'!C$1,FALSE),"")</f>
        <v/>
      </c>
      <c r="D32" s="106" t="str">
        <f>IFERROR(VLOOKUP($A32,General!$A$3:$S$1000,'Reporte de Nomina'!D$1,FALSE),"")</f>
        <v/>
      </c>
      <c r="E32" s="106" t="str">
        <f>IFERROR(VLOOKUP($A32,General!$A$3:$S$1000,'Reporte de Nomina'!E$1,FALSE),"")</f>
        <v/>
      </c>
      <c r="F32" s="106" t="str">
        <f>IFERROR(VLOOKUP($A32,General!$A$3:$S$1000,'Reporte de Nomina'!F$1,FALSE),"")</f>
        <v/>
      </c>
      <c r="G32" s="106" t="str">
        <f>IFERROR(VLOOKUP($A32,General!$A$3:$S$1000,'Reporte de Nomina'!G$1,FALSE),"")</f>
        <v/>
      </c>
      <c r="H32" s="106" t="str">
        <f>IFERROR(VLOOKUP($A32,General!$A$3:$S$1000,'Reporte de Nomina'!H$1,FALSE),"")</f>
        <v/>
      </c>
      <c r="I32" s="106" t="str">
        <f>IFERROR(VLOOKUP($A32,General!$A$3:$S$1000,'Reporte de Nomina'!I$1,FALSE),"")</f>
        <v/>
      </c>
      <c r="J32" s="106" t="str">
        <f>IFERROR(VLOOKUP($A32,General!$A$3:$S$1000,'Reporte de Nomina'!J$1,FALSE),"")</f>
        <v/>
      </c>
      <c r="K32" s="106" t="str">
        <f>IFERROR(VLOOKUP($A32,General!$A$3:$S$1000,'Reporte de Nomina'!K$1,FALSE),"")</f>
        <v/>
      </c>
      <c r="L32" s="106" t="str">
        <f>IFERROR(VLOOKUP($A32,General!$A$3:$S$1000,'Reporte de Nomina'!L$1,FALSE),"")</f>
        <v/>
      </c>
      <c r="M32" s="106" t="str">
        <f>IFERROR(VLOOKUP($A32,General!$A$3:$S$1000,'Reporte de Nomina'!M$1,FALSE),"")</f>
        <v/>
      </c>
      <c r="N32" s="137" t="str">
        <f>IFERROR(VLOOKUP($A32,General!$A$3:$S$1000,'Reporte de Nomina'!N$1,FALSE),"")</f>
        <v/>
      </c>
    </row>
    <row r="33" spans="1:27" ht="9" customHeight="1" x14ac:dyDescent="0.25">
      <c r="A33" s="105">
        <v>30</v>
      </c>
      <c r="B33" s="136" t="str">
        <f>IFERROR(VLOOKUP($A33,General!$A$3:$S$1000,'Reporte de Nomina'!B$1,FALSE),"")</f>
        <v/>
      </c>
      <c r="C33" s="106" t="str">
        <f>IFERROR(VLOOKUP($A33,General!$A$3:$S$1000,'Reporte de Nomina'!C$1,FALSE),"")</f>
        <v/>
      </c>
      <c r="D33" s="106" t="str">
        <f>IFERROR(VLOOKUP($A33,General!$A$3:$S$1000,'Reporte de Nomina'!D$1,FALSE),"")</f>
        <v/>
      </c>
      <c r="E33" s="106" t="str">
        <f>IFERROR(VLOOKUP($A33,General!$A$3:$S$1000,'Reporte de Nomina'!E$1,FALSE),"")</f>
        <v/>
      </c>
      <c r="F33" s="106" t="str">
        <f>IFERROR(VLOOKUP($A33,General!$A$3:$S$1000,'Reporte de Nomina'!F$1,FALSE),"")</f>
        <v/>
      </c>
      <c r="G33" s="106" t="str">
        <f>IFERROR(VLOOKUP($A33,General!$A$3:$S$1000,'Reporte de Nomina'!G$1,FALSE),"")</f>
        <v/>
      </c>
      <c r="H33" s="106" t="str">
        <f>IFERROR(VLOOKUP($A33,General!$A$3:$S$1000,'Reporte de Nomina'!H$1,FALSE),"")</f>
        <v/>
      </c>
      <c r="I33" s="106" t="str">
        <f>IFERROR(VLOOKUP($A33,General!$A$3:$S$1000,'Reporte de Nomina'!I$1,FALSE),"")</f>
        <v/>
      </c>
      <c r="J33" s="106" t="str">
        <f>IFERROR(VLOOKUP($A33,General!$A$3:$S$1000,'Reporte de Nomina'!J$1,FALSE),"")</f>
        <v/>
      </c>
      <c r="K33" s="106" t="str">
        <f>IFERROR(VLOOKUP($A33,General!$A$3:$S$1000,'Reporte de Nomina'!K$1,FALSE),"")</f>
        <v/>
      </c>
      <c r="L33" s="106" t="str">
        <f>IFERROR(VLOOKUP($A33,General!$A$3:$S$1000,'Reporte de Nomina'!L$1,FALSE),"")</f>
        <v/>
      </c>
      <c r="M33" s="106" t="str">
        <f>IFERROR(VLOOKUP($A33,General!$A$3:$S$1000,'Reporte de Nomina'!M$1,FALSE),"")</f>
        <v/>
      </c>
      <c r="N33" s="137" t="str">
        <f>IFERROR(VLOOKUP($A33,General!$A$3:$S$1000,'Reporte de Nomina'!N$1,FALSE),"")</f>
        <v/>
      </c>
    </row>
    <row r="34" spans="1:27" ht="9" customHeight="1" x14ac:dyDescent="0.25">
      <c r="A34" s="105">
        <v>31</v>
      </c>
      <c r="B34" s="136" t="str">
        <f>IFERROR(VLOOKUP($A34,General!$A$3:$S$1000,'Reporte de Nomina'!B$1,FALSE),"")</f>
        <v/>
      </c>
      <c r="C34" s="106" t="str">
        <f>IFERROR(VLOOKUP($A34,General!$A$3:$S$1000,'Reporte de Nomina'!C$1,FALSE),"")</f>
        <v/>
      </c>
      <c r="D34" s="106" t="str">
        <f>IFERROR(VLOOKUP($A34,General!$A$3:$S$1000,'Reporte de Nomina'!D$1,FALSE),"")</f>
        <v/>
      </c>
      <c r="E34" s="106" t="str">
        <f>IFERROR(VLOOKUP($A34,General!$A$3:$S$1000,'Reporte de Nomina'!E$1,FALSE),"")</f>
        <v/>
      </c>
      <c r="F34" s="106" t="str">
        <f>IFERROR(VLOOKUP($A34,General!$A$3:$S$1000,'Reporte de Nomina'!F$1,FALSE),"")</f>
        <v/>
      </c>
      <c r="G34" s="106" t="str">
        <f>IFERROR(VLOOKUP($A34,General!$A$3:$S$1000,'Reporte de Nomina'!G$1,FALSE),"")</f>
        <v/>
      </c>
      <c r="H34" s="106" t="str">
        <f>IFERROR(VLOOKUP($A34,General!$A$3:$S$1000,'Reporte de Nomina'!H$1,FALSE),"")</f>
        <v/>
      </c>
      <c r="I34" s="106" t="str">
        <f>IFERROR(VLOOKUP($A34,General!$A$3:$S$1000,'Reporte de Nomina'!I$1,FALSE),"")</f>
        <v/>
      </c>
      <c r="J34" s="106" t="str">
        <f>IFERROR(VLOOKUP($A34,General!$A$3:$S$1000,'Reporte de Nomina'!J$1,FALSE),"")</f>
        <v/>
      </c>
      <c r="K34" s="106" t="str">
        <f>IFERROR(VLOOKUP($A34,General!$A$3:$S$1000,'Reporte de Nomina'!K$1,FALSE),"")</f>
        <v/>
      </c>
      <c r="L34" s="106" t="str">
        <f>IFERROR(VLOOKUP($A34,General!$A$3:$S$1000,'Reporte de Nomina'!L$1,FALSE),"")</f>
        <v/>
      </c>
      <c r="M34" s="106" t="str">
        <f>IFERROR(VLOOKUP($A34,General!$A$3:$S$1000,'Reporte de Nomina'!M$1,FALSE),"")</f>
        <v/>
      </c>
      <c r="N34" s="137" t="str">
        <f>IFERROR(VLOOKUP($A34,General!$A$3:$S$1000,'Reporte de Nomina'!N$1,FALSE),"")</f>
        <v/>
      </c>
    </row>
    <row r="35" spans="1:27" ht="9" customHeight="1" x14ac:dyDescent="0.25">
      <c r="A35" s="105">
        <v>32</v>
      </c>
      <c r="B35" s="136" t="str">
        <f>IFERROR(VLOOKUP($A35,General!$A$3:$S$1000,'Reporte de Nomina'!B$1,FALSE),"")</f>
        <v/>
      </c>
      <c r="C35" s="106" t="str">
        <f>IFERROR(VLOOKUP($A35,General!$A$3:$S$1000,'Reporte de Nomina'!C$1,FALSE),"")</f>
        <v/>
      </c>
      <c r="D35" s="106" t="str">
        <f>IFERROR(VLOOKUP($A35,General!$A$3:$S$1000,'Reporte de Nomina'!D$1,FALSE),"")</f>
        <v/>
      </c>
      <c r="E35" s="106" t="str">
        <f>IFERROR(VLOOKUP($A35,General!$A$3:$S$1000,'Reporte de Nomina'!E$1,FALSE),"")</f>
        <v/>
      </c>
      <c r="F35" s="106" t="str">
        <f>IFERROR(VLOOKUP($A35,General!$A$3:$S$1000,'Reporte de Nomina'!F$1,FALSE),"")</f>
        <v/>
      </c>
      <c r="G35" s="106" t="str">
        <f>IFERROR(VLOOKUP($A35,General!$A$3:$S$1000,'Reporte de Nomina'!G$1,FALSE),"")</f>
        <v/>
      </c>
      <c r="H35" s="106" t="str">
        <f>IFERROR(VLOOKUP($A35,General!$A$3:$S$1000,'Reporte de Nomina'!H$1,FALSE),"")</f>
        <v/>
      </c>
      <c r="I35" s="106" t="str">
        <f>IFERROR(VLOOKUP($A35,General!$A$3:$S$1000,'Reporte de Nomina'!I$1,FALSE),"")</f>
        <v/>
      </c>
      <c r="J35" s="106" t="str">
        <f>IFERROR(VLOOKUP($A35,General!$A$3:$S$1000,'Reporte de Nomina'!J$1,FALSE),"")</f>
        <v/>
      </c>
      <c r="K35" s="106" t="str">
        <f>IFERROR(VLOOKUP($A35,General!$A$3:$S$1000,'Reporte de Nomina'!K$1,FALSE),"")</f>
        <v/>
      </c>
      <c r="L35" s="106" t="str">
        <f>IFERROR(VLOOKUP($A35,General!$A$3:$S$1000,'Reporte de Nomina'!L$1,FALSE),"")</f>
        <v/>
      </c>
      <c r="M35" s="106" t="str">
        <f>IFERROR(VLOOKUP($A35,General!$A$3:$S$1000,'Reporte de Nomina'!M$1,FALSE),"")</f>
        <v/>
      </c>
      <c r="N35" s="137" t="str">
        <f>IFERROR(VLOOKUP($A35,General!$A$3:$S$1000,'Reporte de Nomina'!N$1,FALSE),"")</f>
        <v/>
      </c>
    </row>
    <row r="36" spans="1:27" ht="9" customHeight="1" x14ac:dyDescent="0.25">
      <c r="A36" s="105">
        <v>33</v>
      </c>
      <c r="B36" s="136" t="str">
        <f>IFERROR(VLOOKUP($A36,General!$A$3:$S$1000,'Reporte de Nomina'!B$1,FALSE),"")</f>
        <v/>
      </c>
      <c r="C36" s="106" t="str">
        <f>IFERROR(VLOOKUP($A36,General!$A$3:$S$1000,'Reporte de Nomina'!C$1,FALSE),"")</f>
        <v/>
      </c>
      <c r="D36" s="106" t="str">
        <f>IFERROR(VLOOKUP($A36,General!$A$3:$S$1000,'Reporte de Nomina'!D$1,FALSE),"")</f>
        <v/>
      </c>
      <c r="E36" s="106" t="str">
        <f>IFERROR(VLOOKUP($A36,General!$A$3:$S$1000,'Reporte de Nomina'!E$1,FALSE),"")</f>
        <v/>
      </c>
      <c r="F36" s="106" t="str">
        <f>IFERROR(VLOOKUP($A36,General!$A$3:$S$1000,'Reporte de Nomina'!F$1,FALSE),"")</f>
        <v/>
      </c>
      <c r="G36" s="106" t="str">
        <f>IFERROR(VLOOKUP($A36,General!$A$3:$S$1000,'Reporte de Nomina'!G$1,FALSE),"")</f>
        <v/>
      </c>
      <c r="H36" s="106" t="str">
        <f>IFERROR(VLOOKUP($A36,General!$A$3:$S$1000,'Reporte de Nomina'!H$1,FALSE),"")</f>
        <v/>
      </c>
      <c r="I36" s="106" t="str">
        <f>IFERROR(VLOOKUP($A36,General!$A$3:$S$1000,'Reporte de Nomina'!I$1,FALSE),"")</f>
        <v/>
      </c>
      <c r="J36" s="106" t="str">
        <f>IFERROR(VLOOKUP($A36,General!$A$3:$S$1000,'Reporte de Nomina'!J$1,FALSE),"")</f>
        <v/>
      </c>
      <c r="K36" s="106" t="str">
        <f>IFERROR(VLOOKUP($A36,General!$A$3:$S$1000,'Reporte de Nomina'!K$1,FALSE),"")</f>
        <v/>
      </c>
      <c r="L36" s="106" t="str">
        <f>IFERROR(VLOOKUP($A36,General!$A$3:$S$1000,'Reporte de Nomina'!L$1,FALSE),"")</f>
        <v/>
      </c>
      <c r="M36" s="106" t="str">
        <f>IFERROR(VLOOKUP($A36,General!$A$3:$S$1000,'Reporte de Nomina'!M$1,FALSE),"")</f>
        <v/>
      </c>
      <c r="N36" s="137" t="str">
        <f>IFERROR(VLOOKUP($A36,General!$A$3:$S$1000,'Reporte de Nomina'!N$1,FALSE),"")</f>
        <v/>
      </c>
    </row>
    <row r="37" spans="1:27" ht="9" customHeight="1" x14ac:dyDescent="0.25">
      <c r="A37" s="105">
        <v>34</v>
      </c>
      <c r="B37" s="136" t="str">
        <f>IFERROR(VLOOKUP($A37,General!$A$3:$S$1000,'Reporte de Nomina'!B$1,FALSE),"")</f>
        <v/>
      </c>
      <c r="C37" s="106" t="str">
        <f>IFERROR(VLOOKUP($A37,General!$A$3:$S$1000,'Reporte de Nomina'!C$1,FALSE),"")</f>
        <v/>
      </c>
      <c r="D37" s="106" t="str">
        <f>IFERROR(VLOOKUP($A37,General!$A$3:$S$1000,'Reporte de Nomina'!D$1,FALSE),"")</f>
        <v/>
      </c>
      <c r="E37" s="106" t="str">
        <f>IFERROR(VLOOKUP($A37,General!$A$3:$S$1000,'Reporte de Nomina'!E$1,FALSE),"")</f>
        <v/>
      </c>
      <c r="F37" s="106" t="str">
        <f>IFERROR(VLOOKUP($A37,General!$A$3:$S$1000,'Reporte de Nomina'!F$1,FALSE),"")</f>
        <v/>
      </c>
      <c r="G37" s="106" t="str">
        <f>IFERROR(VLOOKUP($A37,General!$A$3:$S$1000,'Reporte de Nomina'!G$1,FALSE),"")</f>
        <v/>
      </c>
      <c r="H37" s="106" t="str">
        <f>IFERROR(VLOOKUP($A37,General!$A$3:$S$1000,'Reporte de Nomina'!H$1,FALSE),"")</f>
        <v/>
      </c>
      <c r="I37" s="106" t="str">
        <f>IFERROR(VLOOKUP($A37,General!$A$3:$S$1000,'Reporte de Nomina'!I$1,FALSE),"")</f>
        <v/>
      </c>
      <c r="J37" s="106" t="str">
        <f>IFERROR(VLOOKUP($A37,General!$A$3:$S$1000,'Reporte de Nomina'!J$1,FALSE),"")</f>
        <v/>
      </c>
      <c r="K37" s="106" t="str">
        <f>IFERROR(VLOOKUP($A37,General!$A$3:$S$1000,'Reporte de Nomina'!K$1,FALSE),"")</f>
        <v/>
      </c>
      <c r="L37" s="106" t="str">
        <f>IFERROR(VLOOKUP($A37,General!$A$3:$S$1000,'Reporte de Nomina'!L$1,FALSE),"")</f>
        <v/>
      </c>
      <c r="M37" s="106" t="str">
        <f>IFERROR(VLOOKUP($A37,General!$A$3:$S$1000,'Reporte de Nomina'!M$1,FALSE),"")</f>
        <v/>
      </c>
      <c r="N37" s="137" t="str">
        <f>IFERROR(VLOOKUP($A37,General!$A$3:$S$1000,'Reporte de Nomina'!N$1,FALSE),"")</f>
        <v/>
      </c>
    </row>
    <row r="38" spans="1:27" ht="9" customHeight="1" thickBot="1" x14ac:dyDescent="0.3">
      <c r="A38" s="105">
        <v>35</v>
      </c>
      <c r="B38" s="138" t="str">
        <f>IFERROR(VLOOKUP($A38,General!$A$3:$S$1000,'Reporte de Nomina'!B$1,FALSE),"")</f>
        <v/>
      </c>
      <c r="C38" s="139" t="str">
        <f>IFERROR(VLOOKUP($A38,General!$A$3:$S$1000,'Reporte de Nomina'!C$1,FALSE),"")</f>
        <v/>
      </c>
      <c r="D38" s="139" t="str">
        <f>IFERROR(VLOOKUP($A38,General!$A$3:$S$1000,'Reporte de Nomina'!D$1,FALSE),"")</f>
        <v/>
      </c>
      <c r="E38" s="139" t="str">
        <f>IFERROR(VLOOKUP($A38,General!$A$3:$S$1000,'Reporte de Nomina'!E$1,FALSE),"")</f>
        <v/>
      </c>
      <c r="F38" s="139" t="str">
        <f>IFERROR(VLOOKUP($A38,General!$A$3:$S$1000,'Reporte de Nomina'!F$1,FALSE),"")</f>
        <v/>
      </c>
      <c r="G38" s="139" t="str">
        <f>IFERROR(VLOOKUP($A38,General!$A$3:$S$1000,'Reporte de Nomina'!G$1,FALSE),"")</f>
        <v/>
      </c>
      <c r="H38" s="139" t="str">
        <f>IFERROR(VLOOKUP($A38,General!$A$3:$S$1000,'Reporte de Nomina'!H$1,FALSE),"")</f>
        <v/>
      </c>
      <c r="I38" s="139" t="str">
        <f>IFERROR(VLOOKUP($A38,General!$A$3:$S$1000,'Reporte de Nomina'!I$1,FALSE),"")</f>
        <v/>
      </c>
      <c r="J38" s="139" t="str">
        <f>IFERROR(VLOOKUP($A38,General!$A$3:$S$1000,'Reporte de Nomina'!J$1,FALSE),"")</f>
        <v/>
      </c>
      <c r="K38" s="139" t="str">
        <f>IFERROR(VLOOKUP($A38,General!$A$3:$S$1000,'Reporte de Nomina'!K$1,FALSE),"")</f>
        <v/>
      </c>
      <c r="L38" s="139" t="str">
        <f>IFERROR(VLOOKUP($A38,General!$A$3:$S$1000,'Reporte de Nomina'!L$1,FALSE),"")</f>
        <v/>
      </c>
      <c r="M38" s="139" t="str">
        <f>IFERROR(VLOOKUP($A38,General!$A$3:$S$1000,'Reporte de Nomina'!M$1,FALSE),"")</f>
        <v/>
      </c>
      <c r="N38" s="140" t="str">
        <f>IFERROR(VLOOKUP($A38,General!$A$3:$S$1000,'Reporte de Nomina'!N$1,FALSE),"")</f>
        <v/>
      </c>
    </row>
    <row r="40" spans="1:27" ht="15.75" thickBot="1" x14ac:dyDescent="0.3">
      <c r="A40" s="100"/>
      <c r="B40" s="101">
        <v>2</v>
      </c>
      <c r="C40" s="101">
        <v>3</v>
      </c>
      <c r="D40" s="101">
        <v>4</v>
      </c>
      <c r="E40" s="101">
        <v>5</v>
      </c>
      <c r="F40" s="101">
        <v>6</v>
      </c>
      <c r="G40" s="101">
        <v>7</v>
      </c>
      <c r="H40" s="101">
        <v>8</v>
      </c>
      <c r="I40" s="101">
        <v>9</v>
      </c>
      <c r="J40" s="101">
        <v>10</v>
      </c>
      <c r="K40" s="101">
        <v>11</v>
      </c>
      <c r="L40" s="101">
        <v>12</v>
      </c>
      <c r="M40" s="101">
        <v>13</v>
      </c>
      <c r="N40" s="101">
        <v>14</v>
      </c>
      <c r="O40" s="100">
        <v>15</v>
      </c>
      <c r="P40" s="100">
        <v>16</v>
      </c>
      <c r="Q40" s="100">
        <v>17</v>
      </c>
      <c r="R40" s="100">
        <v>18</v>
      </c>
      <c r="S40" s="100">
        <v>19</v>
      </c>
      <c r="T40" s="100">
        <v>20</v>
      </c>
      <c r="U40" s="100">
        <v>21</v>
      </c>
      <c r="V40" s="100">
        <v>22</v>
      </c>
      <c r="W40" s="100">
        <v>23</v>
      </c>
      <c r="X40" s="100">
        <v>24</v>
      </c>
      <c r="Y40" s="100">
        <v>25</v>
      </c>
      <c r="Z40" s="100">
        <v>26</v>
      </c>
      <c r="AA40" s="100">
        <v>27</v>
      </c>
    </row>
    <row r="41" spans="1:27" ht="15.75" thickBot="1" x14ac:dyDescent="0.3">
      <c r="B41" s="251" t="s">
        <v>201</v>
      </c>
      <c r="C41" s="252"/>
      <c r="D41" s="252"/>
      <c r="E41" s="114" t="str">
        <f>Empleados!R55</f>
        <v>Muñoz Garcia Francisco Javier</v>
      </c>
      <c r="F41" s="114">
        <f>VLOOKUP($E41,[1]Datos!$S$54:$T$74,2,0)</f>
        <v>39936</v>
      </c>
      <c r="G41" s="253" t="s">
        <v>202</v>
      </c>
      <c r="H41" s="253"/>
      <c r="I41" s="115"/>
      <c r="J41" s="115"/>
      <c r="K41" s="115"/>
      <c r="L41" s="115"/>
      <c r="M41" s="115"/>
      <c r="N41" s="116"/>
    </row>
    <row r="42" spans="1:27" ht="22.5" x14ac:dyDescent="0.25">
      <c r="B42" s="107" t="s">
        <v>184</v>
      </c>
      <c r="C42" s="102" t="s">
        <v>186</v>
      </c>
      <c r="D42" s="102" t="s">
        <v>200</v>
      </c>
      <c r="E42" s="102" t="s">
        <v>185</v>
      </c>
      <c r="F42" s="103" t="s">
        <v>187</v>
      </c>
      <c r="G42" s="103" t="s">
        <v>188</v>
      </c>
      <c r="H42" s="102" t="s">
        <v>190</v>
      </c>
      <c r="I42" s="102" t="s">
        <v>191</v>
      </c>
      <c r="J42" s="102" t="s">
        <v>192</v>
      </c>
      <c r="K42" s="102" t="s">
        <v>203</v>
      </c>
      <c r="L42" s="102" t="s">
        <v>204</v>
      </c>
      <c r="M42" s="104" t="s">
        <v>196</v>
      </c>
      <c r="N42" s="108" t="s">
        <v>205</v>
      </c>
    </row>
    <row r="43" spans="1:27" ht="9" customHeight="1" x14ac:dyDescent="0.25">
      <c r="A43" s="105">
        <v>1</v>
      </c>
      <c r="B43" s="109"/>
      <c r="C43" s="106"/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10"/>
    </row>
    <row r="44" spans="1:27" ht="9" customHeight="1" x14ac:dyDescent="0.25">
      <c r="A44" s="105">
        <v>2</v>
      </c>
      <c r="B44" s="109"/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10"/>
    </row>
    <row r="45" spans="1:27" ht="9" customHeight="1" x14ac:dyDescent="0.25">
      <c r="A45" s="105">
        <v>3</v>
      </c>
      <c r="B45" s="109"/>
      <c r="C45" s="106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10"/>
    </row>
    <row r="46" spans="1:27" ht="9" customHeight="1" x14ac:dyDescent="0.25">
      <c r="A46" s="105">
        <v>4</v>
      </c>
      <c r="B46" s="109"/>
      <c r="C46" s="106"/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10"/>
    </row>
    <row r="47" spans="1:27" ht="9" customHeight="1" x14ac:dyDescent="0.25">
      <c r="A47" s="105">
        <v>5</v>
      </c>
      <c r="B47" s="109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10"/>
    </row>
    <row r="48" spans="1:27" ht="9" customHeight="1" x14ac:dyDescent="0.25">
      <c r="A48" s="105">
        <v>6</v>
      </c>
      <c r="B48" s="109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10"/>
    </row>
    <row r="49" spans="1:14" ht="9" customHeight="1" x14ac:dyDescent="0.25">
      <c r="A49" s="105">
        <v>7</v>
      </c>
      <c r="B49" s="109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10"/>
    </row>
    <row r="50" spans="1:14" ht="9" customHeight="1" x14ac:dyDescent="0.25">
      <c r="A50" s="105">
        <v>8</v>
      </c>
      <c r="B50" s="109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10"/>
    </row>
    <row r="51" spans="1:14" ht="9" customHeight="1" x14ac:dyDescent="0.25">
      <c r="A51" s="105">
        <v>9</v>
      </c>
      <c r="B51" s="109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10"/>
    </row>
    <row r="52" spans="1:14" ht="9" customHeight="1" x14ac:dyDescent="0.25">
      <c r="A52" s="105">
        <v>10</v>
      </c>
      <c r="B52" s="109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10"/>
    </row>
    <row r="53" spans="1:14" ht="9" customHeight="1" x14ac:dyDescent="0.25">
      <c r="A53" s="105">
        <v>11</v>
      </c>
      <c r="B53" s="109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10"/>
    </row>
    <row r="54" spans="1:14" ht="9" customHeight="1" x14ac:dyDescent="0.25">
      <c r="A54" s="105">
        <v>12</v>
      </c>
      <c r="B54" s="109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10"/>
    </row>
    <row r="55" spans="1:14" ht="9" customHeight="1" x14ac:dyDescent="0.25">
      <c r="A55" s="105">
        <v>13</v>
      </c>
      <c r="B55" s="109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10"/>
    </row>
    <row r="56" spans="1:14" ht="9" customHeight="1" x14ac:dyDescent="0.25">
      <c r="A56" s="105">
        <v>14</v>
      </c>
      <c r="B56" s="109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10"/>
    </row>
    <row r="57" spans="1:14" ht="9" customHeight="1" x14ac:dyDescent="0.25">
      <c r="A57" s="105">
        <v>15</v>
      </c>
      <c r="B57" s="109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10"/>
    </row>
    <row r="58" spans="1:14" ht="9" customHeight="1" x14ac:dyDescent="0.25">
      <c r="A58" s="105">
        <v>16</v>
      </c>
      <c r="B58" s="109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10"/>
    </row>
    <row r="59" spans="1:14" ht="9" customHeight="1" x14ac:dyDescent="0.25">
      <c r="A59" s="105">
        <v>17</v>
      </c>
      <c r="B59" s="109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10"/>
    </row>
    <row r="60" spans="1:14" ht="9" customHeight="1" x14ac:dyDescent="0.25">
      <c r="A60" s="105">
        <v>18</v>
      </c>
      <c r="B60" s="109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10"/>
    </row>
    <row r="61" spans="1:14" ht="9" customHeight="1" x14ac:dyDescent="0.25">
      <c r="A61" s="105">
        <v>19</v>
      </c>
      <c r="B61" s="109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10"/>
    </row>
    <row r="62" spans="1:14" ht="9" customHeight="1" x14ac:dyDescent="0.25">
      <c r="A62" s="105">
        <v>20</v>
      </c>
      <c r="B62" s="109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10"/>
    </row>
    <row r="63" spans="1:14" ht="9" customHeight="1" x14ac:dyDescent="0.25">
      <c r="A63" s="105">
        <v>21</v>
      </c>
      <c r="B63" s="109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10"/>
    </row>
    <row r="64" spans="1:14" ht="9" customHeight="1" x14ac:dyDescent="0.25">
      <c r="A64" s="105">
        <v>22</v>
      </c>
      <c r="B64" s="109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10"/>
    </row>
    <row r="65" spans="1:27" ht="9" customHeight="1" x14ac:dyDescent="0.25">
      <c r="A65" s="105">
        <v>23</v>
      </c>
      <c r="B65" s="109"/>
      <c r="C65" s="106"/>
      <c r="D65" s="106"/>
      <c r="E65" s="106"/>
      <c r="F65" s="106"/>
      <c r="G65" s="106"/>
      <c r="H65" s="106"/>
      <c r="I65" s="106"/>
      <c r="J65" s="106"/>
      <c r="K65" s="106"/>
      <c r="L65" s="106"/>
      <c r="M65" s="106"/>
      <c r="N65" s="110"/>
    </row>
    <row r="66" spans="1:27" ht="9" customHeight="1" x14ac:dyDescent="0.25">
      <c r="A66" s="105">
        <v>24</v>
      </c>
      <c r="B66" s="109"/>
      <c r="C66" s="106"/>
      <c r="D66" s="106"/>
      <c r="E66" s="106"/>
      <c r="F66" s="106"/>
      <c r="G66" s="106"/>
      <c r="H66" s="106"/>
      <c r="I66" s="106"/>
      <c r="J66" s="106"/>
      <c r="K66" s="106"/>
      <c r="L66" s="106"/>
      <c r="M66" s="106"/>
      <c r="N66" s="110"/>
    </row>
    <row r="67" spans="1:27" ht="9" customHeight="1" x14ac:dyDescent="0.25">
      <c r="A67" s="105">
        <v>25</v>
      </c>
      <c r="B67" s="109"/>
      <c r="C67" s="106"/>
      <c r="D67" s="106"/>
      <c r="E67" s="106"/>
      <c r="F67" s="106"/>
      <c r="G67" s="106"/>
      <c r="H67" s="106"/>
      <c r="I67" s="106"/>
      <c r="J67" s="106"/>
      <c r="K67" s="106"/>
      <c r="L67" s="106"/>
      <c r="M67" s="106"/>
      <c r="N67" s="110"/>
    </row>
    <row r="68" spans="1:27" ht="9" customHeight="1" x14ac:dyDescent="0.25">
      <c r="A68" s="105">
        <v>26</v>
      </c>
      <c r="B68" s="109"/>
      <c r="C68" s="106"/>
      <c r="D68" s="106"/>
      <c r="E68" s="106"/>
      <c r="F68" s="106"/>
      <c r="G68" s="106"/>
      <c r="H68" s="106"/>
      <c r="I68" s="106"/>
      <c r="J68" s="106"/>
      <c r="K68" s="106"/>
      <c r="L68" s="106"/>
      <c r="M68" s="106"/>
      <c r="N68" s="110"/>
    </row>
    <row r="69" spans="1:27" ht="9" customHeight="1" x14ac:dyDescent="0.25">
      <c r="A69" s="105">
        <v>27</v>
      </c>
      <c r="B69" s="109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10"/>
    </row>
    <row r="70" spans="1:27" ht="9" customHeight="1" x14ac:dyDescent="0.25">
      <c r="A70" s="105">
        <v>28</v>
      </c>
      <c r="B70" s="109"/>
      <c r="C70" s="106"/>
      <c r="D70" s="106"/>
      <c r="E70" s="106"/>
      <c r="F70" s="106"/>
      <c r="G70" s="106"/>
      <c r="H70" s="106"/>
      <c r="I70" s="106"/>
      <c r="J70" s="106"/>
      <c r="K70" s="106"/>
      <c r="L70" s="106"/>
      <c r="M70" s="106"/>
      <c r="N70" s="110"/>
    </row>
    <row r="71" spans="1:27" ht="9" customHeight="1" x14ac:dyDescent="0.25">
      <c r="A71" s="105">
        <v>29</v>
      </c>
      <c r="B71" s="109"/>
      <c r="C71" s="106"/>
      <c r="D71" s="106"/>
      <c r="E71" s="106"/>
      <c r="F71" s="106"/>
      <c r="G71" s="106"/>
      <c r="H71" s="106"/>
      <c r="I71" s="106"/>
      <c r="J71" s="106"/>
      <c r="K71" s="106"/>
      <c r="L71" s="106"/>
      <c r="M71" s="106"/>
      <c r="N71" s="110"/>
    </row>
    <row r="72" spans="1:27" ht="9" customHeight="1" x14ac:dyDescent="0.25">
      <c r="A72" s="105">
        <v>30</v>
      </c>
      <c r="B72" s="109"/>
      <c r="C72" s="106"/>
      <c r="D72" s="106"/>
      <c r="E72" s="106"/>
      <c r="F72" s="106"/>
      <c r="G72" s="106"/>
      <c r="H72" s="106"/>
      <c r="I72" s="106"/>
      <c r="J72" s="106"/>
      <c r="K72" s="106"/>
      <c r="L72" s="106"/>
      <c r="M72" s="106"/>
      <c r="N72" s="110"/>
    </row>
    <row r="73" spans="1:27" ht="9" customHeight="1" x14ac:dyDescent="0.25">
      <c r="A73" s="105">
        <v>31</v>
      </c>
      <c r="B73" s="109"/>
      <c r="C73" s="106"/>
      <c r="D73" s="106"/>
      <c r="E73" s="106"/>
      <c r="F73" s="106"/>
      <c r="G73" s="106"/>
      <c r="H73" s="106"/>
      <c r="I73" s="106"/>
      <c r="J73" s="106"/>
      <c r="K73" s="106"/>
      <c r="L73" s="106"/>
      <c r="M73" s="106"/>
      <c r="N73" s="110"/>
    </row>
    <row r="74" spans="1:27" ht="9" customHeight="1" x14ac:dyDescent="0.25">
      <c r="A74" s="105">
        <v>32</v>
      </c>
      <c r="B74" s="109"/>
      <c r="C74" s="106"/>
      <c r="D74" s="106"/>
      <c r="E74" s="106"/>
      <c r="F74" s="106"/>
      <c r="G74" s="106"/>
      <c r="H74" s="106"/>
      <c r="I74" s="106"/>
      <c r="J74" s="106"/>
      <c r="K74" s="106"/>
      <c r="L74" s="106"/>
      <c r="M74" s="106"/>
      <c r="N74" s="110"/>
    </row>
    <row r="75" spans="1:27" ht="9" customHeight="1" x14ac:dyDescent="0.25">
      <c r="A75" s="105">
        <v>33</v>
      </c>
      <c r="B75" s="109"/>
      <c r="C75" s="106"/>
      <c r="D75" s="106"/>
      <c r="E75" s="106"/>
      <c r="F75" s="106"/>
      <c r="G75" s="106"/>
      <c r="H75" s="106"/>
      <c r="I75" s="106"/>
      <c r="J75" s="106"/>
      <c r="K75" s="106"/>
      <c r="L75" s="106"/>
      <c r="M75" s="106"/>
      <c r="N75" s="110"/>
    </row>
    <row r="76" spans="1:27" ht="9" customHeight="1" x14ac:dyDescent="0.25">
      <c r="A76" s="105">
        <v>34</v>
      </c>
      <c r="B76" s="109"/>
      <c r="C76" s="106"/>
      <c r="D76" s="106"/>
      <c r="E76" s="106"/>
      <c r="F76" s="106"/>
      <c r="G76" s="106"/>
      <c r="H76" s="106"/>
      <c r="I76" s="106"/>
      <c r="J76" s="106"/>
      <c r="K76" s="106"/>
      <c r="L76" s="106"/>
      <c r="M76" s="106"/>
      <c r="N76" s="110"/>
    </row>
    <row r="77" spans="1:27" ht="9" customHeight="1" thickBot="1" x14ac:dyDescent="0.3">
      <c r="A77" s="105">
        <v>35</v>
      </c>
      <c r="B77" s="111"/>
      <c r="C77" s="112"/>
      <c r="D77" s="112"/>
      <c r="E77" s="112"/>
      <c r="F77" s="112"/>
      <c r="G77" s="112"/>
      <c r="H77" s="112"/>
      <c r="I77" s="112"/>
      <c r="J77" s="112"/>
      <c r="K77" s="112"/>
      <c r="L77" s="112"/>
      <c r="M77" s="112"/>
      <c r="N77" s="113"/>
    </row>
    <row r="79" spans="1:27" ht="15.75" thickBot="1" x14ac:dyDescent="0.3">
      <c r="A79" s="100"/>
      <c r="B79" s="101">
        <v>2</v>
      </c>
      <c r="C79" s="101">
        <v>3</v>
      </c>
      <c r="D79" s="101">
        <v>4</v>
      </c>
      <c r="E79" s="101">
        <v>5</v>
      </c>
      <c r="F79" s="101">
        <v>6</v>
      </c>
      <c r="G79" s="101">
        <v>7</v>
      </c>
      <c r="H79" s="101">
        <v>8</v>
      </c>
      <c r="I79" s="101">
        <v>9</v>
      </c>
      <c r="J79" s="101">
        <v>10</v>
      </c>
      <c r="K79" s="101">
        <v>11</v>
      </c>
      <c r="L79" s="101">
        <v>12</v>
      </c>
      <c r="M79" s="101">
        <v>13</v>
      </c>
      <c r="N79" s="101">
        <v>14</v>
      </c>
      <c r="O79" s="100">
        <v>15</v>
      </c>
      <c r="P79" s="100">
        <v>16</v>
      </c>
      <c r="Q79" s="100">
        <v>17</v>
      </c>
      <c r="R79" s="100">
        <v>18</v>
      </c>
      <c r="S79" s="100">
        <v>19</v>
      </c>
      <c r="T79" s="100">
        <v>20</v>
      </c>
      <c r="U79" s="100">
        <v>21</v>
      </c>
      <c r="V79" s="100">
        <v>22</v>
      </c>
      <c r="W79" s="100">
        <v>23</v>
      </c>
      <c r="X79" s="100">
        <v>24</v>
      </c>
      <c r="Y79" s="100">
        <v>25</v>
      </c>
      <c r="Z79" s="100">
        <v>26</v>
      </c>
      <c r="AA79" s="100">
        <v>27</v>
      </c>
    </row>
    <row r="80" spans="1:27" ht="15.75" thickBot="1" x14ac:dyDescent="0.3">
      <c r="B80" s="251" t="s">
        <v>207</v>
      </c>
      <c r="C80" s="252"/>
      <c r="D80" s="252"/>
      <c r="E80" s="114" t="str">
        <f>Empleados!R56</f>
        <v>Álvarez Díaz Andrés</v>
      </c>
      <c r="F80" s="114">
        <f>VLOOKUP($E80,[1]Datos!$S$54:$T$74,2,0)</f>
        <v>7132</v>
      </c>
      <c r="G80" s="253" t="s">
        <v>202</v>
      </c>
      <c r="H80" s="253"/>
      <c r="I80" s="115"/>
      <c r="J80" s="115"/>
      <c r="K80" s="115"/>
      <c r="L80" s="115"/>
      <c r="M80" s="115"/>
      <c r="N80" s="116"/>
    </row>
    <row r="81" spans="1:14" ht="22.5" x14ac:dyDescent="0.25">
      <c r="B81" s="107" t="s">
        <v>184</v>
      </c>
      <c r="C81" s="102" t="s">
        <v>186</v>
      </c>
      <c r="D81" s="102" t="s">
        <v>200</v>
      </c>
      <c r="E81" s="102" t="s">
        <v>185</v>
      </c>
      <c r="F81" s="103" t="s">
        <v>187</v>
      </c>
      <c r="G81" s="103" t="s">
        <v>188</v>
      </c>
      <c r="H81" s="102" t="s">
        <v>190</v>
      </c>
      <c r="I81" s="102" t="s">
        <v>191</v>
      </c>
      <c r="J81" s="102" t="s">
        <v>192</v>
      </c>
      <c r="K81" s="102" t="s">
        <v>203</v>
      </c>
      <c r="L81" s="102" t="s">
        <v>204</v>
      </c>
      <c r="M81" s="104" t="s">
        <v>196</v>
      </c>
      <c r="N81" s="108" t="s">
        <v>205</v>
      </c>
    </row>
    <row r="82" spans="1:14" ht="9" customHeight="1" x14ac:dyDescent="0.25">
      <c r="A82" s="105">
        <v>1</v>
      </c>
      <c r="B82" s="109"/>
      <c r="C82" s="106"/>
      <c r="D82" s="106"/>
      <c r="E82" s="106"/>
      <c r="F82" s="106"/>
      <c r="G82" s="106"/>
      <c r="H82" s="106"/>
      <c r="I82" s="106"/>
      <c r="J82" s="106"/>
      <c r="K82" s="106"/>
      <c r="L82" s="106"/>
      <c r="M82" s="106"/>
      <c r="N82" s="110"/>
    </row>
    <row r="83" spans="1:14" ht="9" customHeight="1" x14ac:dyDescent="0.25">
      <c r="A83" s="105">
        <v>2</v>
      </c>
      <c r="B83" s="109"/>
      <c r="C83" s="106"/>
      <c r="D83" s="106"/>
      <c r="E83" s="106"/>
      <c r="F83" s="106"/>
      <c r="G83" s="106"/>
      <c r="H83" s="106"/>
      <c r="I83" s="106"/>
      <c r="J83" s="106"/>
      <c r="K83" s="106"/>
      <c r="L83" s="106"/>
      <c r="M83" s="106"/>
      <c r="N83" s="110"/>
    </row>
    <row r="84" spans="1:14" ht="9" customHeight="1" x14ac:dyDescent="0.25">
      <c r="A84" s="105">
        <v>3</v>
      </c>
      <c r="B84" s="109"/>
      <c r="C84" s="106"/>
      <c r="D84" s="106"/>
      <c r="E84" s="106"/>
      <c r="F84" s="106"/>
      <c r="G84" s="106"/>
      <c r="H84" s="106"/>
      <c r="I84" s="106"/>
      <c r="J84" s="106"/>
      <c r="K84" s="106"/>
      <c r="L84" s="106"/>
      <c r="M84" s="106"/>
      <c r="N84" s="110"/>
    </row>
    <row r="85" spans="1:14" ht="9" customHeight="1" x14ac:dyDescent="0.25">
      <c r="A85" s="105">
        <v>4</v>
      </c>
      <c r="B85" s="109"/>
      <c r="C85" s="106"/>
      <c r="D85" s="106"/>
      <c r="E85" s="106"/>
      <c r="F85" s="106"/>
      <c r="G85" s="106"/>
      <c r="H85" s="106"/>
      <c r="I85" s="106"/>
      <c r="J85" s="106"/>
      <c r="K85" s="106"/>
      <c r="L85" s="106"/>
      <c r="M85" s="106"/>
      <c r="N85" s="110"/>
    </row>
    <row r="86" spans="1:14" ht="9" customHeight="1" x14ac:dyDescent="0.25">
      <c r="A86" s="105">
        <v>5</v>
      </c>
      <c r="B86" s="109"/>
      <c r="C86" s="106"/>
      <c r="D86" s="106"/>
      <c r="E86" s="106"/>
      <c r="F86" s="106"/>
      <c r="G86" s="106"/>
      <c r="H86" s="106"/>
      <c r="I86" s="106"/>
      <c r="J86" s="106"/>
      <c r="K86" s="106"/>
      <c r="L86" s="106"/>
      <c r="M86" s="106"/>
      <c r="N86" s="110"/>
    </row>
    <row r="87" spans="1:14" ht="9" customHeight="1" x14ac:dyDescent="0.25">
      <c r="A87" s="105">
        <v>6</v>
      </c>
      <c r="B87" s="109"/>
      <c r="C87" s="106"/>
      <c r="D87" s="106"/>
      <c r="E87" s="106"/>
      <c r="F87" s="106"/>
      <c r="G87" s="106"/>
      <c r="H87" s="106"/>
      <c r="I87" s="106"/>
      <c r="J87" s="106"/>
      <c r="K87" s="106"/>
      <c r="L87" s="106"/>
      <c r="M87" s="106"/>
      <c r="N87" s="110"/>
    </row>
    <row r="88" spans="1:14" ht="9" customHeight="1" x14ac:dyDescent="0.25">
      <c r="A88" s="105">
        <v>7</v>
      </c>
      <c r="B88" s="109"/>
      <c r="C88" s="106"/>
      <c r="D88" s="106"/>
      <c r="E88" s="106"/>
      <c r="F88" s="106"/>
      <c r="G88" s="106"/>
      <c r="H88" s="106"/>
      <c r="I88" s="106"/>
      <c r="J88" s="106"/>
      <c r="K88" s="106"/>
      <c r="L88" s="106"/>
      <c r="M88" s="106"/>
      <c r="N88" s="110"/>
    </row>
    <row r="89" spans="1:14" ht="9" customHeight="1" x14ac:dyDescent="0.25">
      <c r="A89" s="105">
        <v>8</v>
      </c>
      <c r="B89" s="109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10"/>
    </row>
    <row r="90" spans="1:14" ht="9" customHeight="1" x14ac:dyDescent="0.25">
      <c r="A90" s="105">
        <v>9</v>
      </c>
      <c r="B90" s="109"/>
      <c r="C90" s="106"/>
      <c r="D90" s="106"/>
      <c r="E90" s="106"/>
      <c r="F90" s="106"/>
      <c r="G90" s="106"/>
      <c r="H90" s="106"/>
      <c r="I90" s="106"/>
      <c r="J90" s="106"/>
      <c r="K90" s="106"/>
      <c r="L90" s="106"/>
      <c r="M90" s="106"/>
      <c r="N90" s="110"/>
    </row>
    <row r="91" spans="1:14" ht="9" customHeight="1" x14ac:dyDescent="0.25">
      <c r="A91" s="105">
        <v>10</v>
      </c>
      <c r="B91" s="109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10"/>
    </row>
    <row r="92" spans="1:14" ht="9" customHeight="1" x14ac:dyDescent="0.25">
      <c r="A92" s="105">
        <v>11</v>
      </c>
      <c r="B92" s="109"/>
      <c r="C92" s="106"/>
      <c r="D92" s="106"/>
      <c r="E92" s="106"/>
      <c r="F92" s="106"/>
      <c r="G92" s="106"/>
      <c r="H92" s="106"/>
      <c r="I92" s="106"/>
      <c r="J92" s="106"/>
      <c r="K92" s="106"/>
      <c r="L92" s="106"/>
      <c r="M92" s="106"/>
      <c r="N92" s="110"/>
    </row>
    <row r="93" spans="1:14" ht="9" customHeight="1" x14ac:dyDescent="0.25">
      <c r="A93" s="105">
        <v>12</v>
      </c>
      <c r="B93" s="109"/>
      <c r="C93" s="106"/>
      <c r="D93" s="106"/>
      <c r="E93" s="106"/>
      <c r="F93" s="106"/>
      <c r="G93" s="106"/>
      <c r="H93" s="106"/>
      <c r="I93" s="106"/>
      <c r="J93" s="106"/>
      <c r="K93" s="106"/>
      <c r="L93" s="106"/>
      <c r="M93" s="106"/>
      <c r="N93" s="110"/>
    </row>
    <row r="94" spans="1:14" ht="9" customHeight="1" x14ac:dyDescent="0.25">
      <c r="A94" s="105">
        <v>13</v>
      </c>
      <c r="B94" s="109"/>
      <c r="C94" s="106"/>
      <c r="D94" s="106"/>
      <c r="E94" s="106"/>
      <c r="F94" s="106"/>
      <c r="G94" s="106"/>
      <c r="H94" s="106"/>
      <c r="I94" s="106"/>
      <c r="J94" s="106"/>
      <c r="K94" s="106"/>
      <c r="L94" s="106"/>
      <c r="M94" s="106"/>
      <c r="N94" s="110"/>
    </row>
    <row r="95" spans="1:14" ht="9" customHeight="1" x14ac:dyDescent="0.25">
      <c r="A95" s="105">
        <v>14</v>
      </c>
      <c r="B95" s="109"/>
      <c r="C95" s="106"/>
      <c r="D95" s="106"/>
      <c r="E95" s="106"/>
      <c r="F95" s="106"/>
      <c r="G95" s="106"/>
      <c r="H95" s="106"/>
      <c r="I95" s="106"/>
      <c r="J95" s="106"/>
      <c r="K95" s="106"/>
      <c r="L95" s="106"/>
      <c r="M95" s="106"/>
      <c r="N95" s="110"/>
    </row>
    <row r="96" spans="1:14" ht="9" customHeight="1" x14ac:dyDescent="0.25">
      <c r="A96" s="105">
        <v>15</v>
      </c>
      <c r="B96" s="109"/>
      <c r="C96" s="106"/>
      <c r="D96" s="106"/>
      <c r="E96" s="106"/>
      <c r="F96" s="106"/>
      <c r="G96" s="106"/>
      <c r="H96" s="106"/>
      <c r="I96" s="106"/>
      <c r="J96" s="106"/>
      <c r="K96" s="106"/>
      <c r="L96" s="106"/>
      <c r="M96" s="106"/>
      <c r="N96" s="110"/>
    </row>
    <row r="97" spans="1:14" ht="9" customHeight="1" x14ac:dyDescent="0.25">
      <c r="A97" s="105">
        <v>16</v>
      </c>
      <c r="B97" s="109"/>
      <c r="C97" s="106"/>
      <c r="D97" s="106"/>
      <c r="E97" s="106"/>
      <c r="F97" s="106"/>
      <c r="G97" s="106"/>
      <c r="H97" s="106"/>
      <c r="I97" s="106"/>
      <c r="J97" s="106"/>
      <c r="K97" s="106"/>
      <c r="L97" s="106"/>
      <c r="M97" s="106"/>
      <c r="N97" s="110"/>
    </row>
    <row r="98" spans="1:14" ht="9" customHeight="1" x14ac:dyDescent="0.25">
      <c r="A98" s="105">
        <v>17</v>
      </c>
      <c r="B98" s="109"/>
      <c r="C98" s="106"/>
      <c r="D98" s="106"/>
      <c r="E98" s="106"/>
      <c r="F98" s="106"/>
      <c r="G98" s="106"/>
      <c r="H98" s="106"/>
      <c r="I98" s="106"/>
      <c r="J98" s="106"/>
      <c r="K98" s="106"/>
      <c r="L98" s="106"/>
      <c r="M98" s="106"/>
      <c r="N98" s="110"/>
    </row>
    <row r="99" spans="1:14" ht="9" customHeight="1" x14ac:dyDescent="0.25">
      <c r="A99" s="105">
        <v>18</v>
      </c>
      <c r="B99" s="109"/>
      <c r="C99" s="106"/>
      <c r="D99" s="106"/>
      <c r="E99" s="106"/>
      <c r="F99" s="106"/>
      <c r="G99" s="106"/>
      <c r="H99" s="106"/>
      <c r="I99" s="106"/>
      <c r="J99" s="106"/>
      <c r="K99" s="106"/>
      <c r="L99" s="106"/>
      <c r="M99" s="106"/>
      <c r="N99" s="110"/>
    </row>
    <row r="100" spans="1:14" ht="9" customHeight="1" x14ac:dyDescent="0.25">
      <c r="A100" s="105">
        <v>19</v>
      </c>
      <c r="B100" s="109"/>
      <c r="C100" s="106"/>
      <c r="D100" s="106"/>
      <c r="E100" s="106"/>
      <c r="F100" s="106"/>
      <c r="G100" s="106"/>
      <c r="H100" s="106"/>
      <c r="I100" s="106"/>
      <c r="J100" s="106"/>
      <c r="K100" s="106"/>
      <c r="L100" s="106"/>
      <c r="M100" s="106"/>
      <c r="N100" s="110"/>
    </row>
    <row r="101" spans="1:14" ht="9" customHeight="1" x14ac:dyDescent="0.25">
      <c r="A101" s="105">
        <v>20</v>
      </c>
      <c r="B101" s="109"/>
      <c r="C101" s="106"/>
      <c r="D101" s="106"/>
      <c r="E101" s="106"/>
      <c r="F101" s="106"/>
      <c r="G101" s="106"/>
      <c r="H101" s="106"/>
      <c r="I101" s="106"/>
      <c r="J101" s="106"/>
      <c r="K101" s="106"/>
      <c r="L101" s="106"/>
      <c r="M101" s="106"/>
      <c r="N101" s="110"/>
    </row>
    <row r="102" spans="1:14" ht="9" customHeight="1" x14ac:dyDescent="0.25">
      <c r="A102" s="105">
        <v>21</v>
      </c>
      <c r="B102" s="109"/>
      <c r="C102" s="106"/>
      <c r="D102" s="106"/>
      <c r="E102" s="106"/>
      <c r="F102" s="106"/>
      <c r="G102" s="106"/>
      <c r="H102" s="106"/>
      <c r="I102" s="106"/>
      <c r="J102" s="106"/>
      <c r="K102" s="106"/>
      <c r="L102" s="106"/>
      <c r="M102" s="106"/>
      <c r="N102" s="110"/>
    </row>
    <row r="103" spans="1:14" ht="9" customHeight="1" x14ac:dyDescent="0.25">
      <c r="A103" s="105">
        <v>22</v>
      </c>
      <c r="B103" s="109"/>
      <c r="C103" s="106"/>
      <c r="D103" s="106"/>
      <c r="E103" s="106"/>
      <c r="F103" s="106"/>
      <c r="G103" s="106"/>
      <c r="H103" s="106"/>
      <c r="I103" s="106"/>
      <c r="J103" s="106"/>
      <c r="K103" s="106"/>
      <c r="L103" s="106"/>
      <c r="M103" s="106"/>
      <c r="N103" s="110"/>
    </row>
    <row r="104" spans="1:14" ht="9" customHeight="1" x14ac:dyDescent="0.25">
      <c r="A104" s="105">
        <v>23</v>
      </c>
      <c r="B104" s="109"/>
      <c r="C104" s="106"/>
      <c r="D104" s="106"/>
      <c r="E104" s="106"/>
      <c r="F104" s="106"/>
      <c r="G104" s="106"/>
      <c r="H104" s="106"/>
      <c r="I104" s="106"/>
      <c r="J104" s="106"/>
      <c r="K104" s="106"/>
      <c r="L104" s="106"/>
      <c r="M104" s="106"/>
      <c r="N104" s="110"/>
    </row>
    <row r="105" spans="1:14" ht="9" customHeight="1" x14ac:dyDescent="0.25">
      <c r="A105" s="105">
        <v>24</v>
      </c>
      <c r="B105" s="109"/>
      <c r="C105" s="106"/>
      <c r="D105" s="106"/>
      <c r="E105" s="106"/>
      <c r="F105" s="106"/>
      <c r="G105" s="106"/>
      <c r="H105" s="106"/>
      <c r="I105" s="106"/>
      <c r="J105" s="106"/>
      <c r="K105" s="106"/>
      <c r="L105" s="106"/>
      <c r="M105" s="106"/>
      <c r="N105" s="110"/>
    </row>
    <row r="106" spans="1:14" ht="9" customHeight="1" x14ac:dyDescent="0.25">
      <c r="A106" s="105">
        <v>25</v>
      </c>
      <c r="B106" s="109"/>
      <c r="C106" s="106"/>
      <c r="D106" s="106"/>
      <c r="E106" s="106"/>
      <c r="F106" s="106"/>
      <c r="G106" s="106"/>
      <c r="H106" s="106"/>
      <c r="I106" s="106"/>
      <c r="J106" s="106"/>
      <c r="K106" s="106"/>
      <c r="L106" s="106"/>
      <c r="M106" s="106"/>
      <c r="N106" s="110"/>
    </row>
    <row r="107" spans="1:14" ht="9" customHeight="1" x14ac:dyDescent="0.25">
      <c r="A107" s="105">
        <v>26</v>
      </c>
      <c r="B107" s="109"/>
      <c r="C107" s="106"/>
      <c r="D107" s="106"/>
      <c r="E107" s="106"/>
      <c r="F107" s="106"/>
      <c r="G107" s="106"/>
      <c r="H107" s="106"/>
      <c r="I107" s="106"/>
      <c r="J107" s="106"/>
      <c r="K107" s="106"/>
      <c r="L107" s="106"/>
      <c r="M107" s="106"/>
      <c r="N107" s="110"/>
    </row>
    <row r="108" spans="1:14" ht="9" customHeight="1" x14ac:dyDescent="0.25">
      <c r="A108" s="105">
        <v>27</v>
      </c>
      <c r="B108" s="109"/>
      <c r="C108" s="106"/>
      <c r="D108" s="106"/>
      <c r="E108" s="106"/>
      <c r="F108" s="106"/>
      <c r="G108" s="106"/>
      <c r="H108" s="106"/>
      <c r="I108" s="106"/>
      <c r="J108" s="106"/>
      <c r="K108" s="106"/>
      <c r="L108" s="106"/>
      <c r="M108" s="106"/>
      <c r="N108" s="110"/>
    </row>
    <row r="109" spans="1:14" ht="9" customHeight="1" x14ac:dyDescent="0.25">
      <c r="A109" s="105">
        <v>28</v>
      </c>
      <c r="B109" s="109"/>
      <c r="C109" s="106"/>
      <c r="D109" s="106"/>
      <c r="E109" s="106"/>
      <c r="F109" s="106"/>
      <c r="G109" s="106"/>
      <c r="H109" s="106"/>
      <c r="I109" s="106"/>
      <c r="J109" s="106"/>
      <c r="K109" s="106"/>
      <c r="L109" s="106"/>
      <c r="M109" s="106"/>
      <c r="N109" s="110"/>
    </row>
    <row r="110" spans="1:14" ht="9" customHeight="1" x14ac:dyDescent="0.25">
      <c r="A110" s="105">
        <v>29</v>
      </c>
      <c r="B110" s="109"/>
      <c r="C110" s="106"/>
      <c r="D110" s="106"/>
      <c r="E110" s="106"/>
      <c r="F110" s="106"/>
      <c r="G110" s="106"/>
      <c r="H110" s="106"/>
      <c r="I110" s="106"/>
      <c r="J110" s="106"/>
      <c r="K110" s="106"/>
      <c r="L110" s="106"/>
      <c r="M110" s="106"/>
      <c r="N110" s="110"/>
    </row>
    <row r="111" spans="1:14" ht="9" customHeight="1" x14ac:dyDescent="0.25">
      <c r="A111" s="105">
        <v>30</v>
      </c>
      <c r="B111" s="109"/>
      <c r="C111" s="106"/>
      <c r="D111" s="106"/>
      <c r="E111" s="106"/>
      <c r="F111" s="106"/>
      <c r="G111" s="106"/>
      <c r="H111" s="106"/>
      <c r="I111" s="106"/>
      <c r="J111" s="106"/>
      <c r="K111" s="106"/>
      <c r="L111" s="106"/>
      <c r="M111" s="106"/>
      <c r="N111" s="110"/>
    </row>
    <row r="112" spans="1:14" ht="9" customHeight="1" x14ac:dyDescent="0.25">
      <c r="A112" s="105">
        <v>31</v>
      </c>
      <c r="B112" s="109"/>
      <c r="C112" s="106"/>
      <c r="D112" s="106"/>
      <c r="E112" s="106"/>
      <c r="F112" s="106"/>
      <c r="G112" s="106"/>
      <c r="H112" s="106"/>
      <c r="I112" s="106"/>
      <c r="J112" s="106"/>
      <c r="K112" s="106"/>
      <c r="L112" s="106"/>
      <c r="M112" s="106"/>
      <c r="N112" s="110"/>
    </row>
    <row r="113" spans="1:27" ht="9" customHeight="1" x14ac:dyDescent="0.25">
      <c r="A113" s="105">
        <v>32</v>
      </c>
      <c r="B113" s="109"/>
      <c r="C113" s="106"/>
      <c r="D113" s="106"/>
      <c r="E113" s="106"/>
      <c r="F113" s="106"/>
      <c r="G113" s="106"/>
      <c r="H113" s="106"/>
      <c r="I113" s="106"/>
      <c r="J113" s="106"/>
      <c r="K113" s="106"/>
      <c r="L113" s="106"/>
      <c r="M113" s="106"/>
      <c r="N113" s="110"/>
    </row>
    <row r="114" spans="1:27" ht="9" customHeight="1" x14ac:dyDescent="0.25">
      <c r="A114" s="105">
        <v>33</v>
      </c>
      <c r="B114" s="109"/>
      <c r="C114" s="106"/>
      <c r="D114" s="106"/>
      <c r="E114" s="106"/>
      <c r="F114" s="106"/>
      <c r="G114" s="106"/>
      <c r="H114" s="106"/>
      <c r="I114" s="106"/>
      <c r="J114" s="106"/>
      <c r="K114" s="106"/>
      <c r="L114" s="106"/>
      <c r="M114" s="106"/>
      <c r="N114" s="110"/>
    </row>
    <row r="115" spans="1:27" ht="9" customHeight="1" x14ac:dyDescent="0.25">
      <c r="A115" s="105">
        <v>34</v>
      </c>
      <c r="B115" s="109"/>
      <c r="C115" s="106"/>
      <c r="D115" s="106"/>
      <c r="E115" s="106"/>
      <c r="F115" s="106"/>
      <c r="G115" s="106"/>
      <c r="H115" s="106"/>
      <c r="I115" s="106"/>
      <c r="J115" s="106"/>
      <c r="K115" s="106"/>
      <c r="L115" s="106"/>
      <c r="M115" s="106"/>
      <c r="N115" s="110"/>
    </row>
    <row r="116" spans="1:27" ht="9" customHeight="1" thickBot="1" x14ac:dyDescent="0.3">
      <c r="A116" s="105">
        <v>35</v>
      </c>
      <c r="B116" s="111"/>
      <c r="C116" s="112"/>
      <c r="D116" s="112"/>
      <c r="E116" s="112"/>
      <c r="F116" s="112"/>
      <c r="G116" s="112"/>
      <c r="H116" s="112"/>
      <c r="I116" s="112"/>
      <c r="J116" s="112"/>
      <c r="K116" s="112"/>
      <c r="L116" s="112"/>
      <c r="M116" s="112"/>
      <c r="N116" s="113"/>
    </row>
    <row r="118" spans="1:27" ht="15.75" thickBot="1" x14ac:dyDescent="0.3">
      <c r="A118" s="100"/>
      <c r="B118" s="101">
        <v>2</v>
      </c>
      <c r="C118" s="101">
        <v>3</v>
      </c>
      <c r="D118" s="101">
        <v>4</v>
      </c>
      <c r="E118" s="101">
        <v>5</v>
      </c>
      <c r="F118" s="101">
        <v>6</v>
      </c>
      <c r="G118" s="101">
        <v>7</v>
      </c>
      <c r="H118" s="101">
        <v>8</v>
      </c>
      <c r="I118" s="101">
        <v>9</v>
      </c>
      <c r="J118" s="101">
        <v>10</v>
      </c>
      <c r="K118" s="101">
        <v>11</v>
      </c>
      <c r="L118" s="101">
        <v>12</v>
      </c>
      <c r="M118" s="101">
        <v>13</v>
      </c>
      <c r="N118" s="101">
        <v>14</v>
      </c>
      <c r="O118" s="100">
        <v>15</v>
      </c>
      <c r="P118" s="100">
        <v>16</v>
      </c>
      <c r="Q118" s="100">
        <v>17</v>
      </c>
      <c r="R118" s="100">
        <v>18</v>
      </c>
      <c r="S118" s="100">
        <v>19</v>
      </c>
      <c r="T118" s="100">
        <v>20</v>
      </c>
      <c r="U118" s="100">
        <v>21</v>
      </c>
      <c r="V118" s="100">
        <v>22</v>
      </c>
      <c r="W118" s="100">
        <v>23</v>
      </c>
      <c r="X118" s="100">
        <v>24</v>
      </c>
      <c r="Y118" s="100">
        <v>25</v>
      </c>
      <c r="Z118" s="100">
        <v>26</v>
      </c>
      <c r="AA118" s="100">
        <v>27</v>
      </c>
    </row>
    <row r="119" spans="1:27" ht="15.75" thickBot="1" x14ac:dyDescent="0.3">
      <c r="B119" s="251" t="s">
        <v>208</v>
      </c>
      <c r="C119" s="252"/>
      <c r="D119" s="252"/>
      <c r="E119" s="114" t="str">
        <f>Empleados!R58</f>
        <v>Camacho Valadez Luis Francisco</v>
      </c>
      <c r="F119" s="114">
        <f>VLOOKUP($E119,[1]Datos!$S$54:$T$74,2,0)</f>
        <v>7314</v>
      </c>
      <c r="G119" s="253" t="s">
        <v>202</v>
      </c>
      <c r="H119" s="253"/>
      <c r="I119" s="115"/>
      <c r="J119" s="115"/>
      <c r="K119" s="115"/>
      <c r="L119" s="115"/>
      <c r="M119" s="115"/>
      <c r="N119" s="116"/>
    </row>
    <row r="120" spans="1:27" ht="22.5" x14ac:dyDescent="0.25">
      <c r="B120" s="107" t="s">
        <v>184</v>
      </c>
      <c r="C120" s="102" t="s">
        <v>186</v>
      </c>
      <c r="D120" s="102" t="s">
        <v>200</v>
      </c>
      <c r="E120" s="102" t="s">
        <v>185</v>
      </c>
      <c r="F120" s="103" t="s">
        <v>187</v>
      </c>
      <c r="G120" s="103" t="s">
        <v>188</v>
      </c>
      <c r="H120" s="102" t="s">
        <v>190</v>
      </c>
      <c r="I120" s="102" t="s">
        <v>191</v>
      </c>
      <c r="J120" s="102" t="s">
        <v>192</v>
      </c>
      <c r="K120" s="102" t="s">
        <v>203</v>
      </c>
      <c r="L120" s="102" t="s">
        <v>204</v>
      </c>
      <c r="M120" s="104" t="s">
        <v>196</v>
      </c>
      <c r="N120" s="108" t="s">
        <v>205</v>
      </c>
    </row>
    <row r="121" spans="1:27" ht="9" customHeight="1" x14ac:dyDescent="0.25">
      <c r="A121" s="105">
        <v>1</v>
      </c>
      <c r="B121" s="109"/>
      <c r="C121" s="106"/>
      <c r="D121" s="106"/>
      <c r="E121" s="106"/>
      <c r="F121" s="106"/>
      <c r="G121" s="106"/>
      <c r="H121" s="106"/>
      <c r="I121" s="106"/>
      <c r="J121" s="106"/>
      <c r="K121" s="106"/>
      <c r="L121" s="106"/>
      <c r="M121" s="106"/>
      <c r="N121" s="110"/>
    </row>
    <row r="122" spans="1:27" ht="9" customHeight="1" x14ac:dyDescent="0.25">
      <c r="A122" s="105">
        <v>2</v>
      </c>
      <c r="B122" s="109"/>
      <c r="C122" s="106"/>
      <c r="D122" s="106"/>
      <c r="E122" s="106"/>
      <c r="F122" s="106"/>
      <c r="G122" s="106"/>
      <c r="H122" s="106"/>
      <c r="I122" s="106"/>
      <c r="J122" s="106"/>
      <c r="K122" s="106"/>
      <c r="L122" s="106"/>
      <c r="M122" s="106"/>
      <c r="N122" s="110"/>
    </row>
    <row r="123" spans="1:27" ht="9" customHeight="1" x14ac:dyDescent="0.25">
      <c r="A123" s="105">
        <v>3</v>
      </c>
      <c r="B123" s="109"/>
      <c r="C123" s="106"/>
      <c r="D123" s="106"/>
      <c r="E123" s="106"/>
      <c r="F123" s="106"/>
      <c r="G123" s="106"/>
      <c r="H123" s="106"/>
      <c r="I123" s="106"/>
      <c r="J123" s="106"/>
      <c r="K123" s="106"/>
      <c r="L123" s="106"/>
      <c r="M123" s="106"/>
      <c r="N123" s="110"/>
    </row>
    <row r="124" spans="1:27" ht="9" customHeight="1" x14ac:dyDescent="0.25">
      <c r="A124" s="105">
        <v>4</v>
      </c>
      <c r="B124" s="109"/>
      <c r="C124" s="106"/>
      <c r="D124" s="106"/>
      <c r="E124" s="106"/>
      <c r="F124" s="106"/>
      <c r="G124" s="106"/>
      <c r="H124" s="106"/>
      <c r="I124" s="106"/>
      <c r="J124" s="106"/>
      <c r="K124" s="106"/>
      <c r="L124" s="106"/>
      <c r="M124" s="106"/>
      <c r="N124" s="110"/>
    </row>
    <row r="125" spans="1:27" ht="9" customHeight="1" x14ac:dyDescent="0.25">
      <c r="A125" s="105">
        <v>5</v>
      </c>
      <c r="B125" s="109"/>
      <c r="C125" s="106"/>
      <c r="D125" s="106"/>
      <c r="E125" s="106"/>
      <c r="F125" s="106"/>
      <c r="G125" s="106"/>
      <c r="H125" s="106"/>
      <c r="I125" s="106"/>
      <c r="J125" s="106"/>
      <c r="K125" s="106"/>
      <c r="L125" s="106"/>
      <c r="M125" s="106"/>
      <c r="N125" s="110"/>
    </row>
    <row r="126" spans="1:27" ht="9" customHeight="1" x14ac:dyDescent="0.25">
      <c r="A126" s="105">
        <v>6</v>
      </c>
      <c r="B126" s="109"/>
      <c r="C126" s="106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10"/>
    </row>
    <row r="127" spans="1:27" ht="9" customHeight="1" x14ac:dyDescent="0.25">
      <c r="A127" s="105">
        <v>7</v>
      </c>
      <c r="B127" s="109"/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10"/>
    </row>
    <row r="128" spans="1:27" ht="9" customHeight="1" x14ac:dyDescent="0.25">
      <c r="A128" s="105">
        <v>8</v>
      </c>
      <c r="B128" s="109"/>
      <c r="C128" s="106"/>
      <c r="D128" s="106"/>
      <c r="E128" s="106"/>
      <c r="F128" s="106"/>
      <c r="G128" s="106"/>
      <c r="H128" s="106"/>
      <c r="I128" s="106"/>
      <c r="J128" s="106"/>
      <c r="K128" s="106"/>
      <c r="L128" s="106"/>
      <c r="M128" s="106"/>
      <c r="N128" s="110"/>
    </row>
    <row r="129" spans="1:14" ht="9" customHeight="1" x14ac:dyDescent="0.25">
      <c r="A129" s="105">
        <v>9</v>
      </c>
      <c r="B129" s="109"/>
      <c r="C129" s="106"/>
      <c r="D129" s="106"/>
      <c r="E129" s="106"/>
      <c r="F129" s="106"/>
      <c r="G129" s="106"/>
      <c r="H129" s="106"/>
      <c r="I129" s="106"/>
      <c r="J129" s="106"/>
      <c r="K129" s="106"/>
      <c r="L129" s="106"/>
      <c r="M129" s="106"/>
      <c r="N129" s="110"/>
    </row>
    <row r="130" spans="1:14" ht="9" customHeight="1" x14ac:dyDescent="0.25">
      <c r="A130" s="105">
        <v>10</v>
      </c>
      <c r="B130" s="109"/>
      <c r="C130" s="106"/>
      <c r="D130" s="106"/>
      <c r="E130" s="106"/>
      <c r="F130" s="106"/>
      <c r="G130" s="106"/>
      <c r="H130" s="106"/>
      <c r="I130" s="106"/>
      <c r="J130" s="106"/>
      <c r="K130" s="106"/>
      <c r="L130" s="106"/>
      <c r="M130" s="106"/>
      <c r="N130" s="110"/>
    </row>
    <row r="131" spans="1:14" ht="9" customHeight="1" x14ac:dyDescent="0.25">
      <c r="A131" s="105">
        <v>11</v>
      </c>
      <c r="B131" s="109"/>
      <c r="C131" s="106"/>
      <c r="D131" s="106"/>
      <c r="E131" s="106"/>
      <c r="F131" s="106"/>
      <c r="G131" s="106"/>
      <c r="H131" s="106"/>
      <c r="I131" s="106"/>
      <c r="J131" s="106"/>
      <c r="K131" s="106"/>
      <c r="L131" s="106"/>
      <c r="M131" s="106"/>
      <c r="N131" s="110"/>
    </row>
    <row r="132" spans="1:14" ht="9" customHeight="1" x14ac:dyDescent="0.25">
      <c r="A132" s="105">
        <v>12</v>
      </c>
      <c r="B132" s="109"/>
      <c r="C132" s="106"/>
      <c r="D132" s="106"/>
      <c r="E132" s="106"/>
      <c r="F132" s="106"/>
      <c r="G132" s="106"/>
      <c r="H132" s="106"/>
      <c r="I132" s="106"/>
      <c r="J132" s="106"/>
      <c r="K132" s="106"/>
      <c r="L132" s="106"/>
      <c r="M132" s="106"/>
      <c r="N132" s="110"/>
    </row>
    <row r="133" spans="1:14" ht="9" customHeight="1" x14ac:dyDescent="0.25">
      <c r="A133" s="105">
        <v>13</v>
      </c>
      <c r="B133" s="109"/>
      <c r="C133" s="106"/>
      <c r="D133" s="106"/>
      <c r="E133" s="106"/>
      <c r="F133" s="106"/>
      <c r="G133" s="106"/>
      <c r="H133" s="106"/>
      <c r="I133" s="106"/>
      <c r="J133" s="106"/>
      <c r="K133" s="106"/>
      <c r="L133" s="106"/>
      <c r="M133" s="106"/>
      <c r="N133" s="110"/>
    </row>
    <row r="134" spans="1:14" ht="9" customHeight="1" x14ac:dyDescent="0.25">
      <c r="A134" s="105">
        <v>14</v>
      </c>
      <c r="B134" s="109"/>
      <c r="C134" s="106"/>
      <c r="D134" s="106"/>
      <c r="E134" s="106"/>
      <c r="F134" s="106"/>
      <c r="G134" s="106"/>
      <c r="H134" s="106"/>
      <c r="I134" s="106"/>
      <c r="J134" s="106"/>
      <c r="K134" s="106"/>
      <c r="L134" s="106"/>
      <c r="M134" s="106"/>
      <c r="N134" s="110"/>
    </row>
    <row r="135" spans="1:14" ht="9" customHeight="1" x14ac:dyDescent="0.25">
      <c r="A135" s="105">
        <v>15</v>
      </c>
      <c r="B135" s="109"/>
      <c r="C135" s="106"/>
      <c r="D135" s="106"/>
      <c r="E135" s="106"/>
      <c r="F135" s="106"/>
      <c r="G135" s="106"/>
      <c r="H135" s="106"/>
      <c r="I135" s="106"/>
      <c r="J135" s="106"/>
      <c r="K135" s="106"/>
      <c r="L135" s="106"/>
      <c r="M135" s="106"/>
      <c r="N135" s="110"/>
    </row>
    <row r="136" spans="1:14" ht="9" customHeight="1" x14ac:dyDescent="0.25">
      <c r="A136" s="105">
        <v>16</v>
      </c>
      <c r="B136" s="109"/>
      <c r="C136" s="106"/>
      <c r="D136" s="106"/>
      <c r="E136" s="106"/>
      <c r="F136" s="106"/>
      <c r="G136" s="106"/>
      <c r="H136" s="106"/>
      <c r="I136" s="106"/>
      <c r="J136" s="106"/>
      <c r="K136" s="106"/>
      <c r="L136" s="106"/>
      <c r="M136" s="106"/>
      <c r="N136" s="110"/>
    </row>
    <row r="137" spans="1:14" ht="9" customHeight="1" x14ac:dyDescent="0.25">
      <c r="A137" s="105">
        <v>17</v>
      </c>
      <c r="B137" s="109"/>
      <c r="C137" s="106"/>
      <c r="D137" s="106"/>
      <c r="E137" s="106"/>
      <c r="F137" s="106"/>
      <c r="G137" s="106"/>
      <c r="H137" s="106"/>
      <c r="I137" s="106"/>
      <c r="J137" s="106"/>
      <c r="K137" s="106"/>
      <c r="L137" s="106"/>
      <c r="M137" s="106"/>
      <c r="N137" s="110"/>
    </row>
    <row r="138" spans="1:14" ht="9" customHeight="1" x14ac:dyDescent="0.25">
      <c r="A138" s="105">
        <v>18</v>
      </c>
      <c r="B138" s="109"/>
      <c r="C138" s="106"/>
      <c r="D138" s="106"/>
      <c r="E138" s="106"/>
      <c r="F138" s="106"/>
      <c r="G138" s="106"/>
      <c r="H138" s="106"/>
      <c r="I138" s="106"/>
      <c r="J138" s="106"/>
      <c r="K138" s="106"/>
      <c r="L138" s="106"/>
      <c r="M138" s="106"/>
      <c r="N138" s="110"/>
    </row>
    <row r="139" spans="1:14" ht="9" customHeight="1" x14ac:dyDescent="0.25">
      <c r="A139" s="105">
        <v>19</v>
      </c>
      <c r="B139" s="109"/>
      <c r="C139" s="106"/>
      <c r="D139" s="106"/>
      <c r="E139" s="106"/>
      <c r="F139" s="106"/>
      <c r="G139" s="106"/>
      <c r="H139" s="106"/>
      <c r="I139" s="106"/>
      <c r="J139" s="106"/>
      <c r="K139" s="106"/>
      <c r="L139" s="106"/>
      <c r="M139" s="106"/>
      <c r="N139" s="110"/>
    </row>
    <row r="140" spans="1:14" ht="9" customHeight="1" x14ac:dyDescent="0.25">
      <c r="A140" s="105">
        <v>20</v>
      </c>
      <c r="B140" s="109"/>
      <c r="C140" s="106"/>
      <c r="D140" s="106"/>
      <c r="E140" s="106"/>
      <c r="F140" s="106"/>
      <c r="G140" s="106"/>
      <c r="H140" s="106"/>
      <c r="I140" s="106"/>
      <c r="J140" s="106"/>
      <c r="K140" s="106"/>
      <c r="L140" s="106"/>
      <c r="M140" s="106"/>
      <c r="N140" s="110"/>
    </row>
    <row r="141" spans="1:14" ht="9" customHeight="1" x14ac:dyDescent="0.25">
      <c r="A141" s="105">
        <v>21</v>
      </c>
      <c r="B141" s="109"/>
      <c r="C141" s="106"/>
      <c r="D141" s="106"/>
      <c r="E141" s="106"/>
      <c r="F141" s="106"/>
      <c r="G141" s="106"/>
      <c r="H141" s="106"/>
      <c r="I141" s="106"/>
      <c r="J141" s="106"/>
      <c r="K141" s="106"/>
      <c r="L141" s="106"/>
      <c r="M141" s="106"/>
      <c r="N141" s="110"/>
    </row>
    <row r="142" spans="1:14" ht="9" customHeight="1" x14ac:dyDescent="0.25">
      <c r="A142" s="105">
        <v>22</v>
      </c>
      <c r="B142" s="109"/>
      <c r="C142" s="106"/>
      <c r="D142" s="106"/>
      <c r="E142" s="106"/>
      <c r="F142" s="106"/>
      <c r="G142" s="106"/>
      <c r="H142" s="106"/>
      <c r="I142" s="106"/>
      <c r="J142" s="106"/>
      <c r="K142" s="106"/>
      <c r="L142" s="106"/>
      <c r="M142" s="106"/>
      <c r="N142" s="110"/>
    </row>
    <row r="143" spans="1:14" ht="9" customHeight="1" x14ac:dyDescent="0.25">
      <c r="A143" s="105">
        <v>23</v>
      </c>
      <c r="B143" s="109"/>
      <c r="C143" s="106"/>
      <c r="D143" s="106"/>
      <c r="E143" s="106"/>
      <c r="F143" s="106"/>
      <c r="G143" s="106"/>
      <c r="H143" s="106"/>
      <c r="I143" s="106"/>
      <c r="J143" s="106"/>
      <c r="K143" s="106"/>
      <c r="L143" s="106"/>
      <c r="M143" s="106"/>
      <c r="N143" s="110"/>
    </row>
    <row r="144" spans="1:14" ht="9" customHeight="1" x14ac:dyDescent="0.25">
      <c r="A144" s="105">
        <v>24</v>
      </c>
      <c r="B144" s="109"/>
      <c r="C144" s="106"/>
      <c r="D144" s="106"/>
      <c r="E144" s="106"/>
      <c r="F144" s="106"/>
      <c r="G144" s="106"/>
      <c r="H144" s="106"/>
      <c r="I144" s="106"/>
      <c r="J144" s="106"/>
      <c r="K144" s="106"/>
      <c r="L144" s="106"/>
      <c r="M144" s="106"/>
      <c r="N144" s="110"/>
    </row>
    <row r="145" spans="1:27" ht="9" customHeight="1" x14ac:dyDescent="0.25">
      <c r="A145" s="105">
        <v>25</v>
      </c>
      <c r="B145" s="109"/>
      <c r="C145" s="106"/>
      <c r="D145" s="106"/>
      <c r="E145" s="106"/>
      <c r="F145" s="106"/>
      <c r="G145" s="106"/>
      <c r="H145" s="106"/>
      <c r="I145" s="106"/>
      <c r="J145" s="106"/>
      <c r="K145" s="106"/>
      <c r="L145" s="106"/>
      <c r="M145" s="106"/>
      <c r="N145" s="110"/>
    </row>
    <row r="146" spans="1:27" ht="9" customHeight="1" x14ac:dyDescent="0.25">
      <c r="A146" s="105">
        <v>26</v>
      </c>
      <c r="B146" s="109"/>
      <c r="C146" s="106"/>
      <c r="D146" s="106"/>
      <c r="E146" s="106"/>
      <c r="F146" s="106"/>
      <c r="G146" s="106"/>
      <c r="H146" s="106"/>
      <c r="I146" s="106"/>
      <c r="J146" s="106"/>
      <c r="K146" s="106"/>
      <c r="L146" s="106"/>
      <c r="M146" s="106"/>
      <c r="N146" s="110"/>
    </row>
    <row r="147" spans="1:27" ht="9" customHeight="1" x14ac:dyDescent="0.25">
      <c r="A147" s="105">
        <v>27</v>
      </c>
      <c r="B147" s="109"/>
      <c r="C147" s="106"/>
      <c r="D147" s="106"/>
      <c r="E147" s="106"/>
      <c r="F147" s="106"/>
      <c r="G147" s="106"/>
      <c r="H147" s="106"/>
      <c r="I147" s="106"/>
      <c r="J147" s="106"/>
      <c r="K147" s="106"/>
      <c r="L147" s="106"/>
      <c r="M147" s="106"/>
      <c r="N147" s="110"/>
    </row>
    <row r="148" spans="1:27" ht="9" customHeight="1" x14ac:dyDescent="0.25">
      <c r="A148" s="105">
        <v>28</v>
      </c>
      <c r="B148" s="109"/>
      <c r="C148" s="106"/>
      <c r="D148" s="106"/>
      <c r="E148" s="106"/>
      <c r="F148" s="106"/>
      <c r="G148" s="106"/>
      <c r="H148" s="106"/>
      <c r="I148" s="106"/>
      <c r="J148" s="106"/>
      <c r="K148" s="106"/>
      <c r="L148" s="106"/>
      <c r="M148" s="106"/>
      <c r="N148" s="110"/>
    </row>
    <row r="149" spans="1:27" ht="9" customHeight="1" x14ac:dyDescent="0.25">
      <c r="A149" s="105">
        <v>29</v>
      </c>
      <c r="B149" s="109"/>
      <c r="C149" s="106"/>
      <c r="D149" s="106"/>
      <c r="E149" s="106"/>
      <c r="F149" s="106"/>
      <c r="G149" s="106"/>
      <c r="H149" s="106"/>
      <c r="I149" s="106"/>
      <c r="J149" s="106"/>
      <c r="K149" s="106"/>
      <c r="L149" s="106"/>
      <c r="M149" s="106"/>
      <c r="N149" s="110"/>
    </row>
    <row r="150" spans="1:27" ht="9" customHeight="1" x14ac:dyDescent="0.25">
      <c r="A150" s="105">
        <v>30</v>
      </c>
      <c r="B150" s="109"/>
      <c r="C150" s="106"/>
      <c r="D150" s="106"/>
      <c r="E150" s="106"/>
      <c r="F150" s="106"/>
      <c r="G150" s="106"/>
      <c r="H150" s="106"/>
      <c r="I150" s="106"/>
      <c r="J150" s="106"/>
      <c r="K150" s="106"/>
      <c r="L150" s="106"/>
      <c r="M150" s="106"/>
      <c r="N150" s="110"/>
    </row>
    <row r="151" spans="1:27" ht="9" customHeight="1" x14ac:dyDescent="0.25">
      <c r="A151" s="105">
        <v>31</v>
      </c>
      <c r="B151" s="109"/>
      <c r="C151" s="106"/>
      <c r="D151" s="106"/>
      <c r="E151" s="106"/>
      <c r="F151" s="106"/>
      <c r="G151" s="106"/>
      <c r="H151" s="106"/>
      <c r="I151" s="106"/>
      <c r="J151" s="106"/>
      <c r="K151" s="106"/>
      <c r="L151" s="106"/>
      <c r="M151" s="106"/>
      <c r="N151" s="110"/>
    </row>
    <row r="152" spans="1:27" ht="9" customHeight="1" x14ac:dyDescent="0.25">
      <c r="A152" s="105">
        <v>32</v>
      </c>
      <c r="B152" s="109"/>
      <c r="C152" s="106"/>
      <c r="D152" s="106"/>
      <c r="E152" s="106"/>
      <c r="F152" s="106"/>
      <c r="G152" s="106"/>
      <c r="H152" s="106"/>
      <c r="I152" s="106"/>
      <c r="J152" s="106"/>
      <c r="K152" s="106"/>
      <c r="L152" s="106"/>
      <c r="M152" s="106"/>
      <c r="N152" s="110"/>
    </row>
    <row r="153" spans="1:27" ht="9" customHeight="1" x14ac:dyDescent="0.25">
      <c r="A153" s="105">
        <v>33</v>
      </c>
      <c r="B153" s="109"/>
      <c r="C153" s="106"/>
      <c r="D153" s="106"/>
      <c r="E153" s="106"/>
      <c r="F153" s="106"/>
      <c r="G153" s="106"/>
      <c r="H153" s="106"/>
      <c r="I153" s="106"/>
      <c r="J153" s="106"/>
      <c r="K153" s="106"/>
      <c r="L153" s="106"/>
      <c r="M153" s="106"/>
      <c r="N153" s="110"/>
    </row>
    <row r="154" spans="1:27" ht="9" customHeight="1" x14ac:dyDescent="0.25">
      <c r="A154" s="105">
        <v>34</v>
      </c>
      <c r="B154" s="109"/>
      <c r="C154" s="106"/>
      <c r="D154" s="106"/>
      <c r="E154" s="106"/>
      <c r="F154" s="106"/>
      <c r="G154" s="106"/>
      <c r="H154" s="106"/>
      <c r="I154" s="106"/>
      <c r="J154" s="106"/>
      <c r="K154" s="106"/>
      <c r="L154" s="106"/>
      <c r="M154" s="106"/>
      <c r="N154" s="110"/>
    </row>
    <row r="155" spans="1:27" ht="9" customHeight="1" thickBot="1" x14ac:dyDescent="0.3">
      <c r="A155" s="105">
        <v>35</v>
      </c>
      <c r="B155" s="111"/>
      <c r="C155" s="112"/>
      <c r="D155" s="112"/>
      <c r="E155" s="112"/>
      <c r="F155" s="112"/>
      <c r="G155" s="112"/>
      <c r="H155" s="112"/>
      <c r="I155" s="112"/>
      <c r="J155" s="112"/>
      <c r="K155" s="112"/>
      <c r="L155" s="112"/>
      <c r="M155" s="112"/>
      <c r="N155" s="113"/>
    </row>
    <row r="157" spans="1:27" ht="15.75" thickBot="1" x14ac:dyDescent="0.3">
      <c r="A157" s="100"/>
      <c r="B157" s="101">
        <v>2</v>
      </c>
      <c r="C157" s="101">
        <v>3</v>
      </c>
      <c r="D157" s="101">
        <v>4</v>
      </c>
      <c r="E157" s="101">
        <v>5</v>
      </c>
      <c r="F157" s="101">
        <v>6</v>
      </c>
      <c r="G157" s="101">
        <v>7</v>
      </c>
      <c r="H157" s="101">
        <v>8</v>
      </c>
      <c r="I157" s="101">
        <v>9</v>
      </c>
      <c r="J157" s="101">
        <v>10</v>
      </c>
      <c r="K157" s="101">
        <v>11</v>
      </c>
      <c r="L157" s="101">
        <v>12</v>
      </c>
      <c r="M157" s="101">
        <v>13</v>
      </c>
      <c r="N157" s="101">
        <v>14</v>
      </c>
      <c r="O157" s="100">
        <v>15</v>
      </c>
      <c r="P157" s="100">
        <v>16</v>
      </c>
      <c r="Q157" s="100">
        <v>17</v>
      </c>
      <c r="R157" s="100">
        <v>18</v>
      </c>
      <c r="S157" s="100">
        <v>19</v>
      </c>
      <c r="T157" s="100">
        <v>20</v>
      </c>
      <c r="U157" s="100">
        <v>21</v>
      </c>
      <c r="V157" s="100">
        <v>22</v>
      </c>
      <c r="W157" s="100">
        <v>23</v>
      </c>
      <c r="X157" s="100">
        <v>24</v>
      </c>
      <c r="Y157" s="100">
        <v>25</v>
      </c>
      <c r="Z157" s="100">
        <v>26</v>
      </c>
      <c r="AA157" s="100">
        <v>27</v>
      </c>
    </row>
    <row r="158" spans="1:27" ht="15.75" thickBot="1" x14ac:dyDescent="0.3">
      <c r="B158" s="251" t="s">
        <v>209</v>
      </c>
      <c r="C158" s="252"/>
      <c r="D158" s="252"/>
      <c r="E158" s="114" t="s">
        <v>136</v>
      </c>
      <c r="F158" s="114">
        <f>VLOOKUP($E158,[1]Datos!$S$54:$T$74,2,0)</f>
        <v>39936</v>
      </c>
      <c r="G158" s="253" t="s">
        <v>202</v>
      </c>
      <c r="H158" s="253"/>
      <c r="I158" s="115"/>
      <c r="J158" s="115"/>
      <c r="K158" s="115"/>
      <c r="L158" s="115"/>
      <c r="M158" s="115"/>
      <c r="N158" s="116"/>
    </row>
    <row r="159" spans="1:27" ht="22.5" x14ac:dyDescent="0.25">
      <c r="B159" s="107" t="s">
        <v>184</v>
      </c>
      <c r="C159" s="102" t="s">
        <v>186</v>
      </c>
      <c r="D159" s="102" t="s">
        <v>200</v>
      </c>
      <c r="E159" s="102" t="s">
        <v>185</v>
      </c>
      <c r="F159" s="103" t="s">
        <v>187</v>
      </c>
      <c r="G159" s="103" t="s">
        <v>188</v>
      </c>
      <c r="H159" s="102" t="s">
        <v>190</v>
      </c>
      <c r="I159" s="102" t="s">
        <v>191</v>
      </c>
      <c r="J159" s="102" t="s">
        <v>192</v>
      </c>
      <c r="K159" s="102" t="s">
        <v>203</v>
      </c>
      <c r="L159" s="102" t="s">
        <v>204</v>
      </c>
      <c r="M159" s="104" t="s">
        <v>196</v>
      </c>
      <c r="N159" s="108" t="s">
        <v>205</v>
      </c>
    </row>
    <row r="160" spans="1:27" ht="9" customHeight="1" x14ac:dyDescent="0.25">
      <c r="A160" s="105">
        <v>1</v>
      </c>
      <c r="B160" s="109"/>
      <c r="C160" s="106"/>
      <c r="D160" s="106"/>
      <c r="E160" s="106"/>
      <c r="F160" s="106"/>
      <c r="G160" s="106"/>
      <c r="H160" s="106"/>
      <c r="I160" s="106"/>
      <c r="J160" s="106"/>
      <c r="K160" s="106"/>
      <c r="L160" s="106"/>
      <c r="M160" s="106"/>
      <c r="N160" s="110"/>
    </row>
    <row r="161" spans="1:14" ht="9" customHeight="1" x14ac:dyDescent="0.25">
      <c r="A161" s="105">
        <v>2</v>
      </c>
      <c r="B161" s="109"/>
      <c r="C161" s="106"/>
      <c r="D161" s="106"/>
      <c r="E161" s="106"/>
      <c r="F161" s="106"/>
      <c r="G161" s="106"/>
      <c r="H161" s="106"/>
      <c r="I161" s="106"/>
      <c r="J161" s="106"/>
      <c r="K161" s="106"/>
      <c r="L161" s="106"/>
      <c r="M161" s="106"/>
      <c r="N161" s="110"/>
    </row>
    <row r="162" spans="1:14" ht="9" customHeight="1" x14ac:dyDescent="0.25">
      <c r="A162" s="105">
        <v>3</v>
      </c>
      <c r="B162" s="109"/>
      <c r="C162" s="106"/>
      <c r="D162" s="106"/>
      <c r="E162" s="106"/>
      <c r="F162" s="106"/>
      <c r="G162" s="106"/>
      <c r="H162" s="106"/>
      <c r="I162" s="106"/>
      <c r="J162" s="106"/>
      <c r="K162" s="106"/>
      <c r="L162" s="106"/>
      <c r="M162" s="106"/>
      <c r="N162" s="110"/>
    </row>
    <row r="163" spans="1:14" ht="9" customHeight="1" x14ac:dyDescent="0.25">
      <c r="A163" s="105">
        <v>4</v>
      </c>
      <c r="B163" s="109"/>
      <c r="C163" s="106"/>
      <c r="D163" s="106"/>
      <c r="E163" s="106"/>
      <c r="F163" s="106"/>
      <c r="G163" s="106"/>
      <c r="H163" s="106"/>
      <c r="I163" s="106"/>
      <c r="J163" s="106"/>
      <c r="K163" s="106"/>
      <c r="L163" s="106"/>
      <c r="M163" s="106"/>
      <c r="N163" s="110"/>
    </row>
    <row r="164" spans="1:14" ht="9" customHeight="1" x14ac:dyDescent="0.25">
      <c r="A164" s="105">
        <v>5</v>
      </c>
      <c r="B164" s="109"/>
      <c r="C164" s="106"/>
      <c r="D164" s="106"/>
      <c r="E164" s="106"/>
      <c r="F164" s="106"/>
      <c r="G164" s="106"/>
      <c r="H164" s="106"/>
      <c r="I164" s="106"/>
      <c r="J164" s="106"/>
      <c r="K164" s="106"/>
      <c r="L164" s="106"/>
      <c r="M164" s="106"/>
      <c r="N164" s="110"/>
    </row>
    <row r="165" spans="1:14" ht="9" customHeight="1" x14ac:dyDescent="0.25">
      <c r="A165" s="105">
        <v>6</v>
      </c>
      <c r="B165" s="109"/>
      <c r="C165" s="106"/>
      <c r="D165" s="106"/>
      <c r="E165" s="106"/>
      <c r="F165" s="106"/>
      <c r="G165" s="106"/>
      <c r="H165" s="106"/>
      <c r="I165" s="106"/>
      <c r="J165" s="106"/>
      <c r="K165" s="106"/>
      <c r="L165" s="106"/>
      <c r="M165" s="106"/>
      <c r="N165" s="110"/>
    </row>
    <row r="166" spans="1:14" ht="9" customHeight="1" x14ac:dyDescent="0.25">
      <c r="A166" s="105">
        <v>7</v>
      </c>
      <c r="B166" s="109"/>
      <c r="C166" s="106"/>
      <c r="D166" s="106"/>
      <c r="E166" s="106"/>
      <c r="F166" s="106"/>
      <c r="G166" s="106"/>
      <c r="H166" s="106"/>
      <c r="I166" s="106"/>
      <c r="J166" s="106"/>
      <c r="K166" s="106"/>
      <c r="L166" s="106"/>
      <c r="M166" s="106"/>
      <c r="N166" s="110"/>
    </row>
    <row r="167" spans="1:14" ht="9" customHeight="1" x14ac:dyDescent="0.25">
      <c r="A167" s="105">
        <v>8</v>
      </c>
      <c r="B167" s="109"/>
      <c r="C167" s="106"/>
      <c r="D167" s="106"/>
      <c r="E167" s="106"/>
      <c r="F167" s="106"/>
      <c r="G167" s="106"/>
      <c r="H167" s="106"/>
      <c r="I167" s="106"/>
      <c r="J167" s="106"/>
      <c r="K167" s="106"/>
      <c r="L167" s="106"/>
      <c r="M167" s="106"/>
      <c r="N167" s="110"/>
    </row>
    <row r="168" spans="1:14" ht="9" customHeight="1" x14ac:dyDescent="0.25">
      <c r="A168" s="105">
        <v>9</v>
      </c>
      <c r="B168" s="109"/>
      <c r="C168" s="106"/>
      <c r="D168" s="106"/>
      <c r="E168" s="106"/>
      <c r="F168" s="106"/>
      <c r="G168" s="106"/>
      <c r="H168" s="106"/>
      <c r="I168" s="106"/>
      <c r="J168" s="106"/>
      <c r="K168" s="106"/>
      <c r="L168" s="106"/>
      <c r="M168" s="106"/>
      <c r="N168" s="110"/>
    </row>
    <row r="169" spans="1:14" ht="9" customHeight="1" x14ac:dyDescent="0.25">
      <c r="A169" s="105">
        <v>10</v>
      </c>
      <c r="B169" s="109"/>
      <c r="C169" s="106"/>
      <c r="D169" s="106"/>
      <c r="E169" s="106"/>
      <c r="F169" s="106"/>
      <c r="G169" s="106"/>
      <c r="H169" s="106"/>
      <c r="I169" s="106"/>
      <c r="J169" s="106"/>
      <c r="K169" s="106"/>
      <c r="L169" s="106"/>
      <c r="M169" s="106"/>
      <c r="N169" s="110"/>
    </row>
    <row r="170" spans="1:14" ht="9" customHeight="1" x14ac:dyDescent="0.25">
      <c r="A170" s="105">
        <v>11</v>
      </c>
      <c r="B170" s="109"/>
      <c r="C170" s="106"/>
      <c r="D170" s="106"/>
      <c r="E170" s="106"/>
      <c r="F170" s="106"/>
      <c r="G170" s="106"/>
      <c r="H170" s="106"/>
      <c r="I170" s="106"/>
      <c r="J170" s="106"/>
      <c r="K170" s="106"/>
      <c r="L170" s="106"/>
      <c r="M170" s="106"/>
      <c r="N170" s="110"/>
    </row>
    <row r="171" spans="1:14" ht="9" customHeight="1" x14ac:dyDescent="0.25">
      <c r="A171" s="105">
        <v>12</v>
      </c>
      <c r="B171" s="109"/>
      <c r="C171" s="106"/>
      <c r="D171" s="106"/>
      <c r="E171" s="106"/>
      <c r="F171" s="106"/>
      <c r="G171" s="106"/>
      <c r="H171" s="106"/>
      <c r="I171" s="106"/>
      <c r="J171" s="106"/>
      <c r="K171" s="106"/>
      <c r="L171" s="106"/>
      <c r="M171" s="106"/>
      <c r="N171" s="110"/>
    </row>
    <row r="172" spans="1:14" ht="9" customHeight="1" x14ac:dyDescent="0.25">
      <c r="A172" s="105">
        <v>13</v>
      </c>
      <c r="B172" s="109"/>
      <c r="C172" s="106"/>
      <c r="D172" s="106"/>
      <c r="E172" s="106"/>
      <c r="F172" s="106"/>
      <c r="G172" s="106"/>
      <c r="H172" s="106"/>
      <c r="I172" s="106"/>
      <c r="J172" s="106"/>
      <c r="K172" s="106"/>
      <c r="L172" s="106"/>
      <c r="M172" s="106"/>
      <c r="N172" s="110"/>
    </row>
    <row r="173" spans="1:14" ht="9" customHeight="1" x14ac:dyDescent="0.25">
      <c r="A173" s="105">
        <v>14</v>
      </c>
      <c r="B173" s="109"/>
      <c r="C173" s="106"/>
      <c r="D173" s="106"/>
      <c r="E173" s="106"/>
      <c r="F173" s="106"/>
      <c r="G173" s="106"/>
      <c r="H173" s="106"/>
      <c r="I173" s="106"/>
      <c r="J173" s="106"/>
      <c r="K173" s="106"/>
      <c r="L173" s="106"/>
      <c r="M173" s="106"/>
      <c r="N173" s="110"/>
    </row>
    <row r="174" spans="1:14" ht="9" customHeight="1" x14ac:dyDescent="0.25">
      <c r="A174" s="105">
        <v>15</v>
      </c>
      <c r="B174" s="109"/>
      <c r="C174" s="106"/>
      <c r="D174" s="106"/>
      <c r="E174" s="106"/>
      <c r="F174" s="106"/>
      <c r="G174" s="106"/>
      <c r="H174" s="106"/>
      <c r="I174" s="106"/>
      <c r="J174" s="106"/>
      <c r="K174" s="106"/>
      <c r="L174" s="106"/>
      <c r="M174" s="106"/>
      <c r="N174" s="110"/>
    </row>
    <row r="175" spans="1:14" ht="9" customHeight="1" x14ac:dyDescent="0.25">
      <c r="A175" s="105">
        <v>16</v>
      </c>
      <c r="B175" s="109"/>
      <c r="C175" s="106"/>
      <c r="D175" s="106"/>
      <c r="E175" s="106"/>
      <c r="F175" s="106"/>
      <c r="G175" s="106"/>
      <c r="H175" s="106"/>
      <c r="I175" s="106"/>
      <c r="J175" s="106"/>
      <c r="K175" s="106"/>
      <c r="L175" s="106"/>
      <c r="M175" s="106"/>
      <c r="N175" s="110"/>
    </row>
    <row r="176" spans="1:14" ht="9" customHeight="1" x14ac:dyDescent="0.25">
      <c r="A176" s="105">
        <v>17</v>
      </c>
      <c r="B176" s="109"/>
      <c r="C176" s="106"/>
      <c r="D176" s="106"/>
      <c r="E176" s="106"/>
      <c r="F176" s="106"/>
      <c r="G176" s="106"/>
      <c r="H176" s="106"/>
      <c r="I176" s="106"/>
      <c r="J176" s="106"/>
      <c r="K176" s="106"/>
      <c r="L176" s="106"/>
      <c r="M176" s="106"/>
      <c r="N176" s="110"/>
    </row>
    <row r="177" spans="1:14" ht="9" customHeight="1" x14ac:dyDescent="0.25">
      <c r="A177" s="105">
        <v>18</v>
      </c>
      <c r="B177" s="109"/>
      <c r="C177" s="106"/>
      <c r="D177" s="106"/>
      <c r="E177" s="106"/>
      <c r="F177" s="106"/>
      <c r="G177" s="106"/>
      <c r="H177" s="106"/>
      <c r="I177" s="106"/>
      <c r="J177" s="106"/>
      <c r="K177" s="106"/>
      <c r="L177" s="106"/>
      <c r="M177" s="106"/>
      <c r="N177" s="110"/>
    </row>
    <row r="178" spans="1:14" ht="9" customHeight="1" x14ac:dyDescent="0.25">
      <c r="A178" s="105">
        <v>19</v>
      </c>
      <c r="B178" s="109"/>
      <c r="C178" s="106"/>
      <c r="D178" s="106"/>
      <c r="E178" s="106"/>
      <c r="F178" s="106"/>
      <c r="G178" s="106"/>
      <c r="H178" s="106"/>
      <c r="I178" s="106"/>
      <c r="J178" s="106"/>
      <c r="K178" s="106"/>
      <c r="L178" s="106"/>
      <c r="M178" s="106"/>
      <c r="N178" s="110"/>
    </row>
    <row r="179" spans="1:14" ht="9" customHeight="1" x14ac:dyDescent="0.25">
      <c r="A179" s="105">
        <v>20</v>
      </c>
      <c r="B179" s="109"/>
      <c r="C179" s="106"/>
      <c r="D179" s="106"/>
      <c r="E179" s="106"/>
      <c r="F179" s="106"/>
      <c r="G179" s="106"/>
      <c r="H179" s="106"/>
      <c r="I179" s="106"/>
      <c r="J179" s="106"/>
      <c r="K179" s="106"/>
      <c r="L179" s="106"/>
      <c r="M179" s="106"/>
      <c r="N179" s="110"/>
    </row>
    <row r="180" spans="1:14" ht="9" customHeight="1" x14ac:dyDescent="0.25">
      <c r="A180" s="105">
        <v>21</v>
      </c>
      <c r="B180" s="109"/>
      <c r="C180" s="106"/>
      <c r="D180" s="106"/>
      <c r="E180" s="106"/>
      <c r="F180" s="106"/>
      <c r="G180" s="106"/>
      <c r="H180" s="106"/>
      <c r="I180" s="106"/>
      <c r="J180" s="106"/>
      <c r="K180" s="106"/>
      <c r="L180" s="106"/>
      <c r="M180" s="106"/>
      <c r="N180" s="110"/>
    </row>
    <row r="181" spans="1:14" ht="9" customHeight="1" x14ac:dyDescent="0.25">
      <c r="A181" s="105">
        <v>22</v>
      </c>
      <c r="B181" s="109"/>
      <c r="C181" s="106"/>
      <c r="D181" s="106"/>
      <c r="E181" s="106"/>
      <c r="F181" s="106"/>
      <c r="G181" s="106"/>
      <c r="H181" s="106"/>
      <c r="I181" s="106"/>
      <c r="J181" s="106"/>
      <c r="K181" s="106"/>
      <c r="L181" s="106"/>
      <c r="M181" s="106"/>
      <c r="N181" s="110"/>
    </row>
    <row r="182" spans="1:14" ht="9" customHeight="1" x14ac:dyDescent="0.25">
      <c r="A182" s="105">
        <v>23</v>
      </c>
      <c r="B182" s="109"/>
      <c r="C182" s="106"/>
      <c r="D182" s="106"/>
      <c r="E182" s="106"/>
      <c r="F182" s="106"/>
      <c r="G182" s="106"/>
      <c r="H182" s="106"/>
      <c r="I182" s="106"/>
      <c r="J182" s="106"/>
      <c r="K182" s="106"/>
      <c r="L182" s="106"/>
      <c r="M182" s="106"/>
      <c r="N182" s="110"/>
    </row>
    <row r="183" spans="1:14" ht="9" customHeight="1" x14ac:dyDescent="0.25">
      <c r="A183" s="105">
        <v>24</v>
      </c>
      <c r="B183" s="109"/>
      <c r="C183" s="106"/>
      <c r="D183" s="106"/>
      <c r="E183" s="106"/>
      <c r="F183" s="106"/>
      <c r="G183" s="106"/>
      <c r="H183" s="106"/>
      <c r="I183" s="106"/>
      <c r="J183" s="106"/>
      <c r="K183" s="106"/>
      <c r="L183" s="106"/>
      <c r="M183" s="106"/>
      <c r="N183" s="110"/>
    </row>
    <row r="184" spans="1:14" ht="9" customHeight="1" x14ac:dyDescent="0.25">
      <c r="A184" s="105">
        <v>25</v>
      </c>
      <c r="B184" s="109"/>
      <c r="C184" s="106"/>
      <c r="D184" s="106"/>
      <c r="E184" s="106"/>
      <c r="F184" s="106"/>
      <c r="G184" s="106"/>
      <c r="H184" s="106"/>
      <c r="I184" s="106"/>
      <c r="J184" s="106"/>
      <c r="K184" s="106"/>
      <c r="L184" s="106"/>
      <c r="M184" s="106"/>
      <c r="N184" s="110"/>
    </row>
    <row r="185" spans="1:14" ht="9" customHeight="1" x14ac:dyDescent="0.25">
      <c r="A185" s="105">
        <v>26</v>
      </c>
      <c r="B185" s="109"/>
      <c r="C185" s="106"/>
      <c r="D185" s="106"/>
      <c r="E185" s="106"/>
      <c r="F185" s="106"/>
      <c r="G185" s="106"/>
      <c r="H185" s="106"/>
      <c r="I185" s="106"/>
      <c r="J185" s="106"/>
      <c r="K185" s="106"/>
      <c r="L185" s="106"/>
      <c r="M185" s="106"/>
      <c r="N185" s="110"/>
    </row>
    <row r="186" spans="1:14" ht="9" customHeight="1" x14ac:dyDescent="0.25">
      <c r="A186" s="105">
        <v>27</v>
      </c>
      <c r="B186" s="109"/>
      <c r="C186" s="106"/>
      <c r="D186" s="106"/>
      <c r="E186" s="106"/>
      <c r="F186" s="106"/>
      <c r="G186" s="106"/>
      <c r="H186" s="106"/>
      <c r="I186" s="106"/>
      <c r="J186" s="106"/>
      <c r="K186" s="106"/>
      <c r="L186" s="106"/>
      <c r="M186" s="106"/>
      <c r="N186" s="110"/>
    </row>
    <row r="187" spans="1:14" ht="9" customHeight="1" x14ac:dyDescent="0.25">
      <c r="A187" s="105">
        <v>28</v>
      </c>
      <c r="B187" s="109"/>
      <c r="C187" s="106"/>
      <c r="D187" s="106"/>
      <c r="E187" s="106"/>
      <c r="F187" s="106"/>
      <c r="G187" s="106"/>
      <c r="H187" s="106"/>
      <c r="I187" s="106"/>
      <c r="J187" s="106"/>
      <c r="K187" s="106"/>
      <c r="L187" s="106"/>
      <c r="M187" s="106"/>
      <c r="N187" s="110"/>
    </row>
    <row r="188" spans="1:14" ht="9" customHeight="1" x14ac:dyDescent="0.25">
      <c r="A188" s="105">
        <v>29</v>
      </c>
      <c r="B188" s="109"/>
      <c r="C188" s="106"/>
      <c r="D188" s="106"/>
      <c r="E188" s="106"/>
      <c r="F188" s="106"/>
      <c r="G188" s="106"/>
      <c r="H188" s="106"/>
      <c r="I188" s="106"/>
      <c r="J188" s="106"/>
      <c r="K188" s="106"/>
      <c r="L188" s="106"/>
      <c r="M188" s="106"/>
      <c r="N188" s="110"/>
    </row>
    <row r="189" spans="1:14" ht="9" customHeight="1" x14ac:dyDescent="0.25">
      <c r="A189" s="105">
        <v>30</v>
      </c>
      <c r="B189" s="109"/>
      <c r="C189" s="106"/>
      <c r="D189" s="106"/>
      <c r="E189" s="106"/>
      <c r="F189" s="106"/>
      <c r="G189" s="106"/>
      <c r="H189" s="106"/>
      <c r="I189" s="106"/>
      <c r="J189" s="106"/>
      <c r="K189" s="106"/>
      <c r="L189" s="106"/>
      <c r="M189" s="106"/>
      <c r="N189" s="110"/>
    </row>
    <row r="190" spans="1:14" ht="9" customHeight="1" x14ac:dyDescent="0.25">
      <c r="A190" s="105">
        <v>31</v>
      </c>
      <c r="B190" s="109"/>
      <c r="C190" s="106"/>
      <c r="D190" s="106"/>
      <c r="E190" s="106"/>
      <c r="F190" s="106"/>
      <c r="G190" s="106"/>
      <c r="H190" s="106"/>
      <c r="I190" s="106"/>
      <c r="J190" s="106"/>
      <c r="K190" s="106"/>
      <c r="L190" s="106"/>
      <c r="M190" s="106"/>
      <c r="N190" s="110"/>
    </row>
    <row r="191" spans="1:14" ht="9" customHeight="1" x14ac:dyDescent="0.25">
      <c r="A191" s="105">
        <v>32</v>
      </c>
      <c r="B191" s="109"/>
      <c r="C191" s="106"/>
      <c r="D191" s="106"/>
      <c r="E191" s="106"/>
      <c r="F191" s="106"/>
      <c r="G191" s="106"/>
      <c r="H191" s="106"/>
      <c r="I191" s="106"/>
      <c r="J191" s="106"/>
      <c r="K191" s="106"/>
      <c r="L191" s="106"/>
      <c r="M191" s="106"/>
      <c r="N191" s="110"/>
    </row>
    <row r="192" spans="1:14" ht="9" customHeight="1" x14ac:dyDescent="0.25">
      <c r="A192" s="105">
        <v>33</v>
      </c>
      <c r="B192" s="109"/>
      <c r="C192" s="106"/>
      <c r="D192" s="106"/>
      <c r="E192" s="106"/>
      <c r="F192" s="106"/>
      <c r="G192" s="106"/>
      <c r="H192" s="106"/>
      <c r="I192" s="106"/>
      <c r="J192" s="106"/>
      <c r="K192" s="106"/>
      <c r="L192" s="106"/>
      <c r="M192" s="106"/>
      <c r="N192" s="110"/>
    </row>
    <row r="193" spans="1:27" ht="9" customHeight="1" x14ac:dyDescent="0.25">
      <c r="A193" s="105">
        <v>34</v>
      </c>
      <c r="B193" s="109"/>
      <c r="C193" s="106"/>
      <c r="D193" s="106"/>
      <c r="E193" s="106"/>
      <c r="F193" s="106"/>
      <c r="G193" s="106"/>
      <c r="H193" s="106"/>
      <c r="I193" s="106"/>
      <c r="J193" s="106"/>
      <c r="K193" s="106"/>
      <c r="L193" s="106"/>
      <c r="M193" s="106"/>
      <c r="N193" s="110"/>
    </row>
    <row r="194" spans="1:27" ht="9" customHeight="1" thickBot="1" x14ac:dyDescent="0.3">
      <c r="A194" s="105">
        <v>35</v>
      </c>
      <c r="B194" s="111"/>
      <c r="C194" s="112"/>
      <c r="D194" s="112"/>
      <c r="E194" s="112"/>
      <c r="F194" s="112"/>
      <c r="G194" s="112"/>
      <c r="H194" s="112"/>
      <c r="I194" s="112"/>
      <c r="J194" s="112"/>
      <c r="K194" s="112"/>
      <c r="L194" s="112"/>
      <c r="M194" s="112"/>
      <c r="N194" s="113"/>
    </row>
    <row r="196" spans="1:27" ht="15.75" thickBot="1" x14ac:dyDescent="0.3">
      <c r="A196" s="100"/>
      <c r="B196" s="101">
        <v>2</v>
      </c>
      <c r="C196" s="101">
        <v>3</v>
      </c>
      <c r="D196" s="101">
        <v>4</v>
      </c>
      <c r="E196" s="101">
        <v>5</v>
      </c>
      <c r="F196" s="101">
        <v>6</v>
      </c>
      <c r="G196" s="101">
        <v>7</v>
      </c>
      <c r="H196" s="101">
        <v>8</v>
      </c>
      <c r="I196" s="101">
        <v>9</v>
      </c>
      <c r="J196" s="101">
        <v>10</v>
      </c>
      <c r="K196" s="101">
        <v>11</v>
      </c>
      <c r="L196" s="101">
        <v>12</v>
      </c>
      <c r="M196" s="101">
        <v>13</v>
      </c>
      <c r="N196" s="101">
        <v>14</v>
      </c>
      <c r="O196" s="100">
        <v>15</v>
      </c>
      <c r="P196" s="100">
        <v>16</v>
      </c>
      <c r="Q196" s="100">
        <v>17</v>
      </c>
      <c r="R196" s="100">
        <v>18</v>
      </c>
      <c r="S196" s="100">
        <v>19</v>
      </c>
      <c r="T196" s="100">
        <v>20</v>
      </c>
      <c r="U196" s="100">
        <v>21</v>
      </c>
      <c r="V196" s="100">
        <v>22</v>
      </c>
      <c r="W196" s="100">
        <v>23</v>
      </c>
      <c r="X196" s="100">
        <v>24</v>
      </c>
      <c r="Y196" s="100">
        <v>25</v>
      </c>
      <c r="Z196" s="100">
        <v>26</v>
      </c>
      <c r="AA196" s="100">
        <v>27</v>
      </c>
    </row>
    <row r="197" spans="1:27" ht="15.75" thickBot="1" x14ac:dyDescent="0.3">
      <c r="B197" s="251" t="s">
        <v>210</v>
      </c>
      <c r="C197" s="252"/>
      <c r="D197" s="252"/>
      <c r="E197" s="114" t="s">
        <v>136</v>
      </c>
      <c r="F197" s="114">
        <f>VLOOKUP($E197,[1]Datos!$S$54:$T$74,2,0)</f>
        <v>39936</v>
      </c>
      <c r="G197" s="253" t="s">
        <v>202</v>
      </c>
      <c r="H197" s="253"/>
      <c r="I197" s="115"/>
      <c r="J197" s="115"/>
      <c r="K197" s="115"/>
      <c r="L197" s="115"/>
      <c r="M197" s="115"/>
      <c r="N197" s="116"/>
    </row>
    <row r="198" spans="1:27" ht="22.5" x14ac:dyDescent="0.25">
      <c r="B198" s="107" t="s">
        <v>184</v>
      </c>
      <c r="C198" s="102" t="s">
        <v>186</v>
      </c>
      <c r="D198" s="102" t="s">
        <v>200</v>
      </c>
      <c r="E198" s="102" t="s">
        <v>185</v>
      </c>
      <c r="F198" s="103" t="s">
        <v>187</v>
      </c>
      <c r="G198" s="103" t="s">
        <v>188</v>
      </c>
      <c r="H198" s="102" t="s">
        <v>190</v>
      </c>
      <c r="I198" s="102" t="s">
        <v>191</v>
      </c>
      <c r="J198" s="102" t="s">
        <v>192</v>
      </c>
      <c r="K198" s="102" t="s">
        <v>203</v>
      </c>
      <c r="L198" s="102" t="s">
        <v>204</v>
      </c>
      <c r="M198" s="104" t="s">
        <v>196</v>
      </c>
      <c r="N198" s="108" t="s">
        <v>205</v>
      </c>
    </row>
    <row r="199" spans="1:27" ht="9" customHeight="1" x14ac:dyDescent="0.25">
      <c r="A199" s="105">
        <v>1</v>
      </c>
      <c r="B199" s="109"/>
      <c r="C199" s="106"/>
      <c r="D199" s="106"/>
      <c r="E199" s="106"/>
      <c r="F199" s="106"/>
      <c r="G199" s="106"/>
      <c r="H199" s="106"/>
      <c r="I199" s="106"/>
      <c r="J199" s="106"/>
      <c r="K199" s="106"/>
      <c r="L199" s="106"/>
      <c r="M199" s="106"/>
      <c r="N199" s="110"/>
    </row>
    <row r="200" spans="1:27" ht="9" customHeight="1" x14ac:dyDescent="0.25">
      <c r="A200" s="105">
        <v>2</v>
      </c>
      <c r="B200" s="109"/>
      <c r="C200" s="106"/>
      <c r="D200" s="106"/>
      <c r="E200" s="106"/>
      <c r="F200" s="106"/>
      <c r="G200" s="106"/>
      <c r="H200" s="106"/>
      <c r="I200" s="106"/>
      <c r="J200" s="106"/>
      <c r="K200" s="106"/>
      <c r="L200" s="106"/>
      <c r="M200" s="106"/>
      <c r="N200" s="110"/>
    </row>
    <row r="201" spans="1:27" ht="9" customHeight="1" x14ac:dyDescent="0.25">
      <c r="A201" s="105">
        <v>3</v>
      </c>
      <c r="B201" s="109"/>
      <c r="C201" s="106"/>
      <c r="D201" s="106"/>
      <c r="E201" s="106"/>
      <c r="F201" s="106"/>
      <c r="G201" s="106"/>
      <c r="H201" s="106"/>
      <c r="I201" s="106"/>
      <c r="J201" s="106"/>
      <c r="K201" s="106"/>
      <c r="L201" s="106"/>
      <c r="M201" s="106"/>
      <c r="N201" s="110"/>
    </row>
    <row r="202" spans="1:27" ht="9" customHeight="1" x14ac:dyDescent="0.25">
      <c r="A202" s="105">
        <v>4</v>
      </c>
      <c r="B202" s="109"/>
      <c r="C202" s="106"/>
      <c r="D202" s="106"/>
      <c r="E202" s="106"/>
      <c r="F202" s="106"/>
      <c r="G202" s="106"/>
      <c r="H202" s="106"/>
      <c r="I202" s="106"/>
      <c r="J202" s="106"/>
      <c r="K202" s="106"/>
      <c r="L202" s="106"/>
      <c r="M202" s="106"/>
      <c r="N202" s="110"/>
    </row>
    <row r="203" spans="1:27" ht="9" customHeight="1" x14ac:dyDescent="0.25">
      <c r="A203" s="105">
        <v>5</v>
      </c>
      <c r="B203" s="109"/>
      <c r="C203" s="106"/>
      <c r="D203" s="106"/>
      <c r="E203" s="106"/>
      <c r="F203" s="106"/>
      <c r="G203" s="106"/>
      <c r="H203" s="106"/>
      <c r="I203" s="106"/>
      <c r="J203" s="106"/>
      <c r="K203" s="106"/>
      <c r="L203" s="106"/>
      <c r="M203" s="106"/>
      <c r="N203" s="110"/>
    </row>
    <row r="204" spans="1:27" ht="9" customHeight="1" x14ac:dyDescent="0.25">
      <c r="A204" s="105">
        <v>6</v>
      </c>
      <c r="B204" s="109"/>
      <c r="C204" s="106"/>
      <c r="D204" s="106"/>
      <c r="E204" s="106"/>
      <c r="F204" s="106"/>
      <c r="G204" s="106"/>
      <c r="H204" s="106"/>
      <c r="I204" s="106"/>
      <c r="J204" s="106"/>
      <c r="K204" s="106"/>
      <c r="L204" s="106"/>
      <c r="M204" s="106"/>
      <c r="N204" s="110"/>
    </row>
    <row r="205" spans="1:27" ht="9" customHeight="1" x14ac:dyDescent="0.25">
      <c r="A205" s="105">
        <v>7</v>
      </c>
      <c r="B205" s="109"/>
      <c r="C205" s="106"/>
      <c r="D205" s="106"/>
      <c r="E205" s="106"/>
      <c r="F205" s="106"/>
      <c r="G205" s="106"/>
      <c r="H205" s="106"/>
      <c r="I205" s="106"/>
      <c r="J205" s="106"/>
      <c r="K205" s="106"/>
      <c r="L205" s="106"/>
      <c r="M205" s="106"/>
      <c r="N205" s="110"/>
    </row>
    <row r="206" spans="1:27" ht="9" customHeight="1" x14ac:dyDescent="0.25">
      <c r="A206" s="105">
        <v>8</v>
      </c>
      <c r="B206" s="109"/>
      <c r="C206" s="106"/>
      <c r="D206" s="106"/>
      <c r="E206" s="106"/>
      <c r="F206" s="106"/>
      <c r="G206" s="106"/>
      <c r="H206" s="106"/>
      <c r="I206" s="106"/>
      <c r="J206" s="106"/>
      <c r="K206" s="106"/>
      <c r="L206" s="106"/>
      <c r="M206" s="106"/>
      <c r="N206" s="110"/>
    </row>
    <row r="207" spans="1:27" ht="9" customHeight="1" x14ac:dyDescent="0.25">
      <c r="A207" s="105">
        <v>9</v>
      </c>
      <c r="B207" s="109"/>
      <c r="C207" s="106"/>
      <c r="D207" s="106"/>
      <c r="E207" s="106"/>
      <c r="F207" s="106"/>
      <c r="G207" s="106"/>
      <c r="H207" s="106"/>
      <c r="I207" s="106"/>
      <c r="J207" s="106"/>
      <c r="K207" s="106"/>
      <c r="L207" s="106"/>
      <c r="M207" s="106"/>
      <c r="N207" s="110"/>
    </row>
    <row r="208" spans="1:27" ht="9" customHeight="1" x14ac:dyDescent="0.25">
      <c r="A208" s="105">
        <v>10</v>
      </c>
      <c r="B208" s="109"/>
      <c r="C208" s="106"/>
      <c r="D208" s="106"/>
      <c r="E208" s="106"/>
      <c r="F208" s="106"/>
      <c r="G208" s="106"/>
      <c r="H208" s="106"/>
      <c r="I208" s="106"/>
      <c r="J208" s="106"/>
      <c r="K208" s="106"/>
      <c r="L208" s="106"/>
      <c r="M208" s="106"/>
      <c r="N208" s="110"/>
    </row>
    <row r="209" spans="1:14" ht="9" customHeight="1" x14ac:dyDescent="0.25">
      <c r="A209" s="105">
        <v>11</v>
      </c>
      <c r="B209" s="109"/>
      <c r="C209" s="106"/>
      <c r="D209" s="106"/>
      <c r="E209" s="106"/>
      <c r="F209" s="106"/>
      <c r="G209" s="106"/>
      <c r="H209" s="106"/>
      <c r="I209" s="106"/>
      <c r="J209" s="106"/>
      <c r="K209" s="106"/>
      <c r="L209" s="106"/>
      <c r="M209" s="106"/>
      <c r="N209" s="110"/>
    </row>
    <row r="210" spans="1:14" ht="9" customHeight="1" x14ac:dyDescent="0.25">
      <c r="A210" s="105">
        <v>12</v>
      </c>
      <c r="B210" s="109"/>
      <c r="C210" s="106"/>
      <c r="D210" s="106"/>
      <c r="E210" s="106"/>
      <c r="F210" s="106"/>
      <c r="G210" s="106"/>
      <c r="H210" s="106"/>
      <c r="I210" s="106"/>
      <c r="J210" s="106"/>
      <c r="K210" s="106"/>
      <c r="L210" s="106"/>
      <c r="M210" s="106"/>
      <c r="N210" s="110"/>
    </row>
    <row r="211" spans="1:14" ht="9" customHeight="1" x14ac:dyDescent="0.25">
      <c r="A211" s="105">
        <v>13</v>
      </c>
      <c r="B211" s="109"/>
      <c r="C211" s="106"/>
      <c r="D211" s="106"/>
      <c r="E211" s="106"/>
      <c r="F211" s="106"/>
      <c r="G211" s="106"/>
      <c r="H211" s="106"/>
      <c r="I211" s="106"/>
      <c r="J211" s="106"/>
      <c r="K211" s="106"/>
      <c r="L211" s="106"/>
      <c r="M211" s="106"/>
      <c r="N211" s="110"/>
    </row>
    <row r="212" spans="1:14" ht="9" customHeight="1" x14ac:dyDescent="0.25">
      <c r="A212" s="105">
        <v>14</v>
      </c>
      <c r="B212" s="109"/>
      <c r="C212" s="106"/>
      <c r="D212" s="106"/>
      <c r="E212" s="106"/>
      <c r="F212" s="106"/>
      <c r="G212" s="106"/>
      <c r="H212" s="106"/>
      <c r="I212" s="106"/>
      <c r="J212" s="106"/>
      <c r="K212" s="106"/>
      <c r="L212" s="106"/>
      <c r="M212" s="106"/>
      <c r="N212" s="110"/>
    </row>
    <row r="213" spans="1:14" ht="9" customHeight="1" x14ac:dyDescent="0.25">
      <c r="A213" s="105">
        <v>15</v>
      </c>
      <c r="B213" s="109"/>
      <c r="C213" s="106"/>
      <c r="D213" s="106"/>
      <c r="E213" s="106"/>
      <c r="F213" s="106"/>
      <c r="G213" s="106"/>
      <c r="H213" s="106"/>
      <c r="I213" s="106"/>
      <c r="J213" s="106"/>
      <c r="K213" s="106"/>
      <c r="L213" s="106"/>
      <c r="M213" s="106"/>
      <c r="N213" s="110"/>
    </row>
    <row r="214" spans="1:14" ht="9" customHeight="1" x14ac:dyDescent="0.25">
      <c r="A214" s="105">
        <v>16</v>
      </c>
      <c r="B214" s="109"/>
      <c r="C214" s="106"/>
      <c r="D214" s="106"/>
      <c r="E214" s="106"/>
      <c r="F214" s="106"/>
      <c r="G214" s="106"/>
      <c r="H214" s="106"/>
      <c r="I214" s="106"/>
      <c r="J214" s="106"/>
      <c r="K214" s="106"/>
      <c r="L214" s="106"/>
      <c r="M214" s="106"/>
      <c r="N214" s="110"/>
    </row>
    <row r="215" spans="1:14" ht="9" customHeight="1" x14ac:dyDescent="0.25">
      <c r="A215" s="105">
        <v>17</v>
      </c>
      <c r="B215" s="109"/>
      <c r="C215" s="106"/>
      <c r="D215" s="106"/>
      <c r="E215" s="106"/>
      <c r="F215" s="106"/>
      <c r="G215" s="106"/>
      <c r="H215" s="106"/>
      <c r="I215" s="106"/>
      <c r="J215" s="106"/>
      <c r="K215" s="106"/>
      <c r="L215" s="106"/>
      <c r="M215" s="106"/>
      <c r="N215" s="110"/>
    </row>
    <row r="216" spans="1:14" ht="9" customHeight="1" x14ac:dyDescent="0.25">
      <c r="A216" s="105">
        <v>18</v>
      </c>
      <c r="B216" s="109"/>
      <c r="C216" s="106"/>
      <c r="D216" s="106"/>
      <c r="E216" s="106"/>
      <c r="F216" s="106"/>
      <c r="G216" s="106"/>
      <c r="H216" s="106"/>
      <c r="I216" s="106"/>
      <c r="J216" s="106"/>
      <c r="K216" s="106"/>
      <c r="L216" s="106"/>
      <c r="M216" s="106"/>
      <c r="N216" s="110"/>
    </row>
    <row r="217" spans="1:14" ht="9" customHeight="1" x14ac:dyDescent="0.25">
      <c r="A217" s="105">
        <v>19</v>
      </c>
      <c r="B217" s="109"/>
      <c r="C217" s="106"/>
      <c r="D217" s="106"/>
      <c r="E217" s="106"/>
      <c r="F217" s="106"/>
      <c r="G217" s="106"/>
      <c r="H217" s="106"/>
      <c r="I217" s="106"/>
      <c r="J217" s="106"/>
      <c r="K217" s="106"/>
      <c r="L217" s="106"/>
      <c r="M217" s="106"/>
      <c r="N217" s="110"/>
    </row>
    <row r="218" spans="1:14" ht="9" customHeight="1" x14ac:dyDescent="0.25">
      <c r="A218" s="105">
        <v>20</v>
      </c>
      <c r="B218" s="109"/>
      <c r="C218" s="106"/>
      <c r="D218" s="106"/>
      <c r="E218" s="106"/>
      <c r="F218" s="106"/>
      <c r="G218" s="106"/>
      <c r="H218" s="106"/>
      <c r="I218" s="106"/>
      <c r="J218" s="106"/>
      <c r="K218" s="106"/>
      <c r="L218" s="106"/>
      <c r="M218" s="106"/>
      <c r="N218" s="110"/>
    </row>
    <row r="219" spans="1:14" ht="9" customHeight="1" x14ac:dyDescent="0.25">
      <c r="A219" s="105">
        <v>21</v>
      </c>
      <c r="B219" s="109"/>
      <c r="C219" s="106"/>
      <c r="D219" s="106"/>
      <c r="E219" s="106"/>
      <c r="F219" s="106"/>
      <c r="G219" s="106"/>
      <c r="H219" s="106"/>
      <c r="I219" s="106"/>
      <c r="J219" s="106"/>
      <c r="K219" s="106"/>
      <c r="L219" s="106"/>
      <c r="M219" s="106"/>
      <c r="N219" s="110"/>
    </row>
    <row r="220" spans="1:14" ht="9" customHeight="1" x14ac:dyDescent="0.25">
      <c r="A220" s="105">
        <v>22</v>
      </c>
      <c r="B220" s="109"/>
      <c r="C220" s="106"/>
      <c r="D220" s="106"/>
      <c r="E220" s="106"/>
      <c r="F220" s="106"/>
      <c r="G220" s="106"/>
      <c r="H220" s="106"/>
      <c r="I220" s="106"/>
      <c r="J220" s="106"/>
      <c r="K220" s="106"/>
      <c r="L220" s="106"/>
      <c r="M220" s="106"/>
      <c r="N220" s="110"/>
    </row>
    <row r="221" spans="1:14" ht="9" customHeight="1" x14ac:dyDescent="0.25">
      <c r="A221" s="105">
        <v>23</v>
      </c>
      <c r="B221" s="109"/>
      <c r="C221" s="106"/>
      <c r="D221" s="106"/>
      <c r="E221" s="106"/>
      <c r="F221" s="106"/>
      <c r="G221" s="106"/>
      <c r="H221" s="106"/>
      <c r="I221" s="106"/>
      <c r="J221" s="106"/>
      <c r="K221" s="106"/>
      <c r="L221" s="106"/>
      <c r="M221" s="106"/>
      <c r="N221" s="110"/>
    </row>
    <row r="222" spans="1:14" ht="9" customHeight="1" x14ac:dyDescent="0.25">
      <c r="A222" s="105">
        <v>24</v>
      </c>
      <c r="B222" s="109"/>
      <c r="C222" s="106"/>
      <c r="D222" s="106"/>
      <c r="E222" s="106"/>
      <c r="F222" s="106"/>
      <c r="G222" s="106"/>
      <c r="H222" s="106"/>
      <c r="I222" s="106"/>
      <c r="J222" s="106"/>
      <c r="K222" s="106"/>
      <c r="L222" s="106"/>
      <c r="M222" s="106"/>
      <c r="N222" s="110"/>
    </row>
    <row r="223" spans="1:14" ht="9" customHeight="1" x14ac:dyDescent="0.25">
      <c r="A223" s="105">
        <v>25</v>
      </c>
      <c r="B223" s="109"/>
      <c r="C223" s="106"/>
      <c r="D223" s="106"/>
      <c r="E223" s="106"/>
      <c r="F223" s="106"/>
      <c r="G223" s="106"/>
      <c r="H223" s="106"/>
      <c r="I223" s="106"/>
      <c r="J223" s="106"/>
      <c r="K223" s="106"/>
      <c r="L223" s="106"/>
      <c r="M223" s="106"/>
      <c r="N223" s="110"/>
    </row>
    <row r="224" spans="1:14" ht="9" customHeight="1" x14ac:dyDescent="0.25">
      <c r="A224" s="105">
        <v>26</v>
      </c>
      <c r="B224" s="109"/>
      <c r="C224" s="106"/>
      <c r="D224" s="106"/>
      <c r="E224" s="106"/>
      <c r="F224" s="106"/>
      <c r="G224" s="106"/>
      <c r="H224" s="106"/>
      <c r="I224" s="106"/>
      <c r="J224" s="106"/>
      <c r="K224" s="106"/>
      <c r="L224" s="106"/>
      <c r="M224" s="106"/>
      <c r="N224" s="110"/>
    </row>
    <row r="225" spans="1:27" ht="9" customHeight="1" x14ac:dyDescent="0.25">
      <c r="A225" s="105">
        <v>27</v>
      </c>
      <c r="B225" s="109"/>
      <c r="C225" s="106"/>
      <c r="D225" s="106"/>
      <c r="E225" s="106"/>
      <c r="F225" s="106"/>
      <c r="G225" s="106"/>
      <c r="H225" s="106"/>
      <c r="I225" s="106"/>
      <c r="J225" s="106"/>
      <c r="K225" s="106"/>
      <c r="L225" s="106"/>
      <c r="M225" s="106"/>
      <c r="N225" s="110"/>
    </row>
    <row r="226" spans="1:27" ht="9" customHeight="1" x14ac:dyDescent="0.25">
      <c r="A226" s="105">
        <v>28</v>
      </c>
      <c r="B226" s="109"/>
      <c r="C226" s="106"/>
      <c r="D226" s="106"/>
      <c r="E226" s="106"/>
      <c r="F226" s="106"/>
      <c r="G226" s="106"/>
      <c r="H226" s="106"/>
      <c r="I226" s="106"/>
      <c r="J226" s="106"/>
      <c r="K226" s="106"/>
      <c r="L226" s="106"/>
      <c r="M226" s="106"/>
      <c r="N226" s="110"/>
    </row>
    <row r="227" spans="1:27" ht="9" customHeight="1" x14ac:dyDescent="0.25">
      <c r="A227" s="105">
        <v>29</v>
      </c>
      <c r="B227" s="109"/>
      <c r="C227" s="106"/>
      <c r="D227" s="106"/>
      <c r="E227" s="106"/>
      <c r="F227" s="106"/>
      <c r="G227" s="106"/>
      <c r="H227" s="106"/>
      <c r="I227" s="106"/>
      <c r="J227" s="106"/>
      <c r="K227" s="106"/>
      <c r="L227" s="106"/>
      <c r="M227" s="106"/>
      <c r="N227" s="110"/>
    </row>
    <row r="228" spans="1:27" ht="9" customHeight="1" x14ac:dyDescent="0.25">
      <c r="A228" s="105">
        <v>30</v>
      </c>
      <c r="B228" s="109"/>
      <c r="C228" s="106"/>
      <c r="D228" s="106"/>
      <c r="E228" s="106"/>
      <c r="F228" s="106"/>
      <c r="G228" s="106"/>
      <c r="H228" s="106"/>
      <c r="I228" s="106"/>
      <c r="J228" s="106"/>
      <c r="K228" s="106"/>
      <c r="L228" s="106"/>
      <c r="M228" s="106"/>
      <c r="N228" s="110"/>
    </row>
    <row r="229" spans="1:27" ht="9" customHeight="1" x14ac:dyDescent="0.25">
      <c r="A229" s="105">
        <v>31</v>
      </c>
      <c r="B229" s="109"/>
      <c r="C229" s="106"/>
      <c r="D229" s="106"/>
      <c r="E229" s="106"/>
      <c r="F229" s="106"/>
      <c r="G229" s="106"/>
      <c r="H229" s="106"/>
      <c r="I229" s="106"/>
      <c r="J229" s="106"/>
      <c r="K229" s="106"/>
      <c r="L229" s="106"/>
      <c r="M229" s="106"/>
      <c r="N229" s="110"/>
    </row>
    <row r="230" spans="1:27" ht="9" customHeight="1" x14ac:dyDescent="0.25">
      <c r="A230" s="105">
        <v>32</v>
      </c>
      <c r="B230" s="109"/>
      <c r="C230" s="106"/>
      <c r="D230" s="106"/>
      <c r="E230" s="106"/>
      <c r="F230" s="106"/>
      <c r="G230" s="106"/>
      <c r="H230" s="106"/>
      <c r="I230" s="106"/>
      <c r="J230" s="106"/>
      <c r="K230" s="106"/>
      <c r="L230" s="106"/>
      <c r="M230" s="106"/>
      <c r="N230" s="110"/>
    </row>
    <row r="231" spans="1:27" ht="9" customHeight="1" x14ac:dyDescent="0.25">
      <c r="A231" s="105">
        <v>33</v>
      </c>
      <c r="B231" s="109"/>
      <c r="C231" s="106"/>
      <c r="D231" s="106"/>
      <c r="E231" s="106"/>
      <c r="F231" s="106"/>
      <c r="G231" s="106"/>
      <c r="H231" s="106"/>
      <c r="I231" s="106"/>
      <c r="J231" s="106"/>
      <c r="K231" s="106"/>
      <c r="L231" s="106"/>
      <c r="M231" s="106"/>
      <c r="N231" s="110"/>
    </row>
    <row r="232" spans="1:27" ht="9" customHeight="1" x14ac:dyDescent="0.25">
      <c r="A232" s="105">
        <v>34</v>
      </c>
      <c r="B232" s="109"/>
      <c r="C232" s="106"/>
      <c r="D232" s="106"/>
      <c r="E232" s="106"/>
      <c r="F232" s="106"/>
      <c r="G232" s="106"/>
      <c r="H232" s="106"/>
      <c r="I232" s="106"/>
      <c r="J232" s="106"/>
      <c r="K232" s="106"/>
      <c r="L232" s="106"/>
      <c r="M232" s="106"/>
      <c r="N232" s="110"/>
    </row>
    <row r="233" spans="1:27" ht="9" customHeight="1" thickBot="1" x14ac:dyDescent="0.3">
      <c r="A233" s="105">
        <v>35</v>
      </c>
      <c r="B233" s="111"/>
      <c r="C233" s="112"/>
      <c r="D233" s="112"/>
      <c r="E233" s="112"/>
      <c r="F233" s="112"/>
      <c r="G233" s="112"/>
      <c r="H233" s="112"/>
      <c r="I233" s="112"/>
      <c r="J233" s="112"/>
      <c r="K233" s="112"/>
      <c r="L233" s="112"/>
      <c r="M233" s="112"/>
      <c r="N233" s="113"/>
    </row>
    <row r="235" spans="1:27" ht="15.75" thickBot="1" x14ac:dyDescent="0.3">
      <c r="A235" s="100"/>
      <c r="B235" s="101">
        <v>2</v>
      </c>
      <c r="C235" s="101">
        <v>3</v>
      </c>
      <c r="D235" s="101">
        <v>4</v>
      </c>
      <c r="E235" s="101">
        <v>5</v>
      </c>
      <c r="F235" s="101">
        <v>6</v>
      </c>
      <c r="G235" s="101">
        <v>7</v>
      </c>
      <c r="H235" s="101">
        <v>8</v>
      </c>
      <c r="I235" s="101">
        <v>9</v>
      </c>
      <c r="J235" s="101">
        <v>10</v>
      </c>
      <c r="K235" s="101">
        <v>11</v>
      </c>
      <c r="L235" s="101">
        <v>12</v>
      </c>
      <c r="M235" s="101">
        <v>13</v>
      </c>
      <c r="N235" s="101">
        <v>14</v>
      </c>
      <c r="O235" s="100">
        <v>15</v>
      </c>
      <c r="P235" s="100">
        <v>16</v>
      </c>
      <c r="Q235" s="100">
        <v>17</v>
      </c>
      <c r="R235" s="100">
        <v>18</v>
      </c>
      <c r="S235" s="100">
        <v>19</v>
      </c>
      <c r="T235" s="100">
        <v>20</v>
      </c>
      <c r="U235" s="100">
        <v>21</v>
      </c>
      <c r="V235" s="100">
        <v>22</v>
      </c>
      <c r="W235" s="100">
        <v>23</v>
      </c>
      <c r="X235" s="100">
        <v>24</v>
      </c>
      <c r="Y235" s="100">
        <v>25</v>
      </c>
      <c r="Z235" s="100">
        <v>26</v>
      </c>
      <c r="AA235" s="100">
        <v>27</v>
      </c>
    </row>
    <row r="236" spans="1:27" ht="15.75" thickBot="1" x14ac:dyDescent="0.3">
      <c r="B236" s="251" t="s">
        <v>211</v>
      </c>
      <c r="C236" s="252"/>
      <c r="D236" s="252"/>
      <c r="E236" s="114" t="s">
        <v>136</v>
      </c>
      <c r="F236" s="114">
        <f>VLOOKUP($E236,[1]Datos!$S$54:$T$74,2,0)</f>
        <v>39936</v>
      </c>
      <c r="G236" s="253" t="s">
        <v>202</v>
      </c>
      <c r="H236" s="253"/>
      <c r="I236" s="115"/>
      <c r="J236" s="115"/>
      <c r="K236" s="115"/>
      <c r="L236" s="115"/>
      <c r="M236" s="115"/>
      <c r="N236" s="116"/>
    </row>
    <row r="237" spans="1:27" ht="22.5" x14ac:dyDescent="0.25">
      <c r="B237" s="107" t="s">
        <v>184</v>
      </c>
      <c r="C237" s="102" t="s">
        <v>186</v>
      </c>
      <c r="D237" s="102" t="s">
        <v>200</v>
      </c>
      <c r="E237" s="102" t="s">
        <v>185</v>
      </c>
      <c r="F237" s="103" t="s">
        <v>187</v>
      </c>
      <c r="G237" s="103" t="s">
        <v>188</v>
      </c>
      <c r="H237" s="102" t="s">
        <v>190</v>
      </c>
      <c r="I237" s="102" t="s">
        <v>191</v>
      </c>
      <c r="J237" s="102" t="s">
        <v>192</v>
      </c>
      <c r="K237" s="102" t="s">
        <v>203</v>
      </c>
      <c r="L237" s="102" t="s">
        <v>204</v>
      </c>
      <c r="M237" s="104" t="s">
        <v>196</v>
      </c>
      <c r="N237" s="108" t="s">
        <v>205</v>
      </c>
    </row>
    <row r="238" spans="1:27" ht="9" customHeight="1" x14ac:dyDescent="0.25">
      <c r="A238" s="105">
        <v>1</v>
      </c>
      <c r="B238" s="109"/>
      <c r="C238" s="106"/>
      <c r="D238" s="106"/>
      <c r="E238" s="106"/>
      <c r="F238" s="106"/>
      <c r="G238" s="106"/>
      <c r="H238" s="106"/>
      <c r="I238" s="106"/>
      <c r="J238" s="106"/>
      <c r="K238" s="106"/>
      <c r="L238" s="106"/>
      <c r="M238" s="106"/>
      <c r="N238" s="110"/>
    </row>
    <row r="239" spans="1:27" ht="9" customHeight="1" x14ac:dyDescent="0.25">
      <c r="A239" s="105">
        <v>2</v>
      </c>
      <c r="B239" s="109"/>
      <c r="C239" s="106"/>
      <c r="D239" s="106"/>
      <c r="E239" s="106"/>
      <c r="F239" s="106"/>
      <c r="G239" s="106"/>
      <c r="H239" s="106"/>
      <c r="I239" s="106"/>
      <c r="J239" s="106"/>
      <c r="K239" s="106"/>
      <c r="L239" s="106"/>
      <c r="M239" s="106"/>
      <c r="N239" s="110"/>
    </row>
    <row r="240" spans="1:27" ht="9" customHeight="1" x14ac:dyDescent="0.25">
      <c r="A240" s="105">
        <v>3</v>
      </c>
      <c r="B240" s="109"/>
      <c r="C240" s="106"/>
      <c r="D240" s="106"/>
      <c r="E240" s="106"/>
      <c r="F240" s="106"/>
      <c r="G240" s="106"/>
      <c r="H240" s="106"/>
      <c r="I240" s="106"/>
      <c r="J240" s="106"/>
      <c r="K240" s="106"/>
      <c r="L240" s="106"/>
      <c r="M240" s="106"/>
      <c r="N240" s="110"/>
    </row>
    <row r="241" spans="1:14" ht="9" customHeight="1" x14ac:dyDescent="0.25">
      <c r="A241" s="105">
        <v>4</v>
      </c>
      <c r="B241" s="109"/>
      <c r="C241" s="106"/>
      <c r="D241" s="106"/>
      <c r="E241" s="106"/>
      <c r="F241" s="106"/>
      <c r="G241" s="106"/>
      <c r="H241" s="106"/>
      <c r="I241" s="106"/>
      <c r="J241" s="106"/>
      <c r="K241" s="106"/>
      <c r="L241" s="106"/>
      <c r="M241" s="106"/>
      <c r="N241" s="110"/>
    </row>
    <row r="242" spans="1:14" ht="9" customHeight="1" x14ac:dyDescent="0.25">
      <c r="A242" s="105">
        <v>5</v>
      </c>
      <c r="B242" s="109"/>
      <c r="C242" s="106"/>
      <c r="D242" s="106"/>
      <c r="E242" s="106"/>
      <c r="F242" s="106"/>
      <c r="G242" s="106"/>
      <c r="H242" s="106"/>
      <c r="I242" s="106"/>
      <c r="J242" s="106"/>
      <c r="K242" s="106"/>
      <c r="L242" s="106"/>
      <c r="M242" s="106"/>
      <c r="N242" s="110"/>
    </row>
    <row r="243" spans="1:14" ht="9" customHeight="1" x14ac:dyDescent="0.25">
      <c r="A243" s="105">
        <v>6</v>
      </c>
      <c r="B243" s="109"/>
      <c r="C243" s="106"/>
      <c r="D243" s="106"/>
      <c r="E243" s="106"/>
      <c r="F243" s="106"/>
      <c r="G243" s="106"/>
      <c r="H243" s="106"/>
      <c r="I243" s="106"/>
      <c r="J243" s="106"/>
      <c r="K243" s="106"/>
      <c r="L243" s="106"/>
      <c r="M243" s="106"/>
      <c r="N243" s="110"/>
    </row>
    <row r="244" spans="1:14" ht="9" customHeight="1" x14ac:dyDescent="0.25">
      <c r="A244" s="105">
        <v>7</v>
      </c>
      <c r="B244" s="109"/>
      <c r="C244" s="106"/>
      <c r="D244" s="106"/>
      <c r="E244" s="106"/>
      <c r="F244" s="106"/>
      <c r="G244" s="106"/>
      <c r="H244" s="106"/>
      <c r="I244" s="106"/>
      <c r="J244" s="106"/>
      <c r="K244" s="106"/>
      <c r="L244" s="106"/>
      <c r="M244" s="106"/>
      <c r="N244" s="110"/>
    </row>
    <row r="245" spans="1:14" ht="9" customHeight="1" x14ac:dyDescent="0.25">
      <c r="A245" s="105">
        <v>8</v>
      </c>
      <c r="B245" s="109"/>
      <c r="C245" s="106"/>
      <c r="D245" s="106"/>
      <c r="E245" s="106"/>
      <c r="F245" s="106"/>
      <c r="G245" s="106"/>
      <c r="H245" s="106"/>
      <c r="I245" s="106"/>
      <c r="J245" s="106"/>
      <c r="K245" s="106"/>
      <c r="L245" s="106"/>
      <c r="M245" s="106"/>
      <c r="N245" s="110"/>
    </row>
    <row r="246" spans="1:14" ht="9" customHeight="1" x14ac:dyDescent="0.25">
      <c r="A246" s="105">
        <v>9</v>
      </c>
      <c r="B246" s="109"/>
      <c r="C246" s="106"/>
      <c r="D246" s="106"/>
      <c r="E246" s="106"/>
      <c r="F246" s="106"/>
      <c r="G246" s="106"/>
      <c r="H246" s="106"/>
      <c r="I246" s="106"/>
      <c r="J246" s="106"/>
      <c r="K246" s="106"/>
      <c r="L246" s="106"/>
      <c r="M246" s="106"/>
      <c r="N246" s="110"/>
    </row>
    <row r="247" spans="1:14" ht="9" customHeight="1" x14ac:dyDescent="0.25">
      <c r="A247" s="105">
        <v>10</v>
      </c>
      <c r="B247" s="109"/>
      <c r="C247" s="106"/>
      <c r="D247" s="106"/>
      <c r="E247" s="106"/>
      <c r="F247" s="106"/>
      <c r="G247" s="106"/>
      <c r="H247" s="106"/>
      <c r="I247" s="106"/>
      <c r="J247" s="106"/>
      <c r="K247" s="106"/>
      <c r="L247" s="106"/>
      <c r="M247" s="106"/>
      <c r="N247" s="110"/>
    </row>
    <row r="248" spans="1:14" ht="9" customHeight="1" x14ac:dyDescent="0.25">
      <c r="A248" s="105">
        <v>11</v>
      </c>
      <c r="B248" s="109"/>
      <c r="C248" s="106"/>
      <c r="D248" s="106"/>
      <c r="E248" s="106"/>
      <c r="F248" s="106"/>
      <c r="G248" s="106"/>
      <c r="H248" s="106"/>
      <c r="I248" s="106"/>
      <c r="J248" s="106"/>
      <c r="K248" s="106"/>
      <c r="L248" s="106"/>
      <c r="M248" s="106"/>
      <c r="N248" s="110"/>
    </row>
    <row r="249" spans="1:14" ht="9" customHeight="1" x14ac:dyDescent="0.25">
      <c r="A249" s="105">
        <v>12</v>
      </c>
      <c r="B249" s="109"/>
      <c r="C249" s="106"/>
      <c r="D249" s="106"/>
      <c r="E249" s="106"/>
      <c r="F249" s="106"/>
      <c r="G249" s="106"/>
      <c r="H249" s="106"/>
      <c r="I249" s="106"/>
      <c r="J249" s="106"/>
      <c r="K249" s="106"/>
      <c r="L249" s="106"/>
      <c r="M249" s="106"/>
      <c r="N249" s="110"/>
    </row>
    <row r="250" spans="1:14" ht="9" customHeight="1" x14ac:dyDescent="0.25">
      <c r="A250" s="105">
        <v>13</v>
      </c>
      <c r="B250" s="109"/>
      <c r="C250" s="106"/>
      <c r="D250" s="106"/>
      <c r="E250" s="106"/>
      <c r="F250" s="106"/>
      <c r="G250" s="106"/>
      <c r="H250" s="106"/>
      <c r="I250" s="106"/>
      <c r="J250" s="106"/>
      <c r="K250" s="106"/>
      <c r="L250" s="106"/>
      <c r="M250" s="106"/>
      <c r="N250" s="110"/>
    </row>
    <row r="251" spans="1:14" ht="9" customHeight="1" x14ac:dyDescent="0.25">
      <c r="A251" s="105">
        <v>14</v>
      </c>
      <c r="B251" s="109"/>
      <c r="C251" s="106"/>
      <c r="D251" s="106"/>
      <c r="E251" s="106"/>
      <c r="F251" s="106"/>
      <c r="G251" s="106"/>
      <c r="H251" s="106"/>
      <c r="I251" s="106"/>
      <c r="J251" s="106"/>
      <c r="K251" s="106"/>
      <c r="L251" s="106"/>
      <c r="M251" s="106"/>
      <c r="N251" s="110"/>
    </row>
    <row r="252" spans="1:14" ht="9" customHeight="1" x14ac:dyDescent="0.25">
      <c r="A252" s="105">
        <v>15</v>
      </c>
      <c r="B252" s="109"/>
      <c r="C252" s="106"/>
      <c r="D252" s="106"/>
      <c r="E252" s="106"/>
      <c r="F252" s="106"/>
      <c r="G252" s="106"/>
      <c r="H252" s="106"/>
      <c r="I252" s="106"/>
      <c r="J252" s="106"/>
      <c r="K252" s="106"/>
      <c r="L252" s="106"/>
      <c r="M252" s="106"/>
      <c r="N252" s="110"/>
    </row>
    <row r="253" spans="1:14" ht="9" customHeight="1" x14ac:dyDescent="0.25">
      <c r="A253" s="105">
        <v>16</v>
      </c>
      <c r="B253" s="109"/>
      <c r="C253" s="106"/>
      <c r="D253" s="106"/>
      <c r="E253" s="106"/>
      <c r="F253" s="106"/>
      <c r="G253" s="106"/>
      <c r="H253" s="106"/>
      <c r="I253" s="106"/>
      <c r="J253" s="106"/>
      <c r="K253" s="106"/>
      <c r="L253" s="106"/>
      <c r="M253" s="106"/>
      <c r="N253" s="110"/>
    </row>
    <row r="254" spans="1:14" ht="9" customHeight="1" x14ac:dyDescent="0.25">
      <c r="A254" s="105">
        <v>17</v>
      </c>
      <c r="B254" s="109"/>
      <c r="C254" s="106"/>
      <c r="D254" s="106"/>
      <c r="E254" s="106"/>
      <c r="F254" s="106"/>
      <c r="G254" s="106"/>
      <c r="H254" s="106"/>
      <c r="I254" s="106"/>
      <c r="J254" s="106"/>
      <c r="K254" s="106"/>
      <c r="L254" s="106"/>
      <c r="M254" s="106"/>
      <c r="N254" s="110"/>
    </row>
    <row r="255" spans="1:14" ht="9" customHeight="1" x14ac:dyDescent="0.25">
      <c r="A255" s="105">
        <v>18</v>
      </c>
      <c r="B255" s="109"/>
      <c r="C255" s="106"/>
      <c r="D255" s="106"/>
      <c r="E255" s="106"/>
      <c r="F255" s="106"/>
      <c r="G255" s="106"/>
      <c r="H255" s="106"/>
      <c r="I255" s="106"/>
      <c r="J255" s="106"/>
      <c r="K255" s="106"/>
      <c r="L255" s="106"/>
      <c r="M255" s="106"/>
      <c r="N255" s="110"/>
    </row>
    <row r="256" spans="1:14" ht="9" customHeight="1" x14ac:dyDescent="0.25">
      <c r="A256" s="105">
        <v>19</v>
      </c>
      <c r="B256" s="109"/>
      <c r="C256" s="106"/>
      <c r="D256" s="106"/>
      <c r="E256" s="106"/>
      <c r="F256" s="106"/>
      <c r="G256" s="106"/>
      <c r="H256" s="106"/>
      <c r="I256" s="106"/>
      <c r="J256" s="106"/>
      <c r="K256" s="106"/>
      <c r="L256" s="106"/>
      <c r="M256" s="106"/>
      <c r="N256" s="110"/>
    </row>
    <row r="257" spans="1:14" ht="9" customHeight="1" x14ac:dyDescent="0.25">
      <c r="A257" s="105">
        <v>20</v>
      </c>
      <c r="B257" s="109"/>
      <c r="C257" s="106"/>
      <c r="D257" s="106"/>
      <c r="E257" s="106"/>
      <c r="F257" s="106"/>
      <c r="G257" s="106"/>
      <c r="H257" s="106"/>
      <c r="I257" s="106"/>
      <c r="J257" s="106"/>
      <c r="K257" s="106"/>
      <c r="L257" s="106"/>
      <c r="M257" s="106"/>
      <c r="N257" s="110"/>
    </row>
    <row r="258" spans="1:14" ht="9" customHeight="1" x14ac:dyDescent="0.25">
      <c r="A258" s="105">
        <v>21</v>
      </c>
      <c r="B258" s="109"/>
      <c r="C258" s="106"/>
      <c r="D258" s="106"/>
      <c r="E258" s="106"/>
      <c r="F258" s="106"/>
      <c r="G258" s="106"/>
      <c r="H258" s="106"/>
      <c r="I258" s="106"/>
      <c r="J258" s="106"/>
      <c r="K258" s="106"/>
      <c r="L258" s="106"/>
      <c r="M258" s="106"/>
      <c r="N258" s="110"/>
    </row>
    <row r="259" spans="1:14" ht="9" customHeight="1" x14ac:dyDescent="0.25">
      <c r="A259" s="105">
        <v>22</v>
      </c>
      <c r="B259" s="109"/>
      <c r="C259" s="106"/>
      <c r="D259" s="106"/>
      <c r="E259" s="106"/>
      <c r="F259" s="106"/>
      <c r="G259" s="106"/>
      <c r="H259" s="106"/>
      <c r="I259" s="106"/>
      <c r="J259" s="106"/>
      <c r="K259" s="106"/>
      <c r="L259" s="106"/>
      <c r="M259" s="106"/>
      <c r="N259" s="110"/>
    </row>
    <row r="260" spans="1:14" ht="9" customHeight="1" x14ac:dyDescent="0.25">
      <c r="A260" s="105">
        <v>23</v>
      </c>
      <c r="B260" s="109"/>
      <c r="C260" s="106"/>
      <c r="D260" s="106"/>
      <c r="E260" s="106"/>
      <c r="F260" s="106"/>
      <c r="G260" s="106"/>
      <c r="H260" s="106"/>
      <c r="I260" s="106"/>
      <c r="J260" s="106"/>
      <c r="K260" s="106"/>
      <c r="L260" s="106"/>
      <c r="M260" s="106"/>
      <c r="N260" s="110"/>
    </row>
    <row r="261" spans="1:14" ht="9" customHeight="1" x14ac:dyDescent="0.25">
      <c r="A261" s="105">
        <v>24</v>
      </c>
      <c r="B261" s="109"/>
      <c r="C261" s="106"/>
      <c r="D261" s="106"/>
      <c r="E261" s="106"/>
      <c r="F261" s="106"/>
      <c r="G261" s="106"/>
      <c r="H261" s="106"/>
      <c r="I261" s="106"/>
      <c r="J261" s="106"/>
      <c r="K261" s="106"/>
      <c r="L261" s="106"/>
      <c r="M261" s="106"/>
      <c r="N261" s="110"/>
    </row>
    <row r="262" spans="1:14" ht="9" customHeight="1" x14ac:dyDescent="0.25">
      <c r="A262" s="105">
        <v>25</v>
      </c>
      <c r="B262" s="109"/>
      <c r="C262" s="106"/>
      <c r="D262" s="106"/>
      <c r="E262" s="106"/>
      <c r="F262" s="106"/>
      <c r="G262" s="106"/>
      <c r="H262" s="106"/>
      <c r="I262" s="106"/>
      <c r="J262" s="106"/>
      <c r="K262" s="106"/>
      <c r="L262" s="106"/>
      <c r="M262" s="106"/>
      <c r="N262" s="110"/>
    </row>
    <row r="263" spans="1:14" ht="9" customHeight="1" x14ac:dyDescent="0.25">
      <c r="A263" s="105">
        <v>26</v>
      </c>
      <c r="B263" s="109"/>
      <c r="C263" s="106"/>
      <c r="D263" s="106"/>
      <c r="E263" s="106"/>
      <c r="F263" s="106"/>
      <c r="G263" s="106"/>
      <c r="H263" s="106"/>
      <c r="I263" s="106"/>
      <c r="J263" s="106"/>
      <c r="K263" s="106"/>
      <c r="L263" s="106"/>
      <c r="M263" s="106"/>
      <c r="N263" s="110"/>
    </row>
    <row r="264" spans="1:14" ht="9" customHeight="1" x14ac:dyDescent="0.25">
      <c r="A264" s="105">
        <v>27</v>
      </c>
      <c r="B264" s="109"/>
      <c r="C264" s="106"/>
      <c r="D264" s="106"/>
      <c r="E264" s="106"/>
      <c r="F264" s="106"/>
      <c r="G264" s="106"/>
      <c r="H264" s="106"/>
      <c r="I264" s="106"/>
      <c r="J264" s="106"/>
      <c r="K264" s="106"/>
      <c r="L264" s="106"/>
      <c r="M264" s="106"/>
      <c r="N264" s="110"/>
    </row>
    <row r="265" spans="1:14" ht="9" customHeight="1" x14ac:dyDescent="0.25">
      <c r="A265" s="105">
        <v>28</v>
      </c>
      <c r="B265" s="109"/>
      <c r="C265" s="106"/>
      <c r="D265" s="106"/>
      <c r="E265" s="106"/>
      <c r="F265" s="106"/>
      <c r="G265" s="106"/>
      <c r="H265" s="106"/>
      <c r="I265" s="106"/>
      <c r="J265" s="106"/>
      <c r="K265" s="106"/>
      <c r="L265" s="106"/>
      <c r="M265" s="106"/>
      <c r="N265" s="110"/>
    </row>
    <row r="266" spans="1:14" ht="9" customHeight="1" x14ac:dyDescent="0.25">
      <c r="A266" s="105">
        <v>29</v>
      </c>
      <c r="B266" s="109"/>
      <c r="C266" s="106"/>
      <c r="D266" s="106"/>
      <c r="E266" s="106"/>
      <c r="F266" s="106"/>
      <c r="G266" s="106"/>
      <c r="H266" s="106"/>
      <c r="I266" s="106"/>
      <c r="J266" s="106"/>
      <c r="K266" s="106"/>
      <c r="L266" s="106"/>
      <c r="M266" s="106"/>
      <c r="N266" s="110"/>
    </row>
    <row r="267" spans="1:14" ht="9" customHeight="1" x14ac:dyDescent="0.25">
      <c r="A267" s="105">
        <v>30</v>
      </c>
      <c r="B267" s="109"/>
      <c r="C267" s="106"/>
      <c r="D267" s="106"/>
      <c r="E267" s="106"/>
      <c r="F267" s="106"/>
      <c r="G267" s="106"/>
      <c r="H267" s="106"/>
      <c r="I267" s="106"/>
      <c r="J267" s="106"/>
      <c r="K267" s="106"/>
      <c r="L267" s="106"/>
      <c r="M267" s="106"/>
      <c r="N267" s="110"/>
    </row>
    <row r="268" spans="1:14" ht="9" customHeight="1" x14ac:dyDescent="0.25">
      <c r="A268" s="105">
        <v>31</v>
      </c>
      <c r="B268" s="109"/>
      <c r="C268" s="106"/>
      <c r="D268" s="106"/>
      <c r="E268" s="106"/>
      <c r="F268" s="106"/>
      <c r="G268" s="106"/>
      <c r="H268" s="106"/>
      <c r="I268" s="106"/>
      <c r="J268" s="106"/>
      <c r="K268" s="106"/>
      <c r="L268" s="106"/>
      <c r="M268" s="106"/>
      <c r="N268" s="110"/>
    </row>
    <row r="269" spans="1:14" ht="9" customHeight="1" x14ac:dyDescent="0.25">
      <c r="A269" s="105">
        <v>32</v>
      </c>
      <c r="B269" s="109"/>
      <c r="C269" s="106"/>
      <c r="D269" s="106"/>
      <c r="E269" s="106"/>
      <c r="F269" s="106"/>
      <c r="G269" s="106"/>
      <c r="H269" s="106"/>
      <c r="I269" s="106"/>
      <c r="J269" s="106"/>
      <c r="K269" s="106"/>
      <c r="L269" s="106"/>
      <c r="M269" s="106"/>
      <c r="N269" s="110"/>
    </row>
    <row r="270" spans="1:14" ht="9" customHeight="1" x14ac:dyDescent="0.25">
      <c r="A270" s="105">
        <v>33</v>
      </c>
      <c r="B270" s="109"/>
      <c r="C270" s="106"/>
      <c r="D270" s="106"/>
      <c r="E270" s="106"/>
      <c r="F270" s="106"/>
      <c r="G270" s="106"/>
      <c r="H270" s="106"/>
      <c r="I270" s="106"/>
      <c r="J270" s="106"/>
      <c r="K270" s="106"/>
      <c r="L270" s="106"/>
      <c r="M270" s="106"/>
      <c r="N270" s="110"/>
    </row>
    <row r="271" spans="1:14" ht="9" customHeight="1" x14ac:dyDescent="0.25">
      <c r="A271" s="105">
        <v>34</v>
      </c>
      <c r="B271" s="109"/>
      <c r="C271" s="106"/>
      <c r="D271" s="106"/>
      <c r="E271" s="106"/>
      <c r="F271" s="106"/>
      <c r="G271" s="106"/>
      <c r="H271" s="106"/>
      <c r="I271" s="106"/>
      <c r="J271" s="106"/>
      <c r="K271" s="106"/>
      <c r="L271" s="106"/>
      <c r="M271" s="106"/>
      <c r="N271" s="110"/>
    </row>
    <row r="272" spans="1:14" ht="9" customHeight="1" thickBot="1" x14ac:dyDescent="0.3">
      <c r="A272" s="105">
        <v>35</v>
      </c>
      <c r="B272" s="111"/>
      <c r="C272" s="112"/>
      <c r="D272" s="112"/>
      <c r="E272" s="112"/>
      <c r="F272" s="112"/>
      <c r="G272" s="112"/>
      <c r="H272" s="112"/>
      <c r="I272" s="112"/>
      <c r="J272" s="112"/>
      <c r="K272" s="112"/>
      <c r="L272" s="112"/>
      <c r="M272" s="112"/>
      <c r="N272" s="113"/>
    </row>
    <row r="274" spans="1:27" ht="15.75" thickBot="1" x14ac:dyDescent="0.3">
      <c r="A274" s="100"/>
      <c r="B274" s="101">
        <v>2</v>
      </c>
      <c r="C274" s="101">
        <v>3</v>
      </c>
      <c r="D274" s="101">
        <v>4</v>
      </c>
      <c r="E274" s="101">
        <v>5</v>
      </c>
      <c r="F274" s="101">
        <v>6</v>
      </c>
      <c r="G274" s="101">
        <v>7</v>
      </c>
      <c r="H274" s="101">
        <v>8</v>
      </c>
      <c r="I274" s="101">
        <v>9</v>
      </c>
      <c r="J274" s="101">
        <v>10</v>
      </c>
      <c r="K274" s="101">
        <v>11</v>
      </c>
      <c r="L274" s="101">
        <v>12</v>
      </c>
      <c r="M274" s="101">
        <v>13</v>
      </c>
      <c r="N274" s="101">
        <v>14</v>
      </c>
      <c r="O274" s="100">
        <v>15</v>
      </c>
      <c r="P274" s="100">
        <v>16</v>
      </c>
      <c r="Q274" s="100">
        <v>17</v>
      </c>
      <c r="R274" s="100">
        <v>18</v>
      </c>
      <c r="S274" s="100">
        <v>19</v>
      </c>
      <c r="T274" s="100">
        <v>20</v>
      </c>
      <c r="U274" s="100">
        <v>21</v>
      </c>
      <c r="V274" s="100">
        <v>22</v>
      </c>
      <c r="W274" s="100">
        <v>23</v>
      </c>
      <c r="X274" s="100">
        <v>24</v>
      </c>
      <c r="Y274" s="100">
        <v>25</v>
      </c>
      <c r="Z274" s="100">
        <v>26</v>
      </c>
      <c r="AA274" s="100">
        <v>27</v>
      </c>
    </row>
    <row r="275" spans="1:27" ht="15.75" thickBot="1" x14ac:dyDescent="0.3">
      <c r="B275" s="251" t="s">
        <v>212</v>
      </c>
      <c r="C275" s="252"/>
      <c r="D275" s="252"/>
      <c r="E275" s="114" t="s">
        <v>136</v>
      </c>
      <c r="F275" s="114">
        <f>VLOOKUP($E275,[1]Datos!$S$54:$T$74,2,0)</f>
        <v>39936</v>
      </c>
      <c r="G275" s="253" t="s">
        <v>202</v>
      </c>
      <c r="H275" s="253"/>
      <c r="I275" s="115"/>
      <c r="J275" s="115"/>
      <c r="K275" s="115"/>
      <c r="L275" s="115"/>
      <c r="M275" s="115"/>
      <c r="N275" s="116"/>
    </row>
    <row r="276" spans="1:27" ht="22.5" x14ac:dyDescent="0.25">
      <c r="B276" s="107" t="s">
        <v>184</v>
      </c>
      <c r="C276" s="102" t="s">
        <v>186</v>
      </c>
      <c r="D276" s="102" t="s">
        <v>200</v>
      </c>
      <c r="E276" s="102" t="s">
        <v>185</v>
      </c>
      <c r="F276" s="103" t="s">
        <v>187</v>
      </c>
      <c r="G276" s="103" t="s">
        <v>188</v>
      </c>
      <c r="H276" s="102" t="s">
        <v>190</v>
      </c>
      <c r="I276" s="102" t="s">
        <v>191</v>
      </c>
      <c r="J276" s="102" t="s">
        <v>192</v>
      </c>
      <c r="K276" s="102" t="s">
        <v>203</v>
      </c>
      <c r="L276" s="102" t="s">
        <v>204</v>
      </c>
      <c r="M276" s="104" t="s">
        <v>196</v>
      </c>
      <c r="N276" s="108" t="s">
        <v>205</v>
      </c>
    </row>
    <row r="277" spans="1:27" ht="9" customHeight="1" x14ac:dyDescent="0.25">
      <c r="A277" s="105">
        <v>1</v>
      </c>
      <c r="B277" s="109"/>
      <c r="C277" s="106"/>
      <c r="D277" s="106"/>
      <c r="E277" s="106"/>
      <c r="F277" s="106"/>
      <c r="G277" s="106"/>
      <c r="H277" s="106"/>
      <c r="I277" s="106"/>
      <c r="J277" s="106"/>
      <c r="K277" s="106"/>
      <c r="L277" s="106"/>
      <c r="M277" s="106"/>
      <c r="N277" s="110"/>
    </row>
    <row r="278" spans="1:27" ht="9" customHeight="1" x14ac:dyDescent="0.25">
      <c r="A278" s="105">
        <v>2</v>
      </c>
      <c r="B278" s="109"/>
      <c r="C278" s="106"/>
      <c r="D278" s="106"/>
      <c r="E278" s="106"/>
      <c r="F278" s="106"/>
      <c r="G278" s="106"/>
      <c r="H278" s="106"/>
      <c r="I278" s="106"/>
      <c r="J278" s="106"/>
      <c r="K278" s="106"/>
      <c r="L278" s="106"/>
      <c r="M278" s="106"/>
      <c r="N278" s="110"/>
    </row>
    <row r="279" spans="1:27" ht="9" customHeight="1" x14ac:dyDescent="0.25">
      <c r="A279" s="105">
        <v>3</v>
      </c>
      <c r="B279" s="109"/>
      <c r="C279" s="106"/>
      <c r="D279" s="106"/>
      <c r="E279" s="106"/>
      <c r="F279" s="106"/>
      <c r="G279" s="106"/>
      <c r="H279" s="106"/>
      <c r="I279" s="106"/>
      <c r="J279" s="106"/>
      <c r="K279" s="106"/>
      <c r="L279" s="106"/>
      <c r="M279" s="106"/>
      <c r="N279" s="110"/>
    </row>
    <row r="280" spans="1:27" ht="9" customHeight="1" x14ac:dyDescent="0.25">
      <c r="A280" s="105">
        <v>4</v>
      </c>
      <c r="B280" s="109"/>
      <c r="C280" s="106"/>
      <c r="D280" s="106"/>
      <c r="E280" s="106"/>
      <c r="F280" s="106"/>
      <c r="G280" s="106"/>
      <c r="H280" s="106"/>
      <c r="I280" s="106"/>
      <c r="J280" s="106"/>
      <c r="K280" s="106"/>
      <c r="L280" s="106"/>
      <c r="M280" s="106"/>
      <c r="N280" s="110"/>
    </row>
    <row r="281" spans="1:27" ht="9" customHeight="1" x14ac:dyDescent="0.25">
      <c r="A281" s="105">
        <v>5</v>
      </c>
      <c r="B281" s="109"/>
      <c r="C281" s="106"/>
      <c r="D281" s="106"/>
      <c r="E281" s="106"/>
      <c r="F281" s="106"/>
      <c r="G281" s="106"/>
      <c r="H281" s="106"/>
      <c r="I281" s="106"/>
      <c r="J281" s="106"/>
      <c r="K281" s="106"/>
      <c r="L281" s="106"/>
      <c r="M281" s="106"/>
      <c r="N281" s="110"/>
    </row>
    <row r="282" spans="1:27" ht="9" customHeight="1" x14ac:dyDescent="0.25">
      <c r="A282" s="105">
        <v>6</v>
      </c>
      <c r="B282" s="109"/>
      <c r="C282" s="106"/>
      <c r="D282" s="106"/>
      <c r="E282" s="106"/>
      <c r="F282" s="106"/>
      <c r="G282" s="106"/>
      <c r="H282" s="106"/>
      <c r="I282" s="106"/>
      <c r="J282" s="106"/>
      <c r="K282" s="106"/>
      <c r="L282" s="106"/>
      <c r="M282" s="106"/>
      <c r="N282" s="110"/>
    </row>
    <row r="283" spans="1:27" ht="9" customHeight="1" x14ac:dyDescent="0.25">
      <c r="A283" s="105">
        <v>7</v>
      </c>
      <c r="B283" s="109"/>
      <c r="C283" s="106"/>
      <c r="D283" s="106"/>
      <c r="E283" s="106"/>
      <c r="F283" s="106"/>
      <c r="G283" s="106"/>
      <c r="H283" s="106"/>
      <c r="I283" s="106"/>
      <c r="J283" s="106"/>
      <c r="K283" s="106"/>
      <c r="L283" s="106"/>
      <c r="M283" s="106"/>
      <c r="N283" s="110"/>
    </row>
    <row r="284" spans="1:27" ht="9" customHeight="1" x14ac:dyDescent="0.25">
      <c r="A284" s="105">
        <v>8</v>
      </c>
      <c r="B284" s="109"/>
      <c r="C284" s="106"/>
      <c r="D284" s="106"/>
      <c r="E284" s="106"/>
      <c r="F284" s="106"/>
      <c r="G284" s="106"/>
      <c r="H284" s="106"/>
      <c r="I284" s="106"/>
      <c r="J284" s="106"/>
      <c r="K284" s="106"/>
      <c r="L284" s="106"/>
      <c r="M284" s="106"/>
      <c r="N284" s="110"/>
    </row>
    <row r="285" spans="1:27" ht="9" customHeight="1" x14ac:dyDescent="0.25">
      <c r="A285" s="105">
        <v>9</v>
      </c>
      <c r="B285" s="109"/>
      <c r="C285" s="106"/>
      <c r="D285" s="106"/>
      <c r="E285" s="106"/>
      <c r="F285" s="106"/>
      <c r="G285" s="106"/>
      <c r="H285" s="106"/>
      <c r="I285" s="106"/>
      <c r="J285" s="106"/>
      <c r="K285" s="106"/>
      <c r="L285" s="106"/>
      <c r="M285" s="106"/>
      <c r="N285" s="110"/>
    </row>
    <row r="286" spans="1:27" ht="9" customHeight="1" x14ac:dyDescent="0.25">
      <c r="A286" s="105">
        <v>10</v>
      </c>
      <c r="B286" s="109"/>
      <c r="C286" s="106"/>
      <c r="D286" s="106"/>
      <c r="E286" s="106"/>
      <c r="F286" s="106"/>
      <c r="G286" s="106"/>
      <c r="H286" s="106"/>
      <c r="I286" s="106"/>
      <c r="J286" s="106"/>
      <c r="K286" s="106"/>
      <c r="L286" s="106"/>
      <c r="M286" s="106"/>
      <c r="N286" s="110"/>
    </row>
    <row r="287" spans="1:27" ht="9" customHeight="1" x14ac:dyDescent="0.25">
      <c r="A287" s="105">
        <v>11</v>
      </c>
      <c r="B287" s="109"/>
      <c r="C287" s="106"/>
      <c r="D287" s="106"/>
      <c r="E287" s="106"/>
      <c r="F287" s="106"/>
      <c r="G287" s="106"/>
      <c r="H287" s="106"/>
      <c r="I287" s="106"/>
      <c r="J287" s="106"/>
      <c r="K287" s="106"/>
      <c r="L287" s="106"/>
      <c r="M287" s="106"/>
      <c r="N287" s="110"/>
    </row>
    <row r="288" spans="1:27" ht="9" customHeight="1" x14ac:dyDescent="0.25">
      <c r="A288" s="105">
        <v>12</v>
      </c>
      <c r="B288" s="109"/>
      <c r="C288" s="106"/>
      <c r="D288" s="106"/>
      <c r="E288" s="106"/>
      <c r="F288" s="106"/>
      <c r="G288" s="106"/>
      <c r="H288" s="106"/>
      <c r="I288" s="106"/>
      <c r="J288" s="106"/>
      <c r="K288" s="106"/>
      <c r="L288" s="106"/>
      <c r="M288" s="106"/>
      <c r="N288" s="110"/>
    </row>
    <row r="289" spans="1:14" ht="9" customHeight="1" x14ac:dyDescent="0.25">
      <c r="A289" s="105">
        <v>13</v>
      </c>
      <c r="B289" s="109"/>
      <c r="C289" s="106"/>
      <c r="D289" s="106"/>
      <c r="E289" s="106"/>
      <c r="F289" s="106"/>
      <c r="G289" s="106"/>
      <c r="H289" s="106"/>
      <c r="I289" s="106"/>
      <c r="J289" s="106"/>
      <c r="K289" s="106"/>
      <c r="L289" s="106"/>
      <c r="M289" s="106"/>
      <c r="N289" s="110"/>
    </row>
    <row r="290" spans="1:14" ht="9" customHeight="1" x14ac:dyDescent="0.25">
      <c r="A290" s="105">
        <v>14</v>
      </c>
      <c r="B290" s="109"/>
      <c r="C290" s="106"/>
      <c r="D290" s="106"/>
      <c r="E290" s="106"/>
      <c r="F290" s="106"/>
      <c r="G290" s="106"/>
      <c r="H290" s="106"/>
      <c r="I290" s="106"/>
      <c r="J290" s="106"/>
      <c r="K290" s="106"/>
      <c r="L290" s="106"/>
      <c r="M290" s="106"/>
      <c r="N290" s="110"/>
    </row>
    <row r="291" spans="1:14" ht="9" customHeight="1" x14ac:dyDescent="0.25">
      <c r="A291" s="105">
        <v>15</v>
      </c>
      <c r="B291" s="109"/>
      <c r="C291" s="106"/>
      <c r="D291" s="106"/>
      <c r="E291" s="106"/>
      <c r="F291" s="106"/>
      <c r="G291" s="106"/>
      <c r="H291" s="106"/>
      <c r="I291" s="106"/>
      <c r="J291" s="106"/>
      <c r="K291" s="106"/>
      <c r="L291" s="106"/>
      <c r="M291" s="106"/>
      <c r="N291" s="110"/>
    </row>
    <row r="292" spans="1:14" ht="9" customHeight="1" x14ac:dyDescent="0.25">
      <c r="A292" s="105">
        <v>16</v>
      </c>
      <c r="B292" s="109"/>
      <c r="C292" s="106"/>
      <c r="D292" s="106"/>
      <c r="E292" s="106"/>
      <c r="F292" s="106"/>
      <c r="G292" s="106"/>
      <c r="H292" s="106"/>
      <c r="I292" s="106"/>
      <c r="J292" s="106"/>
      <c r="K292" s="106"/>
      <c r="L292" s="106"/>
      <c r="M292" s="106"/>
      <c r="N292" s="110"/>
    </row>
    <row r="293" spans="1:14" ht="9" customHeight="1" x14ac:dyDescent="0.25">
      <c r="A293" s="105">
        <v>17</v>
      </c>
      <c r="B293" s="109"/>
      <c r="C293" s="106"/>
      <c r="D293" s="106"/>
      <c r="E293" s="106"/>
      <c r="F293" s="106"/>
      <c r="G293" s="106"/>
      <c r="H293" s="106"/>
      <c r="I293" s="106"/>
      <c r="J293" s="106"/>
      <c r="K293" s="106"/>
      <c r="L293" s="106"/>
      <c r="M293" s="106"/>
      <c r="N293" s="110"/>
    </row>
    <row r="294" spans="1:14" ht="9" customHeight="1" x14ac:dyDescent="0.25">
      <c r="A294" s="105">
        <v>18</v>
      </c>
      <c r="B294" s="109"/>
      <c r="C294" s="106"/>
      <c r="D294" s="106"/>
      <c r="E294" s="106"/>
      <c r="F294" s="106"/>
      <c r="G294" s="106"/>
      <c r="H294" s="106"/>
      <c r="I294" s="106"/>
      <c r="J294" s="106"/>
      <c r="K294" s="106"/>
      <c r="L294" s="106"/>
      <c r="M294" s="106"/>
      <c r="N294" s="110"/>
    </row>
    <row r="295" spans="1:14" ht="9" customHeight="1" x14ac:dyDescent="0.25">
      <c r="A295" s="105">
        <v>19</v>
      </c>
      <c r="B295" s="109"/>
      <c r="C295" s="106"/>
      <c r="D295" s="106"/>
      <c r="E295" s="106"/>
      <c r="F295" s="106"/>
      <c r="G295" s="106"/>
      <c r="H295" s="106"/>
      <c r="I295" s="106"/>
      <c r="J295" s="106"/>
      <c r="K295" s="106"/>
      <c r="L295" s="106"/>
      <c r="M295" s="106"/>
      <c r="N295" s="110"/>
    </row>
    <row r="296" spans="1:14" ht="9" customHeight="1" x14ac:dyDescent="0.25">
      <c r="A296" s="105">
        <v>20</v>
      </c>
      <c r="B296" s="109"/>
      <c r="C296" s="106"/>
      <c r="D296" s="106"/>
      <c r="E296" s="106"/>
      <c r="F296" s="106"/>
      <c r="G296" s="106"/>
      <c r="H296" s="106"/>
      <c r="I296" s="106"/>
      <c r="J296" s="106"/>
      <c r="K296" s="106"/>
      <c r="L296" s="106"/>
      <c r="M296" s="106"/>
      <c r="N296" s="110"/>
    </row>
    <row r="297" spans="1:14" ht="9" customHeight="1" x14ac:dyDescent="0.25">
      <c r="A297" s="105">
        <v>21</v>
      </c>
      <c r="B297" s="109"/>
      <c r="C297" s="106"/>
      <c r="D297" s="106"/>
      <c r="E297" s="106"/>
      <c r="F297" s="106"/>
      <c r="G297" s="106"/>
      <c r="H297" s="106"/>
      <c r="I297" s="106"/>
      <c r="J297" s="106"/>
      <c r="K297" s="106"/>
      <c r="L297" s="106"/>
      <c r="M297" s="106"/>
      <c r="N297" s="110"/>
    </row>
    <row r="298" spans="1:14" ht="9" customHeight="1" x14ac:dyDescent="0.25">
      <c r="A298" s="105">
        <v>22</v>
      </c>
      <c r="B298" s="109"/>
      <c r="C298" s="106"/>
      <c r="D298" s="106"/>
      <c r="E298" s="106"/>
      <c r="F298" s="106"/>
      <c r="G298" s="106"/>
      <c r="H298" s="106"/>
      <c r="I298" s="106"/>
      <c r="J298" s="106"/>
      <c r="K298" s="106"/>
      <c r="L298" s="106"/>
      <c r="M298" s="106"/>
      <c r="N298" s="110"/>
    </row>
    <row r="299" spans="1:14" ht="9" customHeight="1" x14ac:dyDescent="0.25">
      <c r="A299" s="105">
        <v>23</v>
      </c>
      <c r="B299" s="109"/>
      <c r="C299" s="106"/>
      <c r="D299" s="106"/>
      <c r="E299" s="106"/>
      <c r="F299" s="106"/>
      <c r="G299" s="106"/>
      <c r="H299" s="106"/>
      <c r="I299" s="106"/>
      <c r="J299" s="106"/>
      <c r="K299" s="106"/>
      <c r="L299" s="106"/>
      <c r="M299" s="106"/>
      <c r="N299" s="110"/>
    </row>
    <row r="300" spans="1:14" ht="9" customHeight="1" x14ac:dyDescent="0.25">
      <c r="A300" s="105">
        <v>24</v>
      </c>
      <c r="B300" s="109"/>
      <c r="C300" s="106"/>
      <c r="D300" s="106"/>
      <c r="E300" s="106"/>
      <c r="F300" s="106"/>
      <c r="G300" s="106"/>
      <c r="H300" s="106"/>
      <c r="I300" s="106"/>
      <c r="J300" s="106"/>
      <c r="K300" s="106"/>
      <c r="L300" s="106"/>
      <c r="M300" s="106"/>
      <c r="N300" s="110"/>
    </row>
    <row r="301" spans="1:14" ht="9" customHeight="1" x14ac:dyDescent="0.25">
      <c r="A301" s="105">
        <v>25</v>
      </c>
      <c r="B301" s="109"/>
      <c r="C301" s="106"/>
      <c r="D301" s="106"/>
      <c r="E301" s="106"/>
      <c r="F301" s="106"/>
      <c r="G301" s="106"/>
      <c r="H301" s="106"/>
      <c r="I301" s="106"/>
      <c r="J301" s="106"/>
      <c r="K301" s="106"/>
      <c r="L301" s="106"/>
      <c r="M301" s="106"/>
      <c r="N301" s="110"/>
    </row>
    <row r="302" spans="1:14" ht="9" customHeight="1" x14ac:dyDescent="0.25">
      <c r="A302" s="105">
        <v>26</v>
      </c>
      <c r="B302" s="109"/>
      <c r="C302" s="106"/>
      <c r="D302" s="106"/>
      <c r="E302" s="106"/>
      <c r="F302" s="106"/>
      <c r="G302" s="106"/>
      <c r="H302" s="106"/>
      <c r="I302" s="106"/>
      <c r="J302" s="106"/>
      <c r="K302" s="106"/>
      <c r="L302" s="106"/>
      <c r="M302" s="106"/>
      <c r="N302" s="110"/>
    </row>
    <row r="303" spans="1:14" ht="9" customHeight="1" x14ac:dyDescent="0.25">
      <c r="A303" s="105">
        <v>27</v>
      </c>
      <c r="B303" s="109"/>
      <c r="C303" s="106"/>
      <c r="D303" s="106"/>
      <c r="E303" s="106"/>
      <c r="F303" s="106"/>
      <c r="G303" s="106"/>
      <c r="H303" s="106"/>
      <c r="I303" s="106"/>
      <c r="J303" s="106"/>
      <c r="K303" s="106"/>
      <c r="L303" s="106"/>
      <c r="M303" s="106"/>
      <c r="N303" s="110"/>
    </row>
    <row r="304" spans="1:14" ht="9" customHeight="1" x14ac:dyDescent="0.25">
      <c r="A304" s="105">
        <v>28</v>
      </c>
      <c r="B304" s="109"/>
      <c r="C304" s="106"/>
      <c r="D304" s="106"/>
      <c r="E304" s="106"/>
      <c r="F304" s="106"/>
      <c r="G304" s="106"/>
      <c r="H304" s="106"/>
      <c r="I304" s="106"/>
      <c r="J304" s="106"/>
      <c r="K304" s="106"/>
      <c r="L304" s="106"/>
      <c r="M304" s="106"/>
      <c r="N304" s="110"/>
    </row>
    <row r="305" spans="1:27" ht="9" customHeight="1" x14ac:dyDescent="0.25">
      <c r="A305" s="105">
        <v>29</v>
      </c>
      <c r="B305" s="109"/>
      <c r="C305" s="106"/>
      <c r="D305" s="106"/>
      <c r="E305" s="106"/>
      <c r="F305" s="106"/>
      <c r="G305" s="106"/>
      <c r="H305" s="106"/>
      <c r="I305" s="106"/>
      <c r="J305" s="106"/>
      <c r="K305" s="106"/>
      <c r="L305" s="106"/>
      <c r="M305" s="106"/>
      <c r="N305" s="110"/>
    </row>
    <row r="306" spans="1:27" ht="9" customHeight="1" x14ac:dyDescent="0.25">
      <c r="A306" s="105">
        <v>30</v>
      </c>
      <c r="B306" s="109"/>
      <c r="C306" s="106"/>
      <c r="D306" s="106"/>
      <c r="E306" s="106"/>
      <c r="F306" s="106"/>
      <c r="G306" s="106"/>
      <c r="H306" s="106"/>
      <c r="I306" s="106"/>
      <c r="J306" s="106"/>
      <c r="K306" s="106"/>
      <c r="L306" s="106"/>
      <c r="M306" s="106"/>
      <c r="N306" s="110"/>
    </row>
    <row r="307" spans="1:27" ht="9" customHeight="1" x14ac:dyDescent="0.25">
      <c r="A307" s="105">
        <v>31</v>
      </c>
      <c r="B307" s="109"/>
      <c r="C307" s="106"/>
      <c r="D307" s="106"/>
      <c r="E307" s="106"/>
      <c r="F307" s="106"/>
      <c r="G307" s="106"/>
      <c r="H307" s="106"/>
      <c r="I307" s="106"/>
      <c r="J307" s="106"/>
      <c r="K307" s="106"/>
      <c r="L307" s="106"/>
      <c r="M307" s="106"/>
      <c r="N307" s="110"/>
    </row>
    <row r="308" spans="1:27" ht="9" customHeight="1" x14ac:dyDescent="0.25">
      <c r="A308" s="105">
        <v>32</v>
      </c>
      <c r="B308" s="109"/>
      <c r="C308" s="106"/>
      <c r="D308" s="106"/>
      <c r="E308" s="106"/>
      <c r="F308" s="106"/>
      <c r="G308" s="106"/>
      <c r="H308" s="106"/>
      <c r="I308" s="106"/>
      <c r="J308" s="106"/>
      <c r="K308" s="106"/>
      <c r="L308" s="106"/>
      <c r="M308" s="106"/>
      <c r="N308" s="110"/>
    </row>
    <row r="309" spans="1:27" ht="9" customHeight="1" x14ac:dyDescent="0.25">
      <c r="A309" s="105">
        <v>33</v>
      </c>
      <c r="B309" s="109"/>
      <c r="C309" s="106"/>
      <c r="D309" s="106"/>
      <c r="E309" s="106"/>
      <c r="F309" s="106"/>
      <c r="G309" s="106"/>
      <c r="H309" s="106"/>
      <c r="I309" s="106"/>
      <c r="J309" s="106"/>
      <c r="K309" s="106"/>
      <c r="L309" s="106"/>
      <c r="M309" s="106"/>
      <c r="N309" s="110"/>
    </row>
    <row r="310" spans="1:27" ht="9" customHeight="1" x14ac:dyDescent="0.25">
      <c r="A310" s="105">
        <v>34</v>
      </c>
      <c r="B310" s="109"/>
      <c r="C310" s="106"/>
      <c r="D310" s="106"/>
      <c r="E310" s="106"/>
      <c r="F310" s="106"/>
      <c r="G310" s="106"/>
      <c r="H310" s="106"/>
      <c r="I310" s="106"/>
      <c r="J310" s="106"/>
      <c r="K310" s="106"/>
      <c r="L310" s="106"/>
      <c r="M310" s="106"/>
      <c r="N310" s="110"/>
    </row>
    <row r="311" spans="1:27" ht="9" customHeight="1" thickBot="1" x14ac:dyDescent="0.3">
      <c r="A311" s="105">
        <v>35</v>
      </c>
      <c r="B311" s="111"/>
      <c r="C311" s="112"/>
      <c r="D311" s="112"/>
      <c r="E311" s="112"/>
      <c r="F311" s="112"/>
      <c r="G311" s="112"/>
      <c r="H311" s="112"/>
      <c r="I311" s="112"/>
      <c r="J311" s="112"/>
      <c r="K311" s="112"/>
      <c r="L311" s="112"/>
      <c r="M311" s="112"/>
      <c r="N311" s="113"/>
    </row>
    <row r="313" spans="1:27" ht="15.75" thickBot="1" x14ac:dyDescent="0.3">
      <c r="A313" s="100"/>
      <c r="B313" s="101">
        <v>2</v>
      </c>
      <c r="C313" s="101">
        <v>3</v>
      </c>
      <c r="D313" s="101">
        <v>4</v>
      </c>
      <c r="E313" s="101">
        <v>5</v>
      </c>
      <c r="F313" s="101">
        <v>6</v>
      </c>
      <c r="G313" s="101">
        <v>7</v>
      </c>
      <c r="H313" s="101">
        <v>8</v>
      </c>
      <c r="I313" s="101">
        <v>9</v>
      </c>
      <c r="J313" s="101">
        <v>10</v>
      </c>
      <c r="K313" s="101">
        <v>11</v>
      </c>
      <c r="L313" s="101">
        <v>12</v>
      </c>
      <c r="M313" s="101">
        <v>13</v>
      </c>
      <c r="N313" s="101">
        <v>14</v>
      </c>
      <c r="O313" s="100">
        <v>15</v>
      </c>
      <c r="P313" s="100">
        <v>16</v>
      </c>
      <c r="Q313" s="100">
        <v>17</v>
      </c>
      <c r="R313" s="100">
        <v>18</v>
      </c>
      <c r="S313" s="100">
        <v>19</v>
      </c>
      <c r="T313" s="100">
        <v>20</v>
      </c>
      <c r="U313" s="100">
        <v>21</v>
      </c>
      <c r="V313" s="100">
        <v>22</v>
      </c>
      <c r="W313" s="100">
        <v>23</v>
      </c>
      <c r="X313" s="100">
        <v>24</v>
      </c>
      <c r="Y313" s="100">
        <v>25</v>
      </c>
      <c r="Z313" s="100">
        <v>26</v>
      </c>
      <c r="AA313" s="100">
        <v>27</v>
      </c>
    </row>
    <row r="314" spans="1:27" ht="15.75" thickBot="1" x14ac:dyDescent="0.3">
      <c r="B314" s="251" t="s">
        <v>213</v>
      </c>
      <c r="C314" s="252"/>
      <c r="D314" s="252"/>
      <c r="E314" s="114" t="s">
        <v>136</v>
      </c>
      <c r="F314" s="114">
        <f>VLOOKUP($E314,[1]Datos!$S$54:$T$74,2,0)</f>
        <v>39936</v>
      </c>
      <c r="G314" s="253" t="s">
        <v>202</v>
      </c>
      <c r="H314" s="253"/>
      <c r="I314" s="115"/>
      <c r="J314" s="115"/>
      <c r="K314" s="115"/>
      <c r="L314" s="115"/>
      <c r="M314" s="115"/>
      <c r="N314" s="116"/>
    </row>
    <row r="315" spans="1:27" ht="22.5" x14ac:dyDescent="0.25">
      <c r="B315" s="107" t="s">
        <v>184</v>
      </c>
      <c r="C315" s="102" t="s">
        <v>186</v>
      </c>
      <c r="D315" s="102" t="s">
        <v>200</v>
      </c>
      <c r="E315" s="102" t="s">
        <v>185</v>
      </c>
      <c r="F315" s="103" t="s">
        <v>187</v>
      </c>
      <c r="G315" s="103" t="s">
        <v>188</v>
      </c>
      <c r="H315" s="102" t="s">
        <v>190</v>
      </c>
      <c r="I315" s="102" t="s">
        <v>191</v>
      </c>
      <c r="J315" s="102" t="s">
        <v>192</v>
      </c>
      <c r="K315" s="102" t="s">
        <v>203</v>
      </c>
      <c r="L315" s="102" t="s">
        <v>204</v>
      </c>
      <c r="M315" s="104" t="s">
        <v>196</v>
      </c>
      <c r="N315" s="108" t="s">
        <v>205</v>
      </c>
    </row>
    <row r="316" spans="1:27" ht="9" customHeight="1" x14ac:dyDescent="0.25">
      <c r="A316" s="105">
        <v>1</v>
      </c>
      <c r="B316" s="109"/>
      <c r="C316" s="106"/>
      <c r="D316" s="106"/>
      <c r="E316" s="106"/>
      <c r="F316" s="106"/>
      <c r="G316" s="106"/>
      <c r="H316" s="106"/>
      <c r="I316" s="106"/>
      <c r="J316" s="106"/>
      <c r="K316" s="106"/>
      <c r="L316" s="106"/>
      <c r="M316" s="106"/>
      <c r="N316" s="110"/>
    </row>
    <row r="317" spans="1:27" ht="9" customHeight="1" x14ac:dyDescent="0.25">
      <c r="A317" s="105">
        <v>2</v>
      </c>
      <c r="B317" s="109"/>
      <c r="C317" s="106"/>
      <c r="D317" s="106"/>
      <c r="E317" s="106"/>
      <c r="F317" s="106"/>
      <c r="G317" s="106"/>
      <c r="H317" s="106"/>
      <c r="I317" s="106"/>
      <c r="J317" s="106"/>
      <c r="K317" s="106"/>
      <c r="L317" s="106"/>
      <c r="M317" s="106"/>
      <c r="N317" s="110"/>
    </row>
    <row r="318" spans="1:27" ht="9" customHeight="1" x14ac:dyDescent="0.25">
      <c r="A318" s="105">
        <v>3</v>
      </c>
      <c r="B318" s="109"/>
      <c r="C318" s="106"/>
      <c r="D318" s="106"/>
      <c r="E318" s="106"/>
      <c r="F318" s="106"/>
      <c r="G318" s="106"/>
      <c r="H318" s="106"/>
      <c r="I318" s="106"/>
      <c r="J318" s="106"/>
      <c r="K318" s="106"/>
      <c r="L318" s="106"/>
      <c r="M318" s="106"/>
      <c r="N318" s="110"/>
    </row>
    <row r="319" spans="1:27" ht="9" customHeight="1" x14ac:dyDescent="0.25">
      <c r="A319" s="105">
        <v>4</v>
      </c>
      <c r="B319" s="109"/>
      <c r="C319" s="106"/>
      <c r="D319" s="106"/>
      <c r="E319" s="106"/>
      <c r="F319" s="106"/>
      <c r="G319" s="106"/>
      <c r="H319" s="106"/>
      <c r="I319" s="106"/>
      <c r="J319" s="106"/>
      <c r="K319" s="106"/>
      <c r="L319" s="106"/>
      <c r="M319" s="106"/>
      <c r="N319" s="110"/>
    </row>
    <row r="320" spans="1:27" ht="9" customHeight="1" x14ac:dyDescent="0.25">
      <c r="A320" s="105">
        <v>5</v>
      </c>
      <c r="B320" s="109"/>
      <c r="C320" s="106"/>
      <c r="D320" s="106"/>
      <c r="E320" s="106"/>
      <c r="F320" s="106"/>
      <c r="G320" s="106"/>
      <c r="H320" s="106"/>
      <c r="I320" s="106"/>
      <c r="J320" s="106"/>
      <c r="K320" s="106"/>
      <c r="L320" s="106"/>
      <c r="M320" s="106"/>
      <c r="N320" s="110"/>
    </row>
    <row r="321" spans="1:14" ht="9" customHeight="1" x14ac:dyDescent="0.25">
      <c r="A321" s="105">
        <v>6</v>
      </c>
      <c r="B321" s="109"/>
      <c r="C321" s="106"/>
      <c r="D321" s="106"/>
      <c r="E321" s="106"/>
      <c r="F321" s="106"/>
      <c r="G321" s="106"/>
      <c r="H321" s="106"/>
      <c r="I321" s="106"/>
      <c r="J321" s="106"/>
      <c r="K321" s="106"/>
      <c r="L321" s="106"/>
      <c r="M321" s="106"/>
      <c r="N321" s="110"/>
    </row>
    <row r="322" spans="1:14" ht="9" customHeight="1" x14ac:dyDescent="0.25">
      <c r="A322" s="105">
        <v>7</v>
      </c>
      <c r="B322" s="109"/>
      <c r="C322" s="106"/>
      <c r="D322" s="106"/>
      <c r="E322" s="106"/>
      <c r="F322" s="106"/>
      <c r="G322" s="106"/>
      <c r="H322" s="106"/>
      <c r="I322" s="106"/>
      <c r="J322" s="106"/>
      <c r="K322" s="106"/>
      <c r="L322" s="106"/>
      <c r="M322" s="106"/>
      <c r="N322" s="110"/>
    </row>
    <row r="323" spans="1:14" ht="9" customHeight="1" x14ac:dyDescent="0.25">
      <c r="A323" s="105">
        <v>8</v>
      </c>
      <c r="B323" s="109"/>
      <c r="C323" s="106"/>
      <c r="D323" s="106"/>
      <c r="E323" s="106"/>
      <c r="F323" s="106"/>
      <c r="G323" s="106"/>
      <c r="H323" s="106"/>
      <c r="I323" s="106"/>
      <c r="J323" s="106"/>
      <c r="K323" s="106"/>
      <c r="L323" s="106"/>
      <c r="M323" s="106"/>
      <c r="N323" s="110"/>
    </row>
    <row r="324" spans="1:14" ht="9" customHeight="1" x14ac:dyDescent="0.25">
      <c r="A324" s="105">
        <v>9</v>
      </c>
      <c r="B324" s="109"/>
      <c r="C324" s="106"/>
      <c r="D324" s="106"/>
      <c r="E324" s="106"/>
      <c r="F324" s="106"/>
      <c r="G324" s="106"/>
      <c r="H324" s="106"/>
      <c r="I324" s="106"/>
      <c r="J324" s="106"/>
      <c r="K324" s="106"/>
      <c r="L324" s="106"/>
      <c r="M324" s="106"/>
      <c r="N324" s="110"/>
    </row>
    <row r="325" spans="1:14" ht="9" customHeight="1" x14ac:dyDescent="0.25">
      <c r="A325" s="105">
        <v>10</v>
      </c>
      <c r="B325" s="109"/>
      <c r="C325" s="106"/>
      <c r="D325" s="106"/>
      <c r="E325" s="106"/>
      <c r="F325" s="106"/>
      <c r="G325" s="106"/>
      <c r="H325" s="106"/>
      <c r="I325" s="106"/>
      <c r="J325" s="106"/>
      <c r="K325" s="106"/>
      <c r="L325" s="106"/>
      <c r="M325" s="106"/>
      <c r="N325" s="110"/>
    </row>
    <row r="326" spans="1:14" ht="9" customHeight="1" x14ac:dyDescent="0.25">
      <c r="A326" s="105">
        <v>11</v>
      </c>
      <c r="B326" s="109"/>
      <c r="C326" s="106"/>
      <c r="D326" s="106"/>
      <c r="E326" s="106"/>
      <c r="F326" s="106"/>
      <c r="G326" s="106"/>
      <c r="H326" s="106"/>
      <c r="I326" s="106"/>
      <c r="J326" s="106"/>
      <c r="K326" s="106"/>
      <c r="L326" s="106"/>
      <c r="M326" s="106"/>
      <c r="N326" s="110"/>
    </row>
    <row r="327" spans="1:14" ht="9" customHeight="1" x14ac:dyDescent="0.25">
      <c r="A327" s="105">
        <v>12</v>
      </c>
      <c r="B327" s="109"/>
      <c r="C327" s="106"/>
      <c r="D327" s="106"/>
      <c r="E327" s="106"/>
      <c r="F327" s="106"/>
      <c r="G327" s="106"/>
      <c r="H327" s="106"/>
      <c r="I327" s="106"/>
      <c r="J327" s="106"/>
      <c r="K327" s="106"/>
      <c r="L327" s="106"/>
      <c r="M327" s="106"/>
      <c r="N327" s="110"/>
    </row>
    <row r="328" spans="1:14" ht="9" customHeight="1" x14ac:dyDescent="0.25">
      <c r="A328" s="105">
        <v>13</v>
      </c>
      <c r="B328" s="109"/>
      <c r="C328" s="106"/>
      <c r="D328" s="106"/>
      <c r="E328" s="106"/>
      <c r="F328" s="106"/>
      <c r="G328" s="106"/>
      <c r="H328" s="106"/>
      <c r="I328" s="106"/>
      <c r="J328" s="106"/>
      <c r="K328" s="106"/>
      <c r="L328" s="106"/>
      <c r="M328" s="106"/>
      <c r="N328" s="110"/>
    </row>
    <row r="329" spans="1:14" ht="9" customHeight="1" x14ac:dyDescent="0.25">
      <c r="A329" s="105">
        <v>14</v>
      </c>
      <c r="B329" s="109"/>
      <c r="C329" s="106"/>
      <c r="D329" s="106"/>
      <c r="E329" s="106"/>
      <c r="F329" s="106"/>
      <c r="G329" s="106"/>
      <c r="H329" s="106"/>
      <c r="I329" s="106"/>
      <c r="J329" s="106"/>
      <c r="K329" s="106"/>
      <c r="L329" s="106"/>
      <c r="M329" s="106"/>
      <c r="N329" s="110"/>
    </row>
    <row r="330" spans="1:14" ht="9" customHeight="1" x14ac:dyDescent="0.25">
      <c r="A330" s="105">
        <v>15</v>
      </c>
      <c r="B330" s="109"/>
      <c r="C330" s="106"/>
      <c r="D330" s="106"/>
      <c r="E330" s="106"/>
      <c r="F330" s="106"/>
      <c r="G330" s="106"/>
      <c r="H330" s="106"/>
      <c r="I330" s="106"/>
      <c r="J330" s="106"/>
      <c r="K330" s="106"/>
      <c r="L330" s="106"/>
      <c r="M330" s="106"/>
      <c r="N330" s="110"/>
    </row>
    <row r="331" spans="1:14" ht="9" customHeight="1" x14ac:dyDescent="0.25">
      <c r="A331" s="105">
        <v>16</v>
      </c>
      <c r="B331" s="109"/>
      <c r="C331" s="106"/>
      <c r="D331" s="106"/>
      <c r="E331" s="106"/>
      <c r="F331" s="106"/>
      <c r="G331" s="106"/>
      <c r="H331" s="106"/>
      <c r="I331" s="106"/>
      <c r="J331" s="106"/>
      <c r="K331" s="106"/>
      <c r="L331" s="106"/>
      <c r="M331" s="106"/>
      <c r="N331" s="110"/>
    </row>
    <row r="332" spans="1:14" ht="9" customHeight="1" x14ac:dyDescent="0.25">
      <c r="A332" s="105">
        <v>17</v>
      </c>
      <c r="B332" s="109"/>
      <c r="C332" s="106"/>
      <c r="D332" s="106"/>
      <c r="E332" s="106"/>
      <c r="F332" s="106"/>
      <c r="G332" s="106"/>
      <c r="H332" s="106"/>
      <c r="I332" s="106"/>
      <c r="J332" s="106"/>
      <c r="K332" s="106"/>
      <c r="L332" s="106"/>
      <c r="M332" s="106"/>
      <c r="N332" s="110"/>
    </row>
    <row r="333" spans="1:14" ht="9" customHeight="1" x14ac:dyDescent="0.25">
      <c r="A333" s="105">
        <v>18</v>
      </c>
      <c r="B333" s="109"/>
      <c r="C333" s="106"/>
      <c r="D333" s="106"/>
      <c r="E333" s="106"/>
      <c r="F333" s="106"/>
      <c r="G333" s="106"/>
      <c r="H333" s="106"/>
      <c r="I333" s="106"/>
      <c r="J333" s="106"/>
      <c r="K333" s="106"/>
      <c r="L333" s="106"/>
      <c r="M333" s="106"/>
      <c r="N333" s="110"/>
    </row>
    <row r="334" spans="1:14" ht="9" customHeight="1" x14ac:dyDescent="0.25">
      <c r="A334" s="105">
        <v>19</v>
      </c>
      <c r="B334" s="109"/>
      <c r="C334" s="106"/>
      <c r="D334" s="106"/>
      <c r="E334" s="106"/>
      <c r="F334" s="106"/>
      <c r="G334" s="106"/>
      <c r="H334" s="106"/>
      <c r="I334" s="106"/>
      <c r="J334" s="106"/>
      <c r="K334" s="106"/>
      <c r="L334" s="106"/>
      <c r="M334" s="106"/>
      <c r="N334" s="110"/>
    </row>
    <row r="335" spans="1:14" ht="9" customHeight="1" x14ac:dyDescent="0.25">
      <c r="A335" s="105">
        <v>20</v>
      </c>
      <c r="B335" s="109"/>
      <c r="C335" s="106"/>
      <c r="D335" s="106"/>
      <c r="E335" s="106"/>
      <c r="F335" s="106"/>
      <c r="G335" s="106"/>
      <c r="H335" s="106"/>
      <c r="I335" s="106"/>
      <c r="J335" s="106"/>
      <c r="K335" s="106"/>
      <c r="L335" s="106"/>
      <c r="M335" s="106"/>
      <c r="N335" s="110"/>
    </row>
    <row r="336" spans="1:14" ht="9" customHeight="1" x14ac:dyDescent="0.25">
      <c r="A336" s="105">
        <v>21</v>
      </c>
      <c r="B336" s="109"/>
      <c r="C336" s="106"/>
      <c r="D336" s="106"/>
      <c r="E336" s="106"/>
      <c r="F336" s="106"/>
      <c r="G336" s="106"/>
      <c r="H336" s="106"/>
      <c r="I336" s="106"/>
      <c r="J336" s="106"/>
      <c r="K336" s="106"/>
      <c r="L336" s="106"/>
      <c r="M336" s="106"/>
      <c r="N336" s="110"/>
    </row>
    <row r="337" spans="1:27" ht="9" customHeight="1" x14ac:dyDescent="0.25">
      <c r="A337" s="105">
        <v>22</v>
      </c>
      <c r="B337" s="109"/>
      <c r="C337" s="106"/>
      <c r="D337" s="106"/>
      <c r="E337" s="106"/>
      <c r="F337" s="106"/>
      <c r="G337" s="106"/>
      <c r="H337" s="106"/>
      <c r="I337" s="106"/>
      <c r="J337" s="106"/>
      <c r="K337" s="106"/>
      <c r="L337" s="106"/>
      <c r="M337" s="106"/>
      <c r="N337" s="110"/>
    </row>
    <row r="338" spans="1:27" ht="9" customHeight="1" x14ac:dyDescent="0.25">
      <c r="A338" s="105">
        <v>23</v>
      </c>
      <c r="B338" s="109"/>
      <c r="C338" s="106"/>
      <c r="D338" s="106"/>
      <c r="E338" s="106"/>
      <c r="F338" s="106"/>
      <c r="G338" s="106"/>
      <c r="H338" s="106"/>
      <c r="I338" s="106"/>
      <c r="J338" s="106"/>
      <c r="K338" s="106"/>
      <c r="L338" s="106"/>
      <c r="M338" s="106"/>
      <c r="N338" s="110"/>
    </row>
    <row r="339" spans="1:27" ht="9" customHeight="1" x14ac:dyDescent="0.25">
      <c r="A339" s="105">
        <v>24</v>
      </c>
      <c r="B339" s="109"/>
      <c r="C339" s="106"/>
      <c r="D339" s="106"/>
      <c r="E339" s="106"/>
      <c r="F339" s="106"/>
      <c r="G339" s="106"/>
      <c r="H339" s="106"/>
      <c r="I339" s="106"/>
      <c r="J339" s="106"/>
      <c r="K339" s="106"/>
      <c r="L339" s="106"/>
      <c r="M339" s="106"/>
      <c r="N339" s="110"/>
    </row>
    <row r="340" spans="1:27" ht="9" customHeight="1" x14ac:dyDescent="0.25">
      <c r="A340" s="105">
        <v>25</v>
      </c>
      <c r="B340" s="109"/>
      <c r="C340" s="106"/>
      <c r="D340" s="106"/>
      <c r="E340" s="106"/>
      <c r="F340" s="106"/>
      <c r="G340" s="106"/>
      <c r="H340" s="106"/>
      <c r="I340" s="106"/>
      <c r="J340" s="106"/>
      <c r="K340" s="106"/>
      <c r="L340" s="106"/>
      <c r="M340" s="106"/>
      <c r="N340" s="110"/>
    </row>
    <row r="341" spans="1:27" ht="9" customHeight="1" x14ac:dyDescent="0.25">
      <c r="A341" s="105">
        <v>26</v>
      </c>
      <c r="B341" s="109"/>
      <c r="C341" s="106"/>
      <c r="D341" s="106"/>
      <c r="E341" s="106"/>
      <c r="F341" s="106"/>
      <c r="G341" s="106"/>
      <c r="H341" s="106"/>
      <c r="I341" s="106"/>
      <c r="J341" s="106"/>
      <c r="K341" s="106"/>
      <c r="L341" s="106"/>
      <c r="M341" s="106"/>
      <c r="N341" s="110"/>
    </row>
    <row r="342" spans="1:27" ht="9" customHeight="1" x14ac:dyDescent="0.25">
      <c r="A342" s="105">
        <v>27</v>
      </c>
      <c r="B342" s="109"/>
      <c r="C342" s="106"/>
      <c r="D342" s="106"/>
      <c r="E342" s="106"/>
      <c r="F342" s="106"/>
      <c r="G342" s="106"/>
      <c r="H342" s="106"/>
      <c r="I342" s="106"/>
      <c r="J342" s="106"/>
      <c r="K342" s="106"/>
      <c r="L342" s="106"/>
      <c r="M342" s="106"/>
      <c r="N342" s="110"/>
    </row>
    <row r="343" spans="1:27" ht="9" customHeight="1" x14ac:dyDescent="0.25">
      <c r="A343" s="105">
        <v>28</v>
      </c>
      <c r="B343" s="109"/>
      <c r="C343" s="106"/>
      <c r="D343" s="106"/>
      <c r="E343" s="106"/>
      <c r="F343" s="106"/>
      <c r="G343" s="106"/>
      <c r="H343" s="106"/>
      <c r="I343" s="106"/>
      <c r="J343" s="106"/>
      <c r="K343" s="106"/>
      <c r="L343" s="106"/>
      <c r="M343" s="106"/>
      <c r="N343" s="110"/>
    </row>
    <row r="344" spans="1:27" ht="9" customHeight="1" x14ac:dyDescent="0.25">
      <c r="A344" s="105">
        <v>29</v>
      </c>
      <c r="B344" s="109"/>
      <c r="C344" s="106"/>
      <c r="D344" s="106"/>
      <c r="E344" s="106"/>
      <c r="F344" s="106"/>
      <c r="G344" s="106"/>
      <c r="H344" s="106"/>
      <c r="I344" s="106"/>
      <c r="J344" s="106"/>
      <c r="K344" s="106"/>
      <c r="L344" s="106"/>
      <c r="M344" s="106"/>
      <c r="N344" s="110"/>
    </row>
    <row r="345" spans="1:27" ht="9" customHeight="1" x14ac:dyDescent="0.25">
      <c r="A345" s="105">
        <v>30</v>
      </c>
      <c r="B345" s="109"/>
      <c r="C345" s="106"/>
      <c r="D345" s="106"/>
      <c r="E345" s="106"/>
      <c r="F345" s="106"/>
      <c r="G345" s="106"/>
      <c r="H345" s="106"/>
      <c r="I345" s="106"/>
      <c r="J345" s="106"/>
      <c r="K345" s="106"/>
      <c r="L345" s="106"/>
      <c r="M345" s="106"/>
      <c r="N345" s="110"/>
    </row>
    <row r="346" spans="1:27" ht="9" customHeight="1" x14ac:dyDescent="0.25">
      <c r="A346" s="105">
        <v>31</v>
      </c>
      <c r="B346" s="109"/>
      <c r="C346" s="106"/>
      <c r="D346" s="106"/>
      <c r="E346" s="106"/>
      <c r="F346" s="106"/>
      <c r="G346" s="106"/>
      <c r="H346" s="106"/>
      <c r="I346" s="106"/>
      <c r="J346" s="106"/>
      <c r="K346" s="106"/>
      <c r="L346" s="106"/>
      <c r="M346" s="106"/>
      <c r="N346" s="110"/>
    </row>
    <row r="347" spans="1:27" ht="9" customHeight="1" x14ac:dyDescent="0.25">
      <c r="A347" s="105">
        <v>32</v>
      </c>
      <c r="B347" s="109"/>
      <c r="C347" s="106"/>
      <c r="D347" s="106"/>
      <c r="E347" s="106"/>
      <c r="F347" s="106"/>
      <c r="G347" s="106"/>
      <c r="H347" s="106"/>
      <c r="I347" s="106"/>
      <c r="J347" s="106"/>
      <c r="K347" s="106"/>
      <c r="L347" s="106"/>
      <c r="M347" s="106"/>
      <c r="N347" s="110"/>
    </row>
    <row r="348" spans="1:27" ht="9" customHeight="1" x14ac:dyDescent="0.25">
      <c r="A348" s="105">
        <v>33</v>
      </c>
      <c r="B348" s="109"/>
      <c r="C348" s="106"/>
      <c r="D348" s="106"/>
      <c r="E348" s="106"/>
      <c r="F348" s="106"/>
      <c r="G348" s="106"/>
      <c r="H348" s="106"/>
      <c r="I348" s="106"/>
      <c r="J348" s="106"/>
      <c r="K348" s="106"/>
      <c r="L348" s="106"/>
      <c r="M348" s="106"/>
      <c r="N348" s="110"/>
    </row>
    <row r="349" spans="1:27" ht="9" customHeight="1" x14ac:dyDescent="0.25">
      <c r="A349" s="105">
        <v>34</v>
      </c>
      <c r="B349" s="109"/>
      <c r="C349" s="106"/>
      <c r="D349" s="106"/>
      <c r="E349" s="106"/>
      <c r="F349" s="106"/>
      <c r="G349" s="106"/>
      <c r="H349" s="106"/>
      <c r="I349" s="106"/>
      <c r="J349" s="106"/>
      <c r="K349" s="106"/>
      <c r="L349" s="106"/>
      <c r="M349" s="106"/>
      <c r="N349" s="110"/>
    </row>
    <row r="350" spans="1:27" ht="9" customHeight="1" thickBot="1" x14ac:dyDescent="0.3">
      <c r="A350" s="105">
        <v>35</v>
      </c>
      <c r="B350" s="111"/>
      <c r="C350" s="112"/>
      <c r="D350" s="112"/>
      <c r="E350" s="112"/>
      <c r="F350" s="112"/>
      <c r="G350" s="112"/>
      <c r="H350" s="112"/>
      <c r="I350" s="112"/>
      <c r="J350" s="112"/>
      <c r="K350" s="112"/>
      <c r="L350" s="112"/>
      <c r="M350" s="112"/>
      <c r="N350" s="113"/>
    </row>
    <row r="352" spans="1:27" ht="15.75" thickBot="1" x14ac:dyDescent="0.3">
      <c r="A352" s="100"/>
      <c r="B352" s="101">
        <v>2</v>
      </c>
      <c r="C352" s="101">
        <v>3</v>
      </c>
      <c r="D352" s="101">
        <v>4</v>
      </c>
      <c r="E352" s="101">
        <v>5</v>
      </c>
      <c r="F352" s="101">
        <v>6</v>
      </c>
      <c r="G352" s="101">
        <v>7</v>
      </c>
      <c r="H352" s="101">
        <v>8</v>
      </c>
      <c r="I352" s="101">
        <v>9</v>
      </c>
      <c r="J352" s="101">
        <v>10</v>
      </c>
      <c r="K352" s="101">
        <v>11</v>
      </c>
      <c r="L352" s="101">
        <v>12</v>
      </c>
      <c r="M352" s="101">
        <v>13</v>
      </c>
      <c r="N352" s="101">
        <v>14</v>
      </c>
      <c r="O352" s="100">
        <v>15</v>
      </c>
      <c r="P352" s="100">
        <v>16</v>
      </c>
      <c r="Q352" s="100">
        <v>17</v>
      </c>
      <c r="R352" s="100">
        <v>18</v>
      </c>
      <c r="S352" s="100">
        <v>19</v>
      </c>
      <c r="T352" s="100">
        <v>20</v>
      </c>
      <c r="U352" s="100">
        <v>21</v>
      </c>
      <c r="V352" s="100">
        <v>22</v>
      </c>
      <c r="W352" s="100">
        <v>23</v>
      </c>
      <c r="X352" s="100">
        <v>24</v>
      </c>
      <c r="Y352" s="100">
        <v>25</v>
      </c>
      <c r="Z352" s="100">
        <v>26</v>
      </c>
      <c r="AA352" s="100">
        <v>27</v>
      </c>
    </row>
    <row r="353" spans="1:14" ht="15.75" thickBot="1" x14ac:dyDescent="0.3">
      <c r="B353" s="251" t="s">
        <v>214</v>
      </c>
      <c r="C353" s="252"/>
      <c r="D353" s="252"/>
      <c r="E353" s="114" t="s">
        <v>136</v>
      </c>
      <c r="F353" s="114">
        <f>VLOOKUP($E353,[1]Datos!$S$54:$T$74,2,0)</f>
        <v>39936</v>
      </c>
      <c r="G353" s="253" t="s">
        <v>202</v>
      </c>
      <c r="H353" s="253"/>
      <c r="I353" s="115"/>
      <c r="J353" s="115"/>
      <c r="K353" s="115"/>
      <c r="L353" s="115"/>
      <c r="M353" s="115"/>
      <c r="N353" s="116"/>
    </row>
    <row r="354" spans="1:14" ht="22.5" x14ac:dyDescent="0.25">
      <c r="B354" s="107" t="s">
        <v>184</v>
      </c>
      <c r="C354" s="102" t="s">
        <v>186</v>
      </c>
      <c r="D354" s="102" t="s">
        <v>200</v>
      </c>
      <c r="E354" s="102" t="s">
        <v>185</v>
      </c>
      <c r="F354" s="103" t="s">
        <v>187</v>
      </c>
      <c r="G354" s="103" t="s">
        <v>188</v>
      </c>
      <c r="H354" s="102" t="s">
        <v>190</v>
      </c>
      <c r="I354" s="102" t="s">
        <v>191</v>
      </c>
      <c r="J354" s="102" t="s">
        <v>192</v>
      </c>
      <c r="K354" s="102" t="s">
        <v>203</v>
      </c>
      <c r="L354" s="102" t="s">
        <v>204</v>
      </c>
      <c r="M354" s="104" t="s">
        <v>196</v>
      </c>
      <c r="N354" s="108" t="s">
        <v>205</v>
      </c>
    </row>
    <row r="355" spans="1:14" ht="9" customHeight="1" x14ac:dyDescent="0.25">
      <c r="A355" s="105">
        <v>1</v>
      </c>
      <c r="B355" s="109"/>
      <c r="C355" s="106"/>
      <c r="D355" s="106"/>
      <c r="E355" s="106"/>
      <c r="F355" s="106"/>
      <c r="G355" s="106"/>
      <c r="H355" s="106"/>
      <c r="I355" s="106"/>
      <c r="J355" s="106"/>
      <c r="K355" s="106"/>
      <c r="L355" s="106"/>
      <c r="M355" s="106"/>
      <c r="N355" s="110"/>
    </row>
    <row r="356" spans="1:14" ht="9" customHeight="1" x14ac:dyDescent="0.25">
      <c r="A356" s="105">
        <v>2</v>
      </c>
      <c r="B356" s="109"/>
      <c r="C356" s="106"/>
      <c r="D356" s="106"/>
      <c r="E356" s="106"/>
      <c r="F356" s="106"/>
      <c r="G356" s="106"/>
      <c r="H356" s="106"/>
      <c r="I356" s="106"/>
      <c r="J356" s="106"/>
      <c r="K356" s="106"/>
      <c r="L356" s="106"/>
      <c r="M356" s="106"/>
      <c r="N356" s="110"/>
    </row>
    <row r="357" spans="1:14" ht="9" customHeight="1" x14ac:dyDescent="0.25">
      <c r="A357" s="105">
        <v>3</v>
      </c>
      <c r="B357" s="109"/>
      <c r="C357" s="106"/>
      <c r="D357" s="106"/>
      <c r="E357" s="106"/>
      <c r="F357" s="106"/>
      <c r="G357" s="106"/>
      <c r="H357" s="106"/>
      <c r="I357" s="106"/>
      <c r="J357" s="106"/>
      <c r="K357" s="106"/>
      <c r="L357" s="106"/>
      <c r="M357" s="106"/>
      <c r="N357" s="110"/>
    </row>
    <row r="358" spans="1:14" ht="9" customHeight="1" x14ac:dyDescent="0.25">
      <c r="A358" s="105">
        <v>4</v>
      </c>
      <c r="B358" s="109"/>
      <c r="C358" s="106"/>
      <c r="D358" s="106"/>
      <c r="E358" s="106"/>
      <c r="F358" s="106"/>
      <c r="G358" s="106"/>
      <c r="H358" s="106"/>
      <c r="I358" s="106"/>
      <c r="J358" s="106"/>
      <c r="K358" s="106"/>
      <c r="L358" s="106"/>
      <c r="M358" s="106"/>
      <c r="N358" s="110"/>
    </row>
    <row r="359" spans="1:14" ht="9" customHeight="1" x14ac:dyDescent="0.25">
      <c r="A359" s="105">
        <v>5</v>
      </c>
      <c r="B359" s="109"/>
      <c r="C359" s="106"/>
      <c r="D359" s="106"/>
      <c r="E359" s="106"/>
      <c r="F359" s="106"/>
      <c r="G359" s="106"/>
      <c r="H359" s="106"/>
      <c r="I359" s="106"/>
      <c r="J359" s="106"/>
      <c r="K359" s="106"/>
      <c r="L359" s="106"/>
      <c r="M359" s="106"/>
      <c r="N359" s="110"/>
    </row>
    <row r="360" spans="1:14" ht="9" customHeight="1" x14ac:dyDescent="0.25">
      <c r="A360" s="105">
        <v>6</v>
      </c>
      <c r="B360" s="109"/>
      <c r="C360" s="106"/>
      <c r="D360" s="106"/>
      <c r="E360" s="106"/>
      <c r="F360" s="106"/>
      <c r="G360" s="106"/>
      <c r="H360" s="106"/>
      <c r="I360" s="106"/>
      <c r="J360" s="106"/>
      <c r="K360" s="106"/>
      <c r="L360" s="106"/>
      <c r="M360" s="106"/>
      <c r="N360" s="110"/>
    </row>
    <row r="361" spans="1:14" ht="9" customHeight="1" x14ac:dyDescent="0.25">
      <c r="A361" s="105">
        <v>7</v>
      </c>
      <c r="B361" s="109"/>
      <c r="C361" s="106"/>
      <c r="D361" s="106"/>
      <c r="E361" s="106"/>
      <c r="F361" s="106"/>
      <c r="G361" s="106"/>
      <c r="H361" s="106"/>
      <c r="I361" s="106"/>
      <c r="J361" s="106"/>
      <c r="K361" s="106"/>
      <c r="L361" s="106"/>
      <c r="M361" s="106"/>
      <c r="N361" s="110"/>
    </row>
    <row r="362" spans="1:14" ht="9" customHeight="1" x14ac:dyDescent="0.25">
      <c r="A362" s="105">
        <v>8</v>
      </c>
      <c r="B362" s="109"/>
      <c r="C362" s="106"/>
      <c r="D362" s="106"/>
      <c r="E362" s="106"/>
      <c r="F362" s="106"/>
      <c r="G362" s="106"/>
      <c r="H362" s="106"/>
      <c r="I362" s="106"/>
      <c r="J362" s="106"/>
      <c r="K362" s="106"/>
      <c r="L362" s="106"/>
      <c r="M362" s="106"/>
      <c r="N362" s="110"/>
    </row>
    <row r="363" spans="1:14" ht="9" customHeight="1" x14ac:dyDescent="0.25">
      <c r="A363" s="105">
        <v>9</v>
      </c>
      <c r="B363" s="109"/>
      <c r="C363" s="106"/>
      <c r="D363" s="106"/>
      <c r="E363" s="106"/>
      <c r="F363" s="106"/>
      <c r="G363" s="106"/>
      <c r="H363" s="106"/>
      <c r="I363" s="106"/>
      <c r="J363" s="106"/>
      <c r="K363" s="106"/>
      <c r="L363" s="106"/>
      <c r="M363" s="106"/>
      <c r="N363" s="110"/>
    </row>
    <row r="364" spans="1:14" ht="9" customHeight="1" x14ac:dyDescent="0.25">
      <c r="A364" s="105">
        <v>10</v>
      </c>
      <c r="B364" s="109"/>
      <c r="C364" s="106"/>
      <c r="D364" s="106"/>
      <c r="E364" s="106"/>
      <c r="F364" s="106"/>
      <c r="G364" s="106"/>
      <c r="H364" s="106"/>
      <c r="I364" s="106"/>
      <c r="J364" s="106"/>
      <c r="K364" s="106"/>
      <c r="L364" s="106"/>
      <c r="M364" s="106"/>
      <c r="N364" s="110"/>
    </row>
    <row r="365" spans="1:14" ht="9" customHeight="1" x14ac:dyDescent="0.25">
      <c r="A365" s="105">
        <v>11</v>
      </c>
      <c r="B365" s="109"/>
      <c r="C365" s="106"/>
      <c r="D365" s="106"/>
      <c r="E365" s="106"/>
      <c r="F365" s="106"/>
      <c r="G365" s="106"/>
      <c r="H365" s="106"/>
      <c r="I365" s="106"/>
      <c r="J365" s="106"/>
      <c r="K365" s="106"/>
      <c r="L365" s="106"/>
      <c r="M365" s="106"/>
      <c r="N365" s="110"/>
    </row>
    <row r="366" spans="1:14" ht="9" customHeight="1" x14ac:dyDescent="0.25">
      <c r="A366" s="105">
        <v>12</v>
      </c>
      <c r="B366" s="109"/>
      <c r="C366" s="106"/>
      <c r="D366" s="106"/>
      <c r="E366" s="106"/>
      <c r="F366" s="106"/>
      <c r="G366" s="106"/>
      <c r="H366" s="106"/>
      <c r="I366" s="106"/>
      <c r="J366" s="106"/>
      <c r="K366" s="106"/>
      <c r="L366" s="106"/>
      <c r="M366" s="106"/>
      <c r="N366" s="110"/>
    </row>
    <row r="367" spans="1:14" ht="9" customHeight="1" x14ac:dyDescent="0.25">
      <c r="A367" s="105">
        <v>13</v>
      </c>
      <c r="B367" s="109"/>
      <c r="C367" s="106"/>
      <c r="D367" s="106"/>
      <c r="E367" s="106"/>
      <c r="F367" s="106"/>
      <c r="G367" s="106"/>
      <c r="H367" s="106"/>
      <c r="I367" s="106"/>
      <c r="J367" s="106"/>
      <c r="K367" s="106"/>
      <c r="L367" s="106"/>
      <c r="M367" s="106"/>
      <c r="N367" s="110"/>
    </row>
    <row r="368" spans="1:14" ht="9" customHeight="1" x14ac:dyDescent="0.25">
      <c r="A368" s="105">
        <v>14</v>
      </c>
      <c r="B368" s="109"/>
      <c r="C368" s="106"/>
      <c r="D368" s="106"/>
      <c r="E368" s="106"/>
      <c r="F368" s="106"/>
      <c r="G368" s="106"/>
      <c r="H368" s="106"/>
      <c r="I368" s="106"/>
      <c r="J368" s="106"/>
      <c r="K368" s="106"/>
      <c r="L368" s="106"/>
      <c r="M368" s="106"/>
      <c r="N368" s="110"/>
    </row>
    <row r="369" spans="1:14" ht="9" customHeight="1" x14ac:dyDescent="0.25">
      <c r="A369" s="105">
        <v>15</v>
      </c>
      <c r="B369" s="109"/>
      <c r="C369" s="106"/>
      <c r="D369" s="106"/>
      <c r="E369" s="106"/>
      <c r="F369" s="106"/>
      <c r="G369" s="106"/>
      <c r="H369" s="106"/>
      <c r="I369" s="106"/>
      <c r="J369" s="106"/>
      <c r="K369" s="106"/>
      <c r="L369" s="106"/>
      <c r="M369" s="106"/>
      <c r="N369" s="110"/>
    </row>
    <row r="370" spans="1:14" ht="9" customHeight="1" x14ac:dyDescent="0.25">
      <c r="A370" s="105">
        <v>16</v>
      </c>
      <c r="B370" s="109"/>
      <c r="C370" s="106"/>
      <c r="D370" s="106"/>
      <c r="E370" s="106"/>
      <c r="F370" s="106"/>
      <c r="G370" s="106"/>
      <c r="H370" s="106"/>
      <c r="I370" s="106"/>
      <c r="J370" s="106"/>
      <c r="K370" s="106"/>
      <c r="L370" s="106"/>
      <c r="M370" s="106"/>
      <c r="N370" s="110"/>
    </row>
    <row r="371" spans="1:14" ht="9" customHeight="1" x14ac:dyDescent="0.25">
      <c r="A371" s="105">
        <v>17</v>
      </c>
      <c r="B371" s="109"/>
      <c r="C371" s="106"/>
      <c r="D371" s="106"/>
      <c r="E371" s="106"/>
      <c r="F371" s="106"/>
      <c r="G371" s="106"/>
      <c r="H371" s="106"/>
      <c r="I371" s="106"/>
      <c r="J371" s="106"/>
      <c r="K371" s="106"/>
      <c r="L371" s="106"/>
      <c r="M371" s="106"/>
      <c r="N371" s="110"/>
    </row>
    <row r="372" spans="1:14" ht="9" customHeight="1" x14ac:dyDescent="0.25">
      <c r="A372" s="105">
        <v>18</v>
      </c>
      <c r="B372" s="109"/>
      <c r="C372" s="106"/>
      <c r="D372" s="106"/>
      <c r="E372" s="106"/>
      <c r="F372" s="106"/>
      <c r="G372" s="106"/>
      <c r="H372" s="106"/>
      <c r="I372" s="106"/>
      <c r="J372" s="106"/>
      <c r="K372" s="106"/>
      <c r="L372" s="106"/>
      <c r="M372" s="106"/>
      <c r="N372" s="110"/>
    </row>
    <row r="373" spans="1:14" ht="9" customHeight="1" x14ac:dyDescent="0.25">
      <c r="A373" s="105">
        <v>19</v>
      </c>
      <c r="B373" s="109"/>
      <c r="C373" s="106"/>
      <c r="D373" s="106"/>
      <c r="E373" s="106"/>
      <c r="F373" s="106"/>
      <c r="G373" s="106"/>
      <c r="H373" s="106"/>
      <c r="I373" s="106"/>
      <c r="J373" s="106"/>
      <c r="K373" s="106"/>
      <c r="L373" s="106"/>
      <c r="M373" s="106"/>
      <c r="N373" s="110"/>
    </row>
    <row r="374" spans="1:14" ht="9" customHeight="1" x14ac:dyDescent="0.25">
      <c r="A374" s="105">
        <v>20</v>
      </c>
      <c r="B374" s="109"/>
      <c r="C374" s="106"/>
      <c r="D374" s="106"/>
      <c r="E374" s="106"/>
      <c r="F374" s="106"/>
      <c r="G374" s="106"/>
      <c r="H374" s="106"/>
      <c r="I374" s="106"/>
      <c r="J374" s="106"/>
      <c r="K374" s="106"/>
      <c r="L374" s="106"/>
      <c r="M374" s="106"/>
      <c r="N374" s="110"/>
    </row>
    <row r="375" spans="1:14" ht="9" customHeight="1" x14ac:dyDescent="0.25">
      <c r="A375" s="105">
        <v>21</v>
      </c>
      <c r="B375" s="109"/>
      <c r="C375" s="106"/>
      <c r="D375" s="106"/>
      <c r="E375" s="106"/>
      <c r="F375" s="106"/>
      <c r="G375" s="106"/>
      <c r="H375" s="106"/>
      <c r="I375" s="106"/>
      <c r="J375" s="106"/>
      <c r="K375" s="106"/>
      <c r="L375" s="106"/>
      <c r="M375" s="106"/>
      <c r="N375" s="110"/>
    </row>
    <row r="376" spans="1:14" ht="9" customHeight="1" x14ac:dyDescent="0.25">
      <c r="A376" s="105">
        <v>22</v>
      </c>
      <c r="B376" s="109"/>
      <c r="C376" s="106"/>
      <c r="D376" s="106"/>
      <c r="E376" s="106"/>
      <c r="F376" s="106"/>
      <c r="G376" s="106"/>
      <c r="H376" s="106"/>
      <c r="I376" s="106"/>
      <c r="J376" s="106"/>
      <c r="K376" s="106"/>
      <c r="L376" s="106"/>
      <c r="M376" s="106"/>
      <c r="N376" s="110"/>
    </row>
    <row r="377" spans="1:14" ht="9" customHeight="1" x14ac:dyDescent="0.25">
      <c r="A377" s="105">
        <v>23</v>
      </c>
      <c r="B377" s="109"/>
      <c r="C377" s="106"/>
      <c r="D377" s="106"/>
      <c r="E377" s="106"/>
      <c r="F377" s="106"/>
      <c r="G377" s="106"/>
      <c r="H377" s="106"/>
      <c r="I377" s="106"/>
      <c r="J377" s="106"/>
      <c r="K377" s="106"/>
      <c r="L377" s="106"/>
      <c r="M377" s="106"/>
      <c r="N377" s="110"/>
    </row>
    <row r="378" spans="1:14" ht="9" customHeight="1" x14ac:dyDescent="0.25">
      <c r="A378" s="105">
        <v>24</v>
      </c>
      <c r="B378" s="109"/>
      <c r="C378" s="106"/>
      <c r="D378" s="106"/>
      <c r="E378" s="106"/>
      <c r="F378" s="106"/>
      <c r="G378" s="106"/>
      <c r="H378" s="106"/>
      <c r="I378" s="106"/>
      <c r="J378" s="106"/>
      <c r="K378" s="106"/>
      <c r="L378" s="106"/>
      <c r="M378" s="106"/>
      <c r="N378" s="110"/>
    </row>
    <row r="379" spans="1:14" ht="9" customHeight="1" x14ac:dyDescent="0.25">
      <c r="A379" s="105">
        <v>25</v>
      </c>
      <c r="B379" s="109"/>
      <c r="C379" s="106"/>
      <c r="D379" s="106"/>
      <c r="E379" s="106"/>
      <c r="F379" s="106"/>
      <c r="G379" s="106"/>
      <c r="H379" s="106"/>
      <c r="I379" s="106"/>
      <c r="J379" s="106"/>
      <c r="K379" s="106"/>
      <c r="L379" s="106"/>
      <c r="M379" s="106"/>
      <c r="N379" s="110"/>
    </row>
    <row r="380" spans="1:14" ht="9" customHeight="1" x14ac:dyDescent="0.25">
      <c r="A380" s="105">
        <v>26</v>
      </c>
      <c r="B380" s="109"/>
      <c r="C380" s="106"/>
      <c r="D380" s="106"/>
      <c r="E380" s="106"/>
      <c r="F380" s="106"/>
      <c r="G380" s="106"/>
      <c r="H380" s="106"/>
      <c r="I380" s="106"/>
      <c r="J380" s="106"/>
      <c r="K380" s="106"/>
      <c r="L380" s="106"/>
      <c r="M380" s="106"/>
      <c r="N380" s="110"/>
    </row>
    <row r="381" spans="1:14" ht="9" customHeight="1" x14ac:dyDescent="0.25">
      <c r="A381" s="105">
        <v>27</v>
      </c>
      <c r="B381" s="109"/>
      <c r="C381" s="106"/>
      <c r="D381" s="106"/>
      <c r="E381" s="106"/>
      <c r="F381" s="106"/>
      <c r="G381" s="106"/>
      <c r="H381" s="106"/>
      <c r="I381" s="106"/>
      <c r="J381" s="106"/>
      <c r="K381" s="106"/>
      <c r="L381" s="106"/>
      <c r="M381" s="106"/>
      <c r="N381" s="110"/>
    </row>
    <row r="382" spans="1:14" ht="9" customHeight="1" x14ac:dyDescent="0.25">
      <c r="A382" s="105">
        <v>28</v>
      </c>
      <c r="B382" s="109"/>
      <c r="C382" s="106"/>
      <c r="D382" s="106"/>
      <c r="E382" s="106"/>
      <c r="F382" s="106"/>
      <c r="G382" s="106"/>
      <c r="H382" s="106"/>
      <c r="I382" s="106"/>
      <c r="J382" s="106"/>
      <c r="K382" s="106"/>
      <c r="L382" s="106"/>
      <c r="M382" s="106"/>
      <c r="N382" s="110"/>
    </row>
    <row r="383" spans="1:14" ht="9" customHeight="1" x14ac:dyDescent="0.25">
      <c r="A383" s="105">
        <v>29</v>
      </c>
      <c r="B383" s="109"/>
      <c r="C383" s="106"/>
      <c r="D383" s="106"/>
      <c r="E383" s="106"/>
      <c r="F383" s="106"/>
      <c r="G383" s="106"/>
      <c r="H383" s="106"/>
      <c r="I383" s="106"/>
      <c r="J383" s="106"/>
      <c r="K383" s="106"/>
      <c r="L383" s="106"/>
      <c r="M383" s="106"/>
      <c r="N383" s="110"/>
    </row>
    <row r="384" spans="1:14" ht="9" customHeight="1" x14ac:dyDescent="0.25">
      <c r="A384" s="105">
        <v>30</v>
      </c>
      <c r="B384" s="109"/>
      <c r="C384" s="106"/>
      <c r="D384" s="106"/>
      <c r="E384" s="106"/>
      <c r="F384" s="106"/>
      <c r="G384" s="106"/>
      <c r="H384" s="106"/>
      <c r="I384" s="106"/>
      <c r="J384" s="106"/>
      <c r="K384" s="106"/>
      <c r="L384" s="106"/>
      <c r="M384" s="106"/>
      <c r="N384" s="110"/>
    </row>
    <row r="385" spans="1:27" ht="9" customHeight="1" x14ac:dyDescent="0.25">
      <c r="A385" s="105">
        <v>31</v>
      </c>
      <c r="B385" s="109"/>
      <c r="C385" s="106"/>
      <c r="D385" s="106"/>
      <c r="E385" s="106"/>
      <c r="F385" s="106"/>
      <c r="G385" s="106"/>
      <c r="H385" s="106"/>
      <c r="I385" s="106"/>
      <c r="J385" s="106"/>
      <c r="K385" s="106"/>
      <c r="L385" s="106"/>
      <c r="M385" s="106"/>
      <c r="N385" s="110"/>
    </row>
    <row r="386" spans="1:27" ht="9" customHeight="1" x14ac:dyDescent="0.25">
      <c r="A386" s="105">
        <v>32</v>
      </c>
      <c r="B386" s="109"/>
      <c r="C386" s="106"/>
      <c r="D386" s="106"/>
      <c r="E386" s="106"/>
      <c r="F386" s="106"/>
      <c r="G386" s="106"/>
      <c r="H386" s="106"/>
      <c r="I386" s="106"/>
      <c r="J386" s="106"/>
      <c r="K386" s="106"/>
      <c r="L386" s="106"/>
      <c r="M386" s="106"/>
      <c r="N386" s="110"/>
    </row>
    <row r="387" spans="1:27" ht="9" customHeight="1" x14ac:dyDescent="0.25">
      <c r="A387" s="105">
        <v>33</v>
      </c>
      <c r="B387" s="109"/>
      <c r="C387" s="106"/>
      <c r="D387" s="106"/>
      <c r="E387" s="106"/>
      <c r="F387" s="106"/>
      <c r="G387" s="106"/>
      <c r="H387" s="106"/>
      <c r="I387" s="106"/>
      <c r="J387" s="106"/>
      <c r="K387" s="106"/>
      <c r="L387" s="106"/>
      <c r="M387" s="106"/>
      <c r="N387" s="110"/>
    </row>
    <row r="388" spans="1:27" ht="9" customHeight="1" x14ac:dyDescent="0.25">
      <c r="A388" s="105">
        <v>34</v>
      </c>
      <c r="B388" s="109"/>
      <c r="C388" s="106"/>
      <c r="D388" s="106"/>
      <c r="E388" s="106"/>
      <c r="F388" s="106"/>
      <c r="G388" s="106"/>
      <c r="H388" s="106"/>
      <c r="I388" s="106"/>
      <c r="J388" s="106"/>
      <c r="K388" s="106"/>
      <c r="L388" s="106"/>
      <c r="M388" s="106"/>
      <c r="N388" s="110"/>
    </row>
    <row r="389" spans="1:27" ht="9" customHeight="1" thickBot="1" x14ac:dyDescent="0.3">
      <c r="A389" s="105">
        <v>35</v>
      </c>
      <c r="B389" s="111"/>
      <c r="C389" s="112"/>
      <c r="D389" s="112"/>
      <c r="E389" s="112"/>
      <c r="F389" s="112"/>
      <c r="G389" s="112"/>
      <c r="H389" s="112"/>
      <c r="I389" s="112"/>
      <c r="J389" s="112"/>
      <c r="K389" s="112"/>
      <c r="L389" s="112"/>
      <c r="M389" s="112"/>
      <c r="N389" s="113"/>
    </row>
    <row r="391" spans="1:27" ht="15.75" thickBot="1" x14ac:dyDescent="0.3">
      <c r="A391" s="100"/>
      <c r="B391" s="101">
        <v>2</v>
      </c>
      <c r="C391" s="101">
        <v>3</v>
      </c>
      <c r="D391" s="101">
        <v>4</v>
      </c>
      <c r="E391" s="101">
        <v>5</v>
      </c>
      <c r="F391" s="101">
        <v>6</v>
      </c>
      <c r="G391" s="101">
        <v>7</v>
      </c>
      <c r="H391" s="101">
        <v>8</v>
      </c>
      <c r="I391" s="101">
        <v>9</v>
      </c>
      <c r="J391" s="101">
        <v>10</v>
      </c>
      <c r="K391" s="101">
        <v>11</v>
      </c>
      <c r="L391" s="101">
        <v>12</v>
      </c>
      <c r="M391" s="101">
        <v>13</v>
      </c>
      <c r="N391" s="101">
        <v>14</v>
      </c>
      <c r="O391" s="100">
        <v>15</v>
      </c>
      <c r="P391" s="100">
        <v>16</v>
      </c>
      <c r="Q391" s="100">
        <v>17</v>
      </c>
      <c r="R391" s="100">
        <v>18</v>
      </c>
      <c r="S391" s="100">
        <v>19</v>
      </c>
      <c r="T391" s="100">
        <v>20</v>
      </c>
      <c r="U391" s="100">
        <v>21</v>
      </c>
      <c r="V391" s="100">
        <v>22</v>
      </c>
      <c r="W391" s="100">
        <v>23</v>
      </c>
      <c r="X391" s="100">
        <v>24</v>
      </c>
      <c r="Y391" s="100">
        <v>25</v>
      </c>
      <c r="Z391" s="100">
        <v>26</v>
      </c>
      <c r="AA391" s="100">
        <v>27</v>
      </c>
    </row>
    <row r="392" spans="1:27" ht="15.75" thickBot="1" x14ac:dyDescent="0.3">
      <c r="B392" s="251" t="s">
        <v>215</v>
      </c>
      <c r="C392" s="252"/>
      <c r="D392" s="252"/>
      <c r="E392" s="114" t="s">
        <v>136</v>
      </c>
      <c r="F392" s="114">
        <f>VLOOKUP($E392,[1]Datos!$S$54:$T$74,2,0)</f>
        <v>39936</v>
      </c>
      <c r="G392" s="253" t="s">
        <v>202</v>
      </c>
      <c r="H392" s="253"/>
      <c r="I392" s="115"/>
      <c r="J392" s="115"/>
      <c r="K392" s="115"/>
      <c r="L392" s="115"/>
      <c r="M392" s="115"/>
      <c r="N392" s="116"/>
    </row>
    <row r="393" spans="1:27" ht="22.5" x14ac:dyDescent="0.25">
      <c r="B393" s="107" t="s">
        <v>184</v>
      </c>
      <c r="C393" s="102" t="s">
        <v>186</v>
      </c>
      <c r="D393" s="102" t="s">
        <v>200</v>
      </c>
      <c r="E393" s="102" t="s">
        <v>185</v>
      </c>
      <c r="F393" s="103" t="s">
        <v>187</v>
      </c>
      <c r="G393" s="103" t="s">
        <v>188</v>
      </c>
      <c r="H393" s="102" t="s">
        <v>190</v>
      </c>
      <c r="I393" s="102" t="s">
        <v>191</v>
      </c>
      <c r="J393" s="102" t="s">
        <v>192</v>
      </c>
      <c r="K393" s="102" t="s">
        <v>203</v>
      </c>
      <c r="L393" s="102" t="s">
        <v>204</v>
      </c>
      <c r="M393" s="104" t="s">
        <v>196</v>
      </c>
      <c r="N393" s="108" t="s">
        <v>205</v>
      </c>
    </row>
    <row r="394" spans="1:27" ht="9" customHeight="1" x14ac:dyDescent="0.25">
      <c r="A394" s="105">
        <v>1</v>
      </c>
      <c r="B394" s="109"/>
      <c r="C394" s="106"/>
      <c r="D394" s="106"/>
      <c r="E394" s="106"/>
      <c r="F394" s="106"/>
      <c r="G394" s="106"/>
      <c r="H394" s="106"/>
      <c r="I394" s="106"/>
      <c r="J394" s="106"/>
      <c r="K394" s="106"/>
      <c r="L394" s="106"/>
      <c r="M394" s="106"/>
      <c r="N394" s="110"/>
    </row>
    <row r="395" spans="1:27" ht="9" customHeight="1" x14ac:dyDescent="0.25">
      <c r="A395" s="105">
        <v>2</v>
      </c>
      <c r="B395" s="109"/>
      <c r="C395" s="106"/>
      <c r="D395" s="106"/>
      <c r="E395" s="106"/>
      <c r="F395" s="106"/>
      <c r="G395" s="106"/>
      <c r="H395" s="106"/>
      <c r="I395" s="106"/>
      <c r="J395" s="106"/>
      <c r="K395" s="106"/>
      <c r="L395" s="106"/>
      <c r="M395" s="106"/>
      <c r="N395" s="110"/>
    </row>
    <row r="396" spans="1:27" ht="9" customHeight="1" x14ac:dyDescent="0.25">
      <c r="A396" s="105">
        <v>3</v>
      </c>
      <c r="B396" s="109"/>
      <c r="C396" s="106"/>
      <c r="D396" s="106"/>
      <c r="E396" s="106"/>
      <c r="F396" s="106"/>
      <c r="G396" s="106"/>
      <c r="H396" s="106"/>
      <c r="I396" s="106"/>
      <c r="J396" s="106"/>
      <c r="K396" s="106"/>
      <c r="L396" s="106"/>
      <c r="M396" s="106"/>
      <c r="N396" s="110"/>
    </row>
    <row r="397" spans="1:27" ht="9" customHeight="1" x14ac:dyDescent="0.25">
      <c r="A397" s="105">
        <v>4</v>
      </c>
      <c r="B397" s="109"/>
      <c r="C397" s="106"/>
      <c r="D397" s="106"/>
      <c r="E397" s="106"/>
      <c r="F397" s="106"/>
      <c r="G397" s="106"/>
      <c r="H397" s="106"/>
      <c r="I397" s="106"/>
      <c r="J397" s="106"/>
      <c r="K397" s="106"/>
      <c r="L397" s="106"/>
      <c r="M397" s="106"/>
      <c r="N397" s="110"/>
    </row>
    <row r="398" spans="1:27" ht="9" customHeight="1" x14ac:dyDescent="0.25">
      <c r="A398" s="105">
        <v>5</v>
      </c>
      <c r="B398" s="109"/>
      <c r="C398" s="106"/>
      <c r="D398" s="106"/>
      <c r="E398" s="106"/>
      <c r="F398" s="106"/>
      <c r="G398" s="106"/>
      <c r="H398" s="106"/>
      <c r="I398" s="106"/>
      <c r="J398" s="106"/>
      <c r="K398" s="106"/>
      <c r="L398" s="106"/>
      <c r="M398" s="106"/>
      <c r="N398" s="110"/>
    </row>
    <row r="399" spans="1:27" ht="9" customHeight="1" x14ac:dyDescent="0.25">
      <c r="A399" s="105">
        <v>6</v>
      </c>
      <c r="B399" s="109"/>
      <c r="C399" s="106"/>
      <c r="D399" s="106"/>
      <c r="E399" s="106"/>
      <c r="F399" s="106"/>
      <c r="G399" s="106"/>
      <c r="H399" s="106"/>
      <c r="I399" s="106"/>
      <c r="J399" s="106"/>
      <c r="K399" s="106"/>
      <c r="L399" s="106"/>
      <c r="M399" s="106"/>
      <c r="N399" s="110"/>
    </row>
    <row r="400" spans="1:27" ht="9" customHeight="1" x14ac:dyDescent="0.25">
      <c r="A400" s="105">
        <v>7</v>
      </c>
      <c r="B400" s="109"/>
      <c r="C400" s="106"/>
      <c r="D400" s="106"/>
      <c r="E400" s="106"/>
      <c r="F400" s="106"/>
      <c r="G400" s="106"/>
      <c r="H400" s="106"/>
      <c r="I400" s="106"/>
      <c r="J400" s="106"/>
      <c r="K400" s="106"/>
      <c r="L400" s="106"/>
      <c r="M400" s="106"/>
      <c r="N400" s="110"/>
    </row>
    <row r="401" spans="1:14" ht="9" customHeight="1" x14ac:dyDescent="0.25">
      <c r="A401" s="105">
        <v>8</v>
      </c>
      <c r="B401" s="109"/>
      <c r="C401" s="106"/>
      <c r="D401" s="106"/>
      <c r="E401" s="106"/>
      <c r="F401" s="106"/>
      <c r="G401" s="106"/>
      <c r="H401" s="106"/>
      <c r="I401" s="106"/>
      <c r="J401" s="106"/>
      <c r="K401" s="106"/>
      <c r="L401" s="106"/>
      <c r="M401" s="106"/>
      <c r="N401" s="110"/>
    </row>
    <row r="402" spans="1:14" ht="9" customHeight="1" x14ac:dyDescent="0.25">
      <c r="A402" s="105">
        <v>9</v>
      </c>
      <c r="B402" s="109"/>
      <c r="C402" s="106"/>
      <c r="D402" s="106"/>
      <c r="E402" s="106"/>
      <c r="F402" s="106"/>
      <c r="G402" s="106"/>
      <c r="H402" s="106"/>
      <c r="I402" s="106"/>
      <c r="J402" s="106"/>
      <c r="K402" s="106"/>
      <c r="L402" s="106"/>
      <c r="M402" s="106"/>
      <c r="N402" s="110"/>
    </row>
    <row r="403" spans="1:14" ht="9" customHeight="1" x14ac:dyDescent="0.25">
      <c r="A403" s="105">
        <v>10</v>
      </c>
      <c r="B403" s="109"/>
      <c r="C403" s="106"/>
      <c r="D403" s="106"/>
      <c r="E403" s="106"/>
      <c r="F403" s="106"/>
      <c r="G403" s="106"/>
      <c r="H403" s="106"/>
      <c r="I403" s="106"/>
      <c r="J403" s="106"/>
      <c r="K403" s="106"/>
      <c r="L403" s="106"/>
      <c r="M403" s="106"/>
      <c r="N403" s="110"/>
    </row>
    <row r="404" spans="1:14" ht="9" customHeight="1" x14ac:dyDescent="0.25">
      <c r="A404" s="105">
        <v>11</v>
      </c>
      <c r="B404" s="109"/>
      <c r="C404" s="106"/>
      <c r="D404" s="106"/>
      <c r="E404" s="106"/>
      <c r="F404" s="106"/>
      <c r="G404" s="106"/>
      <c r="H404" s="106"/>
      <c r="I404" s="106"/>
      <c r="J404" s="106"/>
      <c r="K404" s="106"/>
      <c r="L404" s="106"/>
      <c r="M404" s="106"/>
      <c r="N404" s="110"/>
    </row>
    <row r="405" spans="1:14" ht="9" customHeight="1" x14ac:dyDescent="0.25">
      <c r="A405" s="105">
        <v>12</v>
      </c>
      <c r="B405" s="109"/>
      <c r="C405" s="106"/>
      <c r="D405" s="106"/>
      <c r="E405" s="106"/>
      <c r="F405" s="106"/>
      <c r="G405" s="106"/>
      <c r="H405" s="106"/>
      <c r="I405" s="106"/>
      <c r="J405" s="106"/>
      <c r="K405" s="106"/>
      <c r="L405" s="106"/>
      <c r="M405" s="106"/>
      <c r="N405" s="110"/>
    </row>
    <row r="406" spans="1:14" ht="9" customHeight="1" x14ac:dyDescent="0.25">
      <c r="A406" s="105">
        <v>13</v>
      </c>
      <c r="B406" s="109"/>
      <c r="C406" s="106"/>
      <c r="D406" s="106"/>
      <c r="E406" s="106"/>
      <c r="F406" s="106"/>
      <c r="G406" s="106"/>
      <c r="H406" s="106"/>
      <c r="I406" s="106"/>
      <c r="J406" s="106"/>
      <c r="K406" s="106"/>
      <c r="L406" s="106"/>
      <c r="M406" s="106"/>
      <c r="N406" s="110"/>
    </row>
    <row r="407" spans="1:14" ht="9" customHeight="1" x14ac:dyDescent="0.25">
      <c r="A407" s="105">
        <v>14</v>
      </c>
      <c r="B407" s="109"/>
      <c r="C407" s="106"/>
      <c r="D407" s="106"/>
      <c r="E407" s="106"/>
      <c r="F407" s="106"/>
      <c r="G407" s="106"/>
      <c r="H407" s="106"/>
      <c r="I407" s="106"/>
      <c r="J407" s="106"/>
      <c r="K407" s="106"/>
      <c r="L407" s="106"/>
      <c r="M407" s="106"/>
      <c r="N407" s="110"/>
    </row>
    <row r="408" spans="1:14" ht="9" customHeight="1" x14ac:dyDescent="0.25">
      <c r="A408" s="105">
        <v>15</v>
      </c>
      <c r="B408" s="109"/>
      <c r="C408" s="106"/>
      <c r="D408" s="106"/>
      <c r="E408" s="106"/>
      <c r="F408" s="106"/>
      <c r="G408" s="106"/>
      <c r="H408" s="106"/>
      <c r="I408" s="106"/>
      <c r="J408" s="106"/>
      <c r="K408" s="106"/>
      <c r="L408" s="106"/>
      <c r="M408" s="106"/>
      <c r="N408" s="110"/>
    </row>
    <row r="409" spans="1:14" ht="9" customHeight="1" x14ac:dyDescent="0.25">
      <c r="A409" s="105">
        <v>16</v>
      </c>
      <c r="B409" s="109"/>
      <c r="C409" s="106"/>
      <c r="D409" s="106"/>
      <c r="E409" s="106"/>
      <c r="F409" s="106"/>
      <c r="G409" s="106"/>
      <c r="H409" s="106"/>
      <c r="I409" s="106"/>
      <c r="J409" s="106"/>
      <c r="K409" s="106"/>
      <c r="L409" s="106"/>
      <c r="M409" s="106"/>
      <c r="N409" s="110"/>
    </row>
    <row r="410" spans="1:14" ht="9" customHeight="1" x14ac:dyDescent="0.25">
      <c r="A410" s="105">
        <v>17</v>
      </c>
      <c r="B410" s="109"/>
      <c r="C410" s="106"/>
      <c r="D410" s="106"/>
      <c r="E410" s="106"/>
      <c r="F410" s="106"/>
      <c r="G410" s="106"/>
      <c r="H410" s="106"/>
      <c r="I410" s="106"/>
      <c r="J410" s="106"/>
      <c r="K410" s="106"/>
      <c r="L410" s="106"/>
      <c r="M410" s="106"/>
      <c r="N410" s="110"/>
    </row>
    <row r="411" spans="1:14" ht="9" customHeight="1" x14ac:dyDescent="0.25">
      <c r="A411" s="105">
        <v>18</v>
      </c>
      <c r="B411" s="109"/>
      <c r="C411" s="106"/>
      <c r="D411" s="106"/>
      <c r="E411" s="106"/>
      <c r="F411" s="106"/>
      <c r="G411" s="106"/>
      <c r="H411" s="106"/>
      <c r="I411" s="106"/>
      <c r="J411" s="106"/>
      <c r="K411" s="106"/>
      <c r="L411" s="106"/>
      <c r="M411" s="106"/>
      <c r="N411" s="110"/>
    </row>
    <row r="412" spans="1:14" ht="9" customHeight="1" x14ac:dyDescent="0.25">
      <c r="A412" s="105">
        <v>19</v>
      </c>
      <c r="B412" s="109"/>
      <c r="C412" s="106"/>
      <c r="D412" s="106"/>
      <c r="E412" s="106"/>
      <c r="F412" s="106"/>
      <c r="G412" s="106"/>
      <c r="H412" s="106"/>
      <c r="I412" s="106"/>
      <c r="J412" s="106"/>
      <c r="K412" s="106"/>
      <c r="L412" s="106"/>
      <c r="M412" s="106"/>
      <c r="N412" s="110"/>
    </row>
    <row r="413" spans="1:14" ht="9" customHeight="1" x14ac:dyDescent="0.25">
      <c r="A413" s="105">
        <v>20</v>
      </c>
      <c r="B413" s="109"/>
      <c r="C413" s="106"/>
      <c r="D413" s="106"/>
      <c r="E413" s="106"/>
      <c r="F413" s="106"/>
      <c r="G413" s="106"/>
      <c r="H413" s="106"/>
      <c r="I413" s="106"/>
      <c r="J413" s="106"/>
      <c r="K413" s="106"/>
      <c r="L413" s="106"/>
      <c r="M413" s="106"/>
      <c r="N413" s="110"/>
    </row>
    <row r="414" spans="1:14" ht="9" customHeight="1" x14ac:dyDescent="0.25">
      <c r="A414" s="105">
        <v>21</v>
      </c>
      <c r="B414" s="109"/>
      <c r="C414" s="106"/>
      <c r="D414" s="106"/>
      <c r="E414" s="106"/>
      <c r="F414" s="106"/>
      <c r="G414" s="106"/>
      <c r="H414" s="106"/>
      <c r="I414" s="106"/>
      <c r="J414" s="106"/>
      <c r="K414" s="106"/>
      <c r="L414" s="106"/>
      <c r="M414" s="106"/>
      <c r="N414" s="110"/>
    </row>
    <row r="415" spans="1:14" ht="9" customHeight="1" x14ac:dyDescent="0.25">
      <c r="A415" s="105">
        <v>22</v>
      </c>
      <c r="B415" s="109"/>
      <c r="C415" s="106"/>
      <c r="D415" s="106"/>
      <c r="E415" s="106"/>
      <c r="F415" s="106"/>
      <c r="G415" s="106"/>
      <c r="H415" s="106"/>
      <c r="I415" s="106"/>
      <c r="J415" s="106"/>
      <c r="K415" s="106"/>
      <c r="L415" s="106"/>
      <c r="M415" s="106"/>
      <c r="N415" s="110"/>
    </row>
    <row r="416" spans="1:14" ht="9" customHeight="1" x14ac:dyDescent="0.25">
      <c r="A416" s="105">
        <v>23</v>
      </c>
      <c r="B416" s="109"/>
      <c r="C416" s="106"/>
      <c r="D416" s="106"/>
      <c r="E416" s="106"/>
      <c r="F416" s="106"/>
      <c r="G416" s="106"/>
      <c r="H416" s="106"/>
      <c r="I416" s="106"/>
      <c r="J416" s="106"/>
      <c r="K416" s="106"/>
      <c r="L416" s="106"/>
      <c r="M416" s="106"/>
      <c r="N416" s="110"/>
    </row>
    <row r="417" spans="1:27" ht="9" customHeight="1" x14ac:dyDescent="0.25">
      <c r="A417" s="105">
        <v>24</v>
      </c>
      <c r="B417" s="109"/>
      <c r="C417" s="106"/>
      <c r="D417" s="106"/>
      <c r="E417" s="106"/>
      <c r="F417" s="106"/>
      <c r="G417" s="106"/>
      <c r="H417" s="106"/>
      <c r="I417" s="106"/>
      <c r="J417" s="106"/>
      <c r="K417" s="106"/>
      <c r="L417" s="106"/>
      <c r="M417" s="106"/>
      <c r="N417" s="110"/>
    </row>
    <row r="418" spans="1:27" ht="9" customHeight="1" x14ac:dyDescent="0.25">
      <c r="A418" s="105">
        <v>25</v>
      </c>
      <c r="B418" s="109"/>
      <c r="C418" s="106"/>
      <c r="D418" s="106"/>
      <c r="E418" s="106"/>
      <c r="F418" s="106"/>
      <c r="G418" s="106"/>
      <c r="H418" s="106"/>
      <c r="I418" s="106"/>
      <c r="J418" s="106"/>
      <c r="K418" s="106"/>
      <c r="L418" s="106"/>
      <c r="M418" s="106"/>
      <c r="N418" s="110"/>
    </row>
    <row r="419" spans="1:27" ht="9" customHeight="1" x14ac:dyDescent="0.25">
      <c r="A419" s="105">
        <v>26</v>
      </c>
      <c r="B419" s="109"/>
      <c r="C419" s="106"/>
      <c r="D419" s="106"/>
      <c r="E419" s="106"/>
      <c r="F419" s="106"/>
      <c r="G419" s="106"/>
      <c r="H419" s="106"/>
      <c r="I419" s="106"/>
      <c r="J419" s="106"/>
      <c r="K419" s="106"/>
      <c r="L419" s="106"/>
      <c r="M419" s="106"/>
      <c r="N419" s="110"/>
    </row>
    <row r="420" spans="1:27" ht="9" customHeight="1" x14ac:dyDescent="0.25">
      <c r="A420" s="105">
        <v>27</v>
      </c>
      <c r="B420" s="109"/>
      <c r="C420" s="106"/>
      <c r="D420" s="106"/>
      <c r="E420" s="106"/>
      <c r="F420" s="106"/>
      <c r="G420" s="106"/>
      <c r="H420" s="106"/>
      <c r="I420" s="106"/>
      <c r="J420" s="106"/>
      <c r="K420" s="106"/>
      <c r="L420" s="106"/>
      <c r="M420" s="106"/>
      <c r="N420" s="110"/>
    </row>
    <row r="421" spans="1:27" ht="9" customHeight="1" x14ac:dyDescent="0.25">
      <c r="A421" s="105">
        <v>28</v>
      </c>
      <c r="B421" s="109"/>
      <c r="C421" s="106"/>
      <c r="D421" s="106"/>
      <c r="E421" s="106"/>
      <c r="F421" s="106"/>
      <c r="G421" s="106"/>
      <c r="H421" s="106"/>
      <c r="I421" s="106"/>
      <c r="J421" s="106"/>
      <c r="K421" s="106"/>
      <c r="L421" s="106"/>
      <c r="M421" s="106"/>
      <c r="N421" s="110"/>
    </row>
    <row r="422" spans="1:27" ht="9" customHeight="1" x14ac:dyDescent="0.25">
      <c r="A422" s="105">
        <v>29</v>
      </c>
      <c r="B422" s="109"/>
      <c r="C422" s="106"/>
      <c r="D422" s="106"/>
      <c r="E422" s="106"/>
      <c r="F422" s="106"/>
      <c r="G422" s="106"/>
      <c r="H422" s="106"/>
      <c r="I422" s="106"/>
      <c r="J422" s="106"/>
      <c r="K422" s="106"/>
      <c r="L422" s="106"/>
      <c r="M422" s="106"/>
      <c r="N422" s="110"/>
    </row>
    <row r="423" spans="1:27" ht="9" customHeight="1" x14ac:dyDescent="0.25">
      <c r="A423" s="105">
        <v>30</v>
      </c>
      <c r="B423" s="109"/>
      <c r="C423" s="106"/>
      <c r="D423" s="106"/>
      <c r="E423" s="106"/>
      <c r="F423" s="106"/>
      <c r="G423" s="106"/>
      <c r="H423" s="106"/>
      <c r="I423" s="106"/>
      <c r="J423" s="106"/>
      <c r="K423" s="106"/>
      <c r="L423" s="106"/>
      <c r="M423" s="106"/>
      <c r="N423" s="110"/>
    </row>
    <row r="424" spans="1:27" ht="9" customHeight="1" x14ac:dyDescent="0.25">
      <c r="A424" s="105">
        <v>31</v>
      </c>
      <c r="B424" s="109"/>
      <c r="C424" s="106"/>
      <c r="D424" s="106"/>
      <c r="E424" s="106"/>
      <c r="F424" s="106"/>
      <c r="G424" s="106"/>
      <c r="H424" s="106"/>
      <c r="I424" s="106"/>
      <c r="J424" s="106"/>
      <c r="K424" s="106"/>
      <c r="L424" s="106"/>
      <c r="M424" s="106"/>
      <c r="N424" s="110"/>
    </row>
    <row r="425" spans="1:27" ht="9" customHeight="1" x14ac:dyDescent="0.25">
      <c r="A425" s="105">
        <v>32</v>
      </c>
      <c r="B425" s="109"/>
      <c r="C425" s="106"/>
      <c r="D425" s="106"/>
      <c r="E425" s="106"/>
      <c r="F425" s="106"/>
      <c r="G425" s="106"/>
      <c r="H425" s="106"/>
      <c r="I425" s="106"/>
      <c r="J425" s="106"/>
      <c r="K425" s="106"/>
      <c r="L425" s="106"/>
      <c r="M425" s="106"/>
      <c r="N425" s="110"/>
    </row>
    <row r="426" spans="1:27" ht="9" customHeight="1" x14ac:dyDescent="0.25">
      <c r="A426" s="105">
        <v>33</v>
      </c>
      <c r="B426" s="109"/>
      <c r="C426" s="106"/>
      <c r="D426" s="106"/>
      <c r="E426" s="106"/>
      <c r="F426" s="106"/>
      <c r="G426" s="106"/>
      <c r="H426" s="106"/>
      <c r="I426" s="106"/>
      <c r="J426" s="106"/>
      <c r="K426" s="106"/>
      <c r="L426" s="106"/>
      <c r="M426" s="106"/>
      <c r="N426" s="110"/>
    </row>
    <row r="427" spans="1:27" ht="9" customHeight="1" x14ac:dyDescent="0.25">
      <c r="A427" s="105">
        <v>34</v>
      </c>
      <c r="B427" s="109"/>
      <c r="C427" s="106"/>
      <c r="D427" s="106"/>
      <c r="E427" s="106"/>
      <c r="F427" s="106"/>
      <c r="G427" s="106"/>
      <c r="H427" s="106"/>
      <c r="I427" s="106"/>
      <c r="J427" s="106"/>
      <c r="K427" s="106"/>
      <c r="L427" s="106"/>
      <c r="M427" s="106"/>
      <c r="N427" s="110"/>
    </row>
    <row r="428" spans="1:27" ht="9" customHeight="1" thickBot="1" x14ac:dyDescent="0.3">
      <c r="A428" s="105">
        <v>35</v>
      </c>
      <c r="B428" s="111"/>
      <c r="C428" s="112"/>
      <c r="D428" s="112"/>
      <c r="E428" s="112"/>
      <c r="F428" s="112"/>
      <c r="G428" s="112"/>
      <c r="H428" s="112"/>
      <c r="I428" s="112"/>
      <c r="J428" s="112"/>
      <c r="K428" s="112"/>
      <c r="L428" s="112"/>
      <c r="M428" s="112"/>
      <c r="N428" s="113"/>
    </row>
    <row r="430" spans="1:27" ht="15.75" thickBot="1" x14ac:dyDescent="0.3">
      <c r="A430" s="100"/>
      <c r="B430" s="101">
        <v>2</v>
      </c>
      <c r="C430" s="101">
        <v>3</v>
      </c>
      <c r="D430" s="101">
        <v>4</v>
      </c>
      <c r="E430" s="101">
        <v>5</v>
      </c>
      <c r="F430" s="101">
        <v>6</v>
      </c>
      <c r="G430" s="101">
        <v>7</v>
      </c>
      <c r="H430" s="101">
        <v>8</v>
      </c>
      <c r="I430" s="101">
        <v>9</v>
      </c>
      <c r="J430" s="101">
        <v>10</v>
      </c>
      <c r="K430" s="101">
        <v>11</v>
      </c>
      <c r="L430" s="101">
        <v>12</v>
      </c>
      <c r="M430" s="101">
        <v>13</v>
      </c>
      <c r="N430" s="101">
        <v>14</v>
      </c>
      <c r="O430" s="100">
        <v>15</v>
      </c>
      <c r="P430" s="100">
        <v>16</v>
      </c>
      <c r="Q430" s="100">
        <v>17</v>
      </c>
      <c r="R430" s="100">
        <v>18</v>
      </c>
      <c r="S430" s="100">
        <v>19</v>
      </c>
      <c r="T430" s="100">
        <v>20</v>
      </c>
      <c r="U430" s="100">
        <v>21</v>
      </c>
      <c r="V430" s="100">
        <v>22</v>
      </c>
      <c r="W430" s="100">
        <v>23</v>
      </c>
      <c r="X430" s="100">
        <v>24</v>
      </c>
      <c r="Y430" s="100">
        <v>25</v>
      </c>
      <c r="Z430" s="100">
        <v>26</v>
      </c>
      <c r="AA430" s="100">
        <v>27</v>
      </c>
    </row>
    <row r="431" spans="1:27" ht="15.75" thickBot="1" x14ac:dyDescent="0.3">
      <c r="B431" s="251" t="s">
        <v>216</v>
      </c>
      <c r="C431" s="252"/>
      <c r="D431" s="252"/>
      <c r="E431" s="114" t="s">
        <v>136</v>
      </c>
      <c r="F431" s="114">
        <f>VLOOKUP($E431,[1]Datos!$S$54:$T$74,2,0)</f>
        <v>39936</v>
      </c>
      <c r="G431" s="253" t="s">
        <v>202</v>
      </c>
      <c r="H431" s="253"/>
      <c r="I431" s="115"/>
      <c r="J431" s="115"/>
      <c r="K431" s="115"/>
      <c r="L431" s="115"/>
      <c r="M431" s="115"/>
      <c r="N431" s="116"/>
    </row>
    <row r="432" spans="1:27" ht="22.5" x14ac:dyDescent="0.25">
      <c r="B432" s="107" t="s">
        <v>184</v>
      </c>
      <c r="C432" s="102" t="s">
        <v>186</v>
      </c>
      <c r="D432" s="102" t="s">
        <v>200</v>
      </c>
      <c r="E432" s="102" t="s">
        <v>185</v>
      </c>
      <c r="F432" s="103" t="s">
        <v>187</v>
      </c>
      <c r="G432" s="103" t="s">
        <v>188</v>
      </c>
      <c r="H432" s="102" t="s">
        <v>190</v>
      </c>
      <c r="I432" s="102" t="s">
        <v>191</v>
      </c>
      <c r="J432" s="102" t="s">
        <v>192</v>
      </c>
      <c r="K432" s="102" t="s">
        <v>203</v>
      </c>
      <c r="L432" s="102" t="s">
        <v>204</v>
      </c>
      <c r="M432" s="104" t="s">
        <v>196</v>
      </c>
      <c r="N432" s="108" t="s">
        <v>205</v>
      </c>
    </row>
    <row r="433" spans="1:14" ht="9" customHeight="1" x14ac:dyDescent="0.25">
      <c r="A433" s="105">
        <v>1</v>
      </c>
      <c r="B433" s="109"/>
      <c r="C433" s="106"/>
      <c r="D433" s="106"/>
      <c r="E433" s="106"/>
      <c r="F433" s="106"/>
      <c r="G433" s="106"/>
      <c r="H433" s="106"/>
      <c r="I433" s="106"/>
      <c r="J433" s="106"/>
      <c r="K433" s="106"/>
      <c r="L433" s="106"/>
      <c r="M433" s="106"/>
      <c r="N433" s="110"/>
    </row>
    <row r="434" spans="1:14" ht="9" customHeight="1" x14ac:dyDescent="0.25">
      <c r="A434" s="105">
        <v>2</v>
      </c>
      <c r="B434" s="109"/>
      <c r="C434" s="106"/>
      <c r="D434" s="106"/>
      <c r="E434" s="106"/>
      <c r="F434" s="106"/>
      <c r="G434" s="106"/>
      <c r="H434" s="106"/>
      <c r="I434" s="106"/>
      <c r="J434" s="106"/>
      <c r="K434" s="106"/>
      <c r="L434" s="106"/>
      <c r="M434" s="106"/>
      <c r="N434" s="110"/>
    </row>
    <row r="435" spans="1:14" ht="9" customHeight="1" x14ac:dyDescent="0.25">
      <c r="A435" s="105">
        <v>3</v>
      </c>
      <c r="B435" s="109"/>
      <c r="C435" s="106"/>
      <c r="D435" s="106"/>
      <c r="E435" s="106"/>
      <c r="F435" s="106"/>
      <c r="G435" s="106"/>
      <c r="H435" s="106"/>
      <c r="I435" s="106"/>
      <c r="J435" s="106"/>
      <c r="K435" s="106"/>
      <c r="L435" s="106"/>
      <c r="M435" s="106"/>
      <c r="N435" s="110"/>
    </row>
    <row r="436" spans="1:14" ht="9" customHeight="1" x14ac:dyDescent="0.25">
      <c r="A436" s="105">
        <v>4</v>
      </c>
      <c r="B436" s="109"/>
      <c r="C436" s="106"/>
      <c r="D436" s="106"/>
      <c r="E436" s="106"/>
      <c r="F436" s="106"/>
      <c r="G436" s="106"/>
      <c r="H436" s="106"/>
      <c r="I436" s="106"/>
      <c r="J436" s="106"/>
      <c r="K436" s="106"/>
      <c r="L436" s="106"/>
      <c r="M436" s="106"/>
      <c r="N436" s="110"/>
    </row>
    <row r="437" spans="1:14" ht="9" customHeight="1" x14ac:dyDescent="0.25">
      <c r="A437" s="105">
        <v>5</v>
      </c>
      <c r="B437" s="109"/>
      <c r="C437" s="106"/>
      <c r="D437" s="106"/>
      <c r="E437" s="106"/>
      <c r="F437" s="106"/>
      <c r="G437" s="106"/>
      <c r="H437" s="106"/>
      <c r="I437" s="106"/>
      <c r="J437" s="106"/>
      <c r="K437" s="106"/>
      <c r="L437" s="106"/>
      <c r="M437" s="106"/>
      <c r="N437" s="110"/>
    </row>
    <row r="438" spans="1:14" ht="9" customHeight="1" x14ac:dyDescent="0.25">
      <c r="A438" s="105">
        <v>6</v>
      </c>
      <c r="B438" s="109"/>
      <c r="C438" s="106"/>
      <c r="D438" s="106"/>
      <c r="E438" s="106"/>
      <c r="F438" s="106"/>
      <c r="G438" s="106"/>
      <c r="H438" s="106"/>
      <c r="I438" s="106"/>
      <c r="J438" s="106"/>
      <c r="K438" s="106"/>
      <c r="L438" s="106"/>
      <c r="M438" s="106"/>
      <c r="N438" s="110"/>
    </row>
    <row r="439" spans="1:14" ht="9" customHeight="1" x14ac:dyDescent="0.25">
      <c r="A439" s="105">
        <v>7</v>
      </c>
      <c r="B439" s="109"/>
      <c r="C439" s="106"/>
      <c r="D439" s="106"/>
      <c r="E439" s="106"/>
      <c r="F439" s="106"/>
      <c r="G439" s="106"/>
      <c r="H439" s="106"/>
      <c r="I439" s="106"/>
      <c r="J439" s="106"/>
      <c r="K439" s="106"/>
      <c r="L439" s="106"/>
      <c r="M439" s="106"/>
      <c r="N439" s="110"/>
    </row>
    <row r="440" spans="1:14" ht="9" customHeight="1" x14ac:dyDescent="0.25">
      <c r="A440" s="105">
        <v>8</v>
      </c>
      <c r="B440" s="109"/>
      <c r="C440" s="106"/>
      <c r="D440" s="106"/>
      <c r="E440" s="106"/>
      <c r="F440" s="106"/>
      <c r="G440" s="106"/>
      <c r="H440" s="106"/>
      <c r="I440" s="106"/>
      <c r="J440" s="106"/>
      <c r="K440" s="106"/>
      <c r="L440" s="106"/>
      <c r="M440" s="106"/>
      <c r="N440" s="110"/>
    </row>
    <row r="441" spans="1:14" ht="9" customHeight="1" x14ac:dyDescent="0.25">
      <c r="A441" s="105">
        <v>9</v>
      </c>
      <c r="B441" s="109"/>
      <c r="C441" s="106"/>
      <c r="D441" s="106"/>
      <c r="E441" s="106"/>
      <c r="F441" s="106"/>
      <c r="G441" s="106"/>
      <c r="H441" s="106"/>
      <c r="I441" s="106"/>
      <c r="J441" s="106"/>
      <c r="K441" s="106"/>
      <c r="L441" s="106"/>
      <c r="M441" s="106"/>
      <c r="N441" s="110"/>
    </row>
    <row r="442" spans="1:14" ht="9" customHeight="1" x14ac:dyDescent="0.25">
      <c r="A442" s="105">
        <v>10</v>
      </c>
      <c r="B442" s="109"/>
      <c r="C442" s="106"/>
      <c r="D442" s="106"/>
      <c r="E442" s="106"/>
      <c r="F442" s="106"/>
      <c r="G442" s="106"/>
      <c r="H442" s="106"/>
      <c r="I442" s="106"/>
      <c r="J442" s="106"/>
      <c r="K442" s="106"/>
      <c r="L442" s="106"/>
      <c r="M442" s="106"/>
      <c r="N442" s="110"/>
    </row>
    <row r="443" spans="1:14" ht="9" customHeight="1" x14ac:dyDescent="0.25">
      <c r="A443" s="105">
        <v>11</v>
      </c>
      <c r="B443" s="109"/>
      <c r="C443" s="106"/>
      <c r="D443" s="106"/>
      <c r="E443" s="106"/>
      <c r="F443" s="106"/>
      <c r="G443" s="106"/>
      <c r="H443" s="106"/>
      <c r="I443" s="106"/>
      <c r="J443" s="106"/>
      <c r="K443" s="106"/>
      <c r="L443" s="106"/>
      <c r="M443" s="106"/>
      <c r="N443" s="110"/>
    </row>
    <row r="444" spans="1:14" ht="9" customHeight="1" x14ac:dyDescent="0.25">
      <c r="A444" s="105">
        <v>12</v>
      </c>
      <c r="B444" s="109"/>
      <c r="C444" s="106"/>
      <c r="D444" s="106"/>
      <c r="E444" s="106"/>
      <c r="F444" s="106"/>
      <c r="G444" s="106"/>
      <c r="H444" s="106"/>
      <c r="I444" s="106"/>
      <c r="J444" s="106"/>
      <c r="K444" s="106"/>
      <c r="L444" s="106"/>
      <c r="M444" s="106"/>
      <c r="N444" s="110"/>
    </row>
    <row r="445" spans="1:14" ht="9" customHeight="1" x14ac:dyDescent="0.25">
      <c r="A445" s="105">
        <v>13</v>
      </c>
      <c r="B445" s="109"/>
      <c r="C445" s="106"/>
      <c r="D445" s="106"/>
      <c r="E445" s="106"/>
      <c r="F445" s="106"/>
      <c r="G445" s="106"/>
      <c r="H445" s="106"/>
      <c r="I445" s="106"/>
      <c r="J445" s="106"/>
      <c r="K445" s="106"/>
      <c r="L445" s="106"/>
      <c r="M445" s="106"/>
      <c r="N445" s="110"/>
    </row>
    <row r="446" spans="1:14" ht="9" customHeight="1" x14ac:dyDescent="0.25">
      <c r="A446" s="105">
        <v>14</v>
      </c>
      <c r="B446" s="109"/>
      <c r="C446" s="106"/>
      <c r="D446" s="106"/>
      <c r="E446" s="106"/>
      <c r="F446" s="106"/>
      <c r="G446" s="106"/>
      <c r="H446" s="106"/>
      <c r="I446" s="106"/>
      <c r="J446" s="106"/>
      <c r="K446" s="106"/>
      <c r="L446" s="106"/>
      <c r="M446" s="106"/>
      <c r="N446" s="110"/>
    </row>
    <row r="447" spans="1:14" ht="9" customHeight="1" x14ac:dyDescent="0.25">
      <c r="A447" s="105">
        <v>15</v>
      </c>
      <c r="B447" s="109"/>
      <c r="C447" s="106"/>
      <c r="D447" s="106"/>
      <c r="E447" s="106"/>
      <c r="F447" s="106"/>
      <c r="G447" s="106"/>
      <c r="H447" s="106"/>
      <c r="I447" s="106"/>
      <c r="J447" s="106"/>
      <c r="K447" s="106"/>
      <c r="L447" s="106"/>
      <c r="M447" s="106"/>
      <c r="N447" s="110"/>
    </row>
    <row r="448" spans="1:14" ht="9" customHeight="1" x14ac:dyDescent="0.25">
      <c r="A448" s="105">
        <v>16</v>
      </c>
      <c r="B448" s="109"/>
      <c r="C448" s="106"/>
      <c r="D448" s="106"/>
      <c r="E448" s="106"/>
      <c r="F448" s="106"/>
      <c r="G448" s="106"/>
      <c r="H448" s="106"/>
      <c r="I448" s="106"/>
      <c r="J448" s="106"/>
      <c r="K448" s="106"/>
      <c r="L448" s="106"/>
      <c r="M448" s="106"/>
      <c r="N448" s="110"/>
    </row>
    <row r="449" spans="1:14" ht="9" customHeight="1" x14ac:dyDescent="0.25">
      <c r="A449" s="105">
        <v>17</v>
      </c>
      <c r="B449" s="109"/>
      <c r="C449" s="106"/>
      <c r="D449" s="106"/>
      <c r="E449" s="106"/>
      <c r="F449" s="106"/>
      <c r="G449" s="106"/>
      <c r="H449" s="106"/>
      <c r="I449" s="106"/>
      <c r="J449" s="106"/>
      <c r="K449" s="106"/>
      <c r="L449" s="106"/>
      <c r="M449" s="106"/>
      <c r="N449" s="110"/>
    </row>
    <row r="450" spans="1:14" ht="9" customHeight="1" x14ac:dyDescent="0.25">
      <c r="A450" s="105">
        <v>18</v>
      </c>
      <c r="B450" s="109"/>
      <c r="C450" s="106"/>
      <c r="D450" s="106"/>
      <c r="E450" s="106"/>
      <c r="F450" s="106"/>
      <c r="G450" s="106"/>
      <c r="H450" s="106"/>
      <c r="I450" s="106"/>
      <c r="J450" s="106"/>
      <c r="K450" s="106"/>
      <c r="L450" s="106"/>
      <c r="M450" s="106"/>
      <c r="N450" s="110"/>
    </row>
    <row r="451" spans="1:14" ht="9" customHeight="1" x14ac:dyDescent="0.25">
      <c r="A451" s="105">
        <v>19</v>
      </c>
      <c r="B451" s="109"/>
      <c r="C451" s="106"/>
      <c r="D451" s="106"/>
      <c r="E451" s="106"/>
      <c r="F451" s="106"/>
      <c r="G451" s="106"/>
      <c r="H451" s="106"/>
      <c r="I451" s="106"/>
      <c r="J451" s="106"/>
      <c r="K451" s="106"/>
      <c r="L451" s="106"/>
      <c r="M451" s="106"/>
      <c r="N451" s="110"/>
    </row>
    <row r="452" spans="1:14" ht="9" customHeight="1" x14ac:dyDescent="0.25">
      <c r="A452" s="105">
        <v>20</v>
      </c>
      <c r="B452" s="109"/>
      <c r="C452" s="106"/>
      <c r="D452" s="106"/>
      <c r="E452" s="106"/>
      <c r="F452" s="106"/>
      <c r="G452" s="106"/>
      <c r="H452" s="106"/>
      <c r="I452" s="106"/>
      <c r="J452" s="106"/>
      <c r="K452" s="106"/>
      <c r="L452" s="106"/>
      <c r="M452" s="106"/>
      <c r="N452" s="110"/>
    </row>
    <row r="453" spans="1:14" ht="9" customHeight="1" x14ac:dyDescent="0.25">
      <c r="A453" s="105">
        <v>21</v>
      </c>
      <c r="B453" s="109"/>
      <c r="C453" s="106"/>
      <c r="D453" s="106"/>
      <c r="E453" s="106"/>
      <c r="F453" s="106"/>
      <c r="G453" s="106"/>
      <c r="H453" s="106"/>
      <c r="I453" s="106"/>
      <c r="J453" s="106"/>
      <c r="K453" s="106"/>
      <c r="L453" s="106"/>
      <c r="M453" s="106"/>
      <c r="N453" s="110"/>
    </row>
    <row r="454" spans="1:14" ht="9" customHeight="1" x14ac:dyDescent="0.25">
      <c r="A454" s="105">
        <v>22</v>
      </c>
      <c r="B454" s="109"/>
      <c r="C454" s="106"/>
      <c r="D454" s="106"/>
      <c r="E454" s="106"/>
      <c r="F454" s="106"/>
      <c r="G454" s="106"/>
      <c r="H454" s="106"/>
      <c r="I454" s="106"/>
      <c r="J454" s="106"/>
      <c r="K454" s="106"/>
      <c r="L454" s="106"/>
      <c r="M454" s="106"/>
      <c r="N454" s="110"/>
    </row>
    <row r="455" spans="1:14" ht="9" customHeight="1" x14ac:dyDescent="0.25">
      <c r="A455" s="105">
        <v>23</v>
      </c>
      <c r="B455" s="109"/>
      <c r="C455" s="106"/>
      <c r="D455" s="106"/>
      <c r="E455" s="106"/>
      <c r="F455" s="106"/>
      <c r="G455" s="106"/>
      <c r="H455" s="106"/>
      <c r="I455" s="106"/>
      <c r="J455" s="106"/>
      <c r="K455" s="106"/>
      <c r="L455" s="106"/>
      <c r="M455" s="106"/>
      <c r="N455" s="110"/>
    </row>
    <row r="456" spans="1:14" ht="9" customHeight="1" x14ac:dyDescent="0.25">
      <c r="A456" s="105">
        <v>24</v>
      </c>
      <c r="B456" s="109"/>
      <c r="C456" s="106"/>
      <c r="D456" s="106"/>
      <c r="E456" s="106"/>
      <c r="F456" s="106"/>
      <c r="G456" s="106"/>
      <c r="H456" s="106"/>
      <c r="I456" s="106"/>
      <c r="J456" s="106"/>
      <c r="K456" s="106"/>
      <c r="L456" s="106"/>
      <c r="M456" s="106"/>
      <c r="N456" s="110"/>
    </row>
    <row r="457" spans="1:14" ht="9" customHeight="1" x14ac:dyDescent="0.25">
      <c r="A457" s="105">
        <v>25</v>
      </c>
      <c r="B457" s="109"/>
      <c r="C457" s="106"/>
      <c r="D457" s="106"/>
      <c r="E457" s="106"/>
      <c r="F457" s="106"/>
      <c r="G457" s="106"/>
      <c r="H457" s="106"/>
      <c r="I457" s="106"/>
      <c r="J457" s="106"/>
      <c r="K457" s="106"/>
      <c r="L457" s="106"/>
      <c r="M457" s="106"/>
      <c r="N457" s="110"/>
    </row>
    <row r="458" spans="1:14" ht="9" customHeight="1" x14ac:dyDescent="0.25">
      <c r="A458" s="105">
        <v>26</v>
      </c>
      <c r="B458" s="109"/>
      <c r="C458" s="106"/>
      <c r="D458" s="106"/>
      <c r="E458" s="106"/>
      <c r="F458" s="106"/>
      <c r="G458" s="106"/>
      <c r="H458" s="106"/>
      <c r="I458" s="106"/>
      <c r="J458" s="106"/>
      <c r="K458" s="106"/>
      <c r="L458" s="106"/>
      <c r="M458" s="106"/>
      <c r="N458" s="110"/>
    </row>
    <row r="459" spans="1:14" ht="9" customHeight="1" x14ac:dyDescent="0.25">
      <c r="A459" s="105">
        <v>27</v>
      </c>
      <c r="B459" s="109"/>
      <c r="C459" s="106"/>
      <c r="D459" s="106"/>
      <c r="E459" s="106"/>
      <c r="F459" s="106"/>
      <c r="G459" s="106"/>
      <c r="H459" s="106"/>
      <c r="I459" s="106"/>
      <c r="J459" s="106"/>
      <c r="K459" s="106"/>
      <c r="L459" s="106"/>
      <c r="M459" s="106"/>
      <c r="N459" s="110"/>
    </row>
    <row r="460" spans="1:14" ht="9" customHeight="1" x14ac:dyDescent="0.25">
      <c r="A460" s="105">
        <v>28</v>
      </c>
      <c r="B460" s="109"/>
      <c r="C460" s="106"/>
      <c r="D460" s="106"/>
      <c r="E460" s="106"/>
      <c r="F460" s="106"/>
      <c r="G460" s="106"/>
      <c r="H460" s="106"/>
      <c r="I460" s="106"/>
      <c r="J460" s="106"/>
      <c r="K460" s="106"/>
      <c r="L460" s="106"/>
      <c r="M460" s="106"/>
      <c r="N460" s="110"/>
    </row>
    <row r="461" spans="1:14" ht="9" customHeight="1" x14ac:dyDescent="0.25">
      <c r="A461" s="105">
        <v>29</v>
      </c>
      <c r="B461" s="109"/>
      <c r="C461" s="106"/>
      <c r="D461" s="106"/>
      <c r="E461" s="106"/>
      <c r="F461" s="106"/>
      <c r="G461" s="106"/>
      <c r="H461" s="106"/>
      <c r="I461" s="106"/>
      <c r="J461" s="106"/>
      <c r="K461" s="106"/>
      <c r="L461" s="106"/>
      <c r="M461" s="106"/>
      <c r="N461" s="110"/>
    </row>
    <row r="462" spans="1:14" ht="9" customHeight="1" x14ac:dyDescent="0.25">
      <c r="A462" s="105">
        <v>30</v>
      </c>
      <c r="B462" s="109"/>
      <c r="C462" s="106"/>
      <c r="D462" s="106"/>
      <c r="E462" s="106"/>
      <c r="F462" s="106"/>
      <c r="G462" s="106"/>
      <c r="H462" s="106"/>
      <c r="I462" s="106"/>
      <c r="J462" s="106"/>
      <c r="K462" s="106"/>
      <c r="L462" s="106"/>
      <c r="M462" s="106"/>
      <c r="N462" s="110"/>
    </row>
    <row r="463" spans="1:14" ht="9" customHeight="1" x14ac:dyDescent="0.25">
      <c r="A463" s="105">
        <v>31</v>
      </c>
      <c r="B463" s="109"/>
      <c r="C463" s="106"/>
      <c r="D463" s="106"/>
      <c r="E463" s="106"/>
      <c r="F463" s="106"/>
      <c r="G463" s="106"/>
      <c r="H463" s="106"/>
      <c r="I463" s="106"/>
      <c r="J463" s="106"/>
      <c r="K463" s="106"/>
      <c r="L463" s="106"/>
      <c r="M463" s="106"/>
      <c r="N463" s="110"/>
    </row>
    <row r="464" spans="1:14" ht="9" customHeight="1" x14ac:dyDescent="0.25">
      <c r="A464" s="105">
        <v>32</v>
      </c>
      <c r="B464" s="109"/>
      <c r="C464" s="106"/>
      <c r="D464" s="106"/>
      <c r="E464" s="106"/>
      <c r="F464" s="106"/>
      <c r="G464" s="106"/>
      <c r="H464" s="106"/>
      <c r="I464" s="106"/>
      <c r="J464" s="106"/>
      <c r="K464" s="106"/>
      <c r="L464" s="106"/>
      <c r="M464" s="106"/>
      <c r="N464" s="110"/>
    </row>
    <row r="465" spans="1:27" ht="9" customHeight="1" x14ac:dyDescent="0.25">
      <c r="A465" s="105">
        <v>33</v>
      </c>
      <c r="B465" s="109"/>
      <c r="C465" s="106"/>
      <c r="D465" s="106"/>
      <c r="E465" s="106"/>
      <c r="F465" s="106"/>
      <c r="G465" s="106"/>
      <c r="H465" s="106"/>
      <c r="I465" s="106"/>
      <c r="J465" s="106"/>
      <c r="K465" s="106"/>
      <c r="L465" s="106"/>
      <c r="M465" s="106"/>
      <c r="N465" s="110"/>
    </row>
    <row r="466" spans="1:27" ht="9" customHeight="1" x14ac:dyDescent="0.25">
      <c r="A466" s="105">
        <v>34</v>
      </c>
      <c r="B466" s="109"/>
      <c r="C466" s="106"/>
      <c r="D466" s="106"/>
      <c r="E466" s="106"/>
      <c r="F466" s="106"/>
      <c r="G466" s="106"/>
      <c r="H466" s="106"/>
      <c r="I466" s="106"/>
      <c r="J466" s="106"/>
      <c r="K466" s="106"/>
      <c r="L466" s="106"/>
      <c r="M466" s="106"/>
      <c r="N466" s="110"/>
    </row>
    <row r="467" spans="1:27" ht="9" customHeight="1" thickBot="1" x14ac:dyDescent="0.3">
      <c r="A467" s="105">
        <v>35</v>
      </c>
      <c r="B467" s="111"/>
      <c r="C467" s="112"/>
      <c r="D467" s="112"/>
      <c r="E467" s="112"/>
      <c r="F467" s="112"/>
      <c r="G467" s="112"/>
      <c r="H467" s="112"/>
      <c r="I467" s="112"/>
      <c r="J467" s="112"/>
      <c r="K467" s="112"/>
      <c r="L467" s="112"/>
      <c r="M467" s="112"/>
      <c r="N467" s="113"/>
    </row>
    <row r="469" spans="1:27" ht="15.75" thickBot="1" x14ac:dyDescent="0.3">
      <c r="A469" s="100"/>
      <c r="B469" s="101">
        <v>2</v>
      </c>
      <c r="C469" s="101">
        <v>3</v>
      </c>
      <c r="D469" s="101">
        <v>4</v>
      </c>
      <c r="E469" s="101">
        <v>5</v>
      </c>
      <c r="F469" s="101">
        <v>6</v>
      </c>
      <c r="G469" s="101">
        <v>7</v>
      </c>
      <c r="H469" s="101">
        <v>8</v>
      </c>
      <c r="I469" s="101">
        <v>9</v>
      </c>
      <c r="J469" s="101">
        <v>10</v>
      </c>
      <c r="K469" s="101">
        <v>11</v>
      </c>
      <c r="L469" s="101">
        <v>12</v>
      </c>
      <c r="M469" s="101">
        <v>13</v>
      </c>
      <c r="N469" s="101">
        <v>14</v>
      </c>
      <c r="O469" s="100">
        <v>15</v>
      </c>
      <c r="P469" s="100">
        <v>16</v>
      </c>
      <c r="Q469" s="100">
        <v>17</v>
      </c>
      <c r="R469" s="100">
        <v>18</v>
      </c>
      <c r="S469" s="100">
        <v>19</v>
      </c>
      <c r="T469" s="100">
        <v>20</v>
      </c>
      <c r="U469" s="100">
        <v>21</v>
      </c>
      <c r="V469" s="100">
        <v>22</v>
      </c>
      <c r="W469" s="100">
        <v>23</v>
      </c>
      <c r="X469" s="100">
        <v>24</v>
      </c>
      <c r="Y469" s="100">
        <v>25</v>
      </c>
      <c r="Z469" s="100">
        <v>26</v>
      </c>
      <c r="AA469" s="100">
        <v>27</v>
      </c>
    </row>
    <row r="470" spans="1:27" ht="15.75" thickBot="1" x14ac:dyDescent="0.3">
      <c r="B470" s="251" t="s">
        <v>217</v>
      </c>
      <c r="C470" s="252"/>
      <c r="D470" s="252"/>
      <c r="E470" s="114" t="s">
        <v>136</v>
      </c>
      <c r="F470" s="114">
        <f>VLOOKUP($E470,[1]Datos!$S$54:$T$74,2,0)</f>
        <v>39936</v>
      </c>
      <c r="G470" s="253" t="s">
        <v>202</v>
      </c>
      <c r="H470" s="253"/>
      <c r="I470" s="115"/>
      <c r="J470" s="115"/>
      <c r="K470" s="115"/>
      <c r="L470" s="115"/>
      <c r="M470" s="115"/>
      <c r="N470" s="116"/>
    </row>
    <row r="471" spans="1:27" ht="22.5" x14ac:dyDescent="0.25">
      <c r="B471" s="107" t="s">
        <v>184</v>
      </c>
      <c r="C471" s="102" t="s">
        <v>186</v>
      </c>
      <c r="D471" s="102" t="s">
        <v>200</v>
      </c>
      <c r="E471" s="102" t="s">
        <v>185</v>
      </c>
      <c r="F471" s="103" t="s">
        <v>187</v>
      </c>
      <c r="G471" s="103" t="s">
        <v>188</v>
      </c>
      <c r="H471" s="102" t="s">
        <v>190</v>
      </c>
      <c r="I471" s="102" t="s">
        <v>191</v>
      </c>
      <c r="J471" s="102" t="s">
        <v>192</v>
      </c>
      <c r="K471" s="102" t="s">
        <v>203</v>
      </c>
      <c r="L471" s="102" t="s">
        <v>204</v>
      </c>
      <c r="M471" s="104" t="s">
        <v>196</v>
      </c>
      <c r="N471" s="108" t="s">
        <v>205</v>
      </c>
    </row>
    <row r="472" spans="1:27" ht="9" customHeight="1" x14ac:dyDescent="0.25">
      <c r="A472" s="105">
        <v>1</v>
      </c>
      <c r="B472" s="109"/>
      <c r="C472" s="106"/>
      <c r="D472" s="106"/>
      <c r="E472" s="106"/>
      <c r="F472" s="106"/>
      <c r="G472" s="106"/>
      <c r="H472" s="106"/>
      <c r="I472" s="106"/>
      <c r="J472" s="106"/>
      <c r="K472" s="106"/>
      <c r="L472" s="106"/>
      <c r="M472" s="106"/>
      <c r="N472" s="110"/>
    </row>
    <row r="473" spans="1:27" ht="9" customHeight="1" x14ac:dyDescent="0.25">
      <c r="A473" s="105">
        <v>2</v>
      </c>
      <c r="B473" s="109"/>
      <c r="C473" s="106"/>
      <c r="D473" s="106"/>
      <c r="E473" s="106"/>
      <c r="F473" s="106"/>
      <c r="G473" s="106"/>
      <c r="H473" s="106"/>
      <c r="I473" s="106"/>
      <c r="J473" s="106"/>
      <c r="K473" s="106"/>
      <c r="L473" s="106"/>
      <c r="M473" s="106"/>
      <c r="N473" s="110"/>
    </row>
    <row r="474" spans="1:27" ht="9" customHeight="1" x14ac:dyDescent="0.25">
      <c r="A474" s="105">
        <v>3</v>
      </c>
      <c r="B474" s="109"/>
      <c r="C474" s="106"/>
      <c r="D474" s="106"/>
      <c r="E474" s="106"/>
      <c r="F474" s="106"/>
      <c r="G474" s="106"/>
      <c r="H474" s="106"/>
      <c r="I474" s="106"/>
      <c r="J474" s="106"/>
      <c r="K474" s="106"/>
      <c r="L474" s="106"/>
      <c r="M474" s="106"/>
      <c r="N474" s="110"/>
    </row>
    <row r="475" spans="1:27" ht="9" customHeight="1" x14ac:dyDescent="0.25">
      <c r="A475" s="105">
        <v>4</v>
      </c>
      <c r="B475" s="109"/>
      <c r="C475" s="106"/>
      <c r="D475" s="106"/>
      <c r="E475" s="106"/>
      <c r="F475" s="106"/>
      <c r="G475" s="106"/>
      <c r="H475" s="106"/>
      <c r="I475" s="106"/>
      <c r="J475" s="106"/>
      <c r="K475" s="106"/>
      <c r="L475" s="106"/>
      <c r="M475" s="106"/>
      <c r="N475" s="110"/>
    </row>
    <row r="476" spans="1:27" ht="9" customHeight="1" x14ac:dyDescent="0.25">
      <c r="A476" s="105">
        <v>5</v>
      </c>
      <c r="B476" s="109"/>
      <c r="C476" s="106"/>
      <c r="D476" s="106"/>
      <c r="E476" s="106"/>
      <c r="F476" s="106"/>
      <c r="G476" s="106"/>
      <c r="H476" s="106"/>
      <c r="I476" s="106"/>
      <c r="J476" s="106"/>
      <c r="K476" s="106"/>
      <c r="L476" s="106"/>
      <c r="M476" s="106"/>
      <c r="N476" s="110"/>
    </row>
    <row r="477" spans="1:27" ht="9" customHeight="1" x14ac:dyDescent="0.25">
      <c r="A477" s="105">
        <v>6</v>
      </c>
      <c r="B477" s="109"/>
      <c r="C477" s="106"/>
      <c r="D477" s="106"/>
      <c r="E477" s="106"/>
      <c r="F477" s="106"/>
      <c r="G477" s="106"/>
      <c r="H477" s="106"/>
      <c r="I477" s="106"/>
      <c r="J477" s="106"/>
      <c r="K477" s="106"/>
      <c r="L477" s="106"/>
      <c r="M477" s="106"/>
      <c r="N477" s="110"/>
    </row>
    <row r="478" spans="1:27" ht="9" customHeight="1" x14ac:dyDescent="0.25">
      <c r="A478" s="105">
        <v>7</v>
      </c>
      <c r="B478" s="109"/>
      <c r="C478" s="106"/>
      <c r="D478" s="106"/>
      <c r="E478" s="106"/>
      <c r="F478" s="106"/>
      <c r="G478" s="106"/>
      <c r="H478" s="106"/>
      <c r="I478" s="106"/>
      <c r="J478" s="106"/>
      <c r="K478" s="106"/>
      <c r="L478" s="106"/>
      <c r="M478" s="106"/>
      <c r="N478" s="110"/>
    </row>
    <row r="479" spans="1:27" ht="9" customHeight="1" x14ac:dyDescent="0.25">
      <c r="A479" s="105">
        <v>8</v>
      </c>
      <c r="B479" s="109"/>
      <c r="C479" s="106"/>
      <c r="D479" s="106"/>
      <c r="E479" s="106"/>
      <c r="F479" s="106"/>
      <c r="G479" s="106"/>
      <c r="H479" s="106"/>
      <c r="I479" s="106"/>
      <c r="J479" s="106"/>
      <c r="K479" s="106"/>
      <c r="L479" s="106"/>
      <c r="M479" s="106"/>
      <c r="N479" s="110"/>
    </row>
    <row r="480" spans="1:27" ht="9" customHeight="1" x14ac:dyDescent="0.25">
      <c r="A480" s="105">
        <v>9</v>
      </c>
      <c r="B480" s="109"/>
      <c r="C480" s="106"/>
      <c r="D480" s="106"/>
      <c r="E480" s="106"/>
      <c r="F480" s="106"/>
      <c r="G480" s="106"/>
      <c r="H480" s="106"/>
      <c r="I480" s="106"/>
      <c r="J480" s="106"/>
      <c r="K480" s="106"/>
      <c r="L480" s="106"/>
      <c r="M480" s="106"/>
      <c r="N480" s="110"/>
    </row>
    <row r="481" spans="1:14" ht="9" customHeight="1" x14ac:dyDescent="0.25">
      <c r="A481" s="105">
        <v>10</v>
      </c>
      <c r="B481" s="109"/>
      <c r="C481" s="106"/>
      <c r="D481" s="106"/>
      <c r="E481" s="106"/>
      <c r="F481" s="106"/>
      <c r="G481" s="106"/>
      <c r="H481" s="106"/>
      <c r="I481" s="106"/>
      <c r="J481" s="106"/>
      <c r="K481" s="106"/>
      <c r="L481" s="106"/>
      <c r="M481" s="106"/>
      <c r="N481" s="110"/>
    </row>
    <row r="482" spans="1:14" ht="9" customHeight="1" x14ac:dyDescent="0.25">
      <c r="A482" s="105">
        <v>11</v>
      </c>
      <c r="B482" s="109"/>
      <c r="C482" s="106"/>
      <c r="D482" s="106"/>
      <c r="E482" s="106"/>
      <c r="F482" s="106"/>
      <c r="G482" s="106"/>
      <c r="H482" s="106"/>
      <c r="I482" s="106"/>
      <c r="J482" s="106"/>
      <c r="K482" s="106"/>
      <c r="L482" s="106"/>
      <c r="M482" s="106"/>
      <c r="N482" s="110"/>
    </row>
    <row r="483" spans="1:14" ht="9" customHeight="1" x14ac:dyDescent="0.25">
      <c r="A483" s="105">
        <v>12</v>
      </c>
      <c r="B483" s="109"/>
      <c r="C483" s="106"/>
      <c r="D483" s="106"/>
      <c r="E483" s="106"/>
      <c r="F483" s="106"/>
      <c r="G483" s="106"/>
      <c r="H483" s="106"/>
      <c r="I483" s="106"/>
      <c r="J483" s="106"/>
      <c r="K483" s="106"/>
      <c r="L483" s="106"/>
      <c r="M483" s="106"/>
      <c r="N483" s="110"/>
    </row>
    <row r="484" spans="1:14" ht="9" customHeight="1" x14ac:dyDescent="0.25">
      <c r="A484" s="105">
        <v>13</v>
      </c>
      <c r="B484" s="109"/>
      <c r="C484" s="106"/>
      <c r="D484" s="106"/>
      <c r="E484" s="106"/>
      <c r="F484" s="106"/>
      <c r="G484" s="106"/>
      <c r="H484" s="106"/>
      <c r="I484" s="106"/>
      <c r="J484" s="106"/>
      <c r="K484" s="106"/>
      <c r="L484" s="106"/>
      <c r="M484" s="106"/>
      <c r="N484" s="110"/>
    </row>
    <row r="485" spans="1:14" ht="9" customHeight="1" x14ac:dyDescent="0.25">
      <c r="A485" s="105">
        <v>14</v>
      </c>
      <c r="B485" s="109"/>
      <c r="C485" s="106"/>
      <c r="D485" s="106"/>
      <c r="E485" s="106"/>
      <c r="F485" s="106"/>
      <c r="G485" s="106"/>
      <c r="H485" s="106"/>
      <c r="I485" s="106"/>
      <c r="J485" s="106"/>
      <c r="K485" s="106"/>
      <c r="L485" s="106"/>
      <c r="M485" s="106"/>
      <c r="N485" s="110"/>
    </row>
    <row r="486" spans="1:14" ht="9" customHeight="1" x14ac:dyDescent="0.25">
      <c r="A486" s="105">
        <v>15</v>
      </c>
      <c r="B486" s="109"/>
      <c r="C486" s="106"/>
      <c r="D486" s="106"/>
      <c r="E486" s="106"/>
      <c r="F486" s="106"/>
      <c r="G486" s="106"/>
      <c r="H486" s="106"/>
      <c r="I486" s="106"/>
      <c r="J486" s="106"/>
      <c r="K486" s="106"/>
      <c r="L486" s="106"/>
      <c r="M486" s="106"/>
      <c r="N486" s="110"/>
    </row>
    <row r="487" spans="1:14" ht="9" customHeight="1" x14ac:dyDescent="0.25">
      <c r="A487" s="105">
        <v>16</v>
      </c>
      <c r="B487" s="109"/>
      <c r="C487" s="106"/>
      <c r="D487" s="106"/>
      <c r="E487" s="106"/>
      <c r="F487" s="106"/>
      <c r="G487" s="106"/>
      <c r="H487" s="106"/>
      <c r="I487" s="106"/>
      <c r="J487" s="106"/>
      <c r="K487" s="106"/>
      <c r="L487" s="106"/>
      <c r="M487" s="106"/>
      <c r="N487" s="110"/>
    </row>
    <row r="488" spans="1:14" ht="9" customHeight="1" x14ac:dyDescent="0.25">
      <c r="A488" s="105">
        <v>17</v>
      </c>
      <c r="B488" s="109"/>
      <c r="C488" s="106"/>
      <c r="D488" s="106"/>
      <c r="E488" s="106"/>
      <c r="F488" s="106"/>
      <c r="G488" s="106"/>
      <c r="H488" s="106"/>
      <c r="I488" s="106"/>
      <c r="J488" s="106"/>
      <c r="K488" s="106"/>
      <c r="L488" s="106"/>
      <c r="M488" s="106"/>
      <c r="N488" s="110"/>
    </row>
    <row r="489" spans="1:14" ht="9" customHeight="1" x14ac:dyDescent="0.25">
      <c r="A489" s="105">
        <v>18</v>
      </c>
      <c r="B489" s="109"/>
      <c r="C489" s="106"/>
      <c r="D489" s="106"/>
      <c r="E489" s="106"/>
      <c r="F489" s="106"/>
      <c r="G489" s="106"/>
      <c r="H489" s="106"/>
      <c r="I489" s="106"/>
      <c r="J489" s="106"/>
      <c r="K489" s="106"/>
      <c r="L489" s="106"/>
      <c r="M489" s="106"/>
      <c r="N489" s="110"/>
    </row>
    <row r="490" spans="1:14" ht="9" customHeight="1" x14ac:dyDescent="0.25">
      <c r="A490" s="105">
        <v>19</v>
      </c>
      <c r="B490" s="109"/>
      <c r="C490" s="106"/>
      <c r="D490" s="106"/>
      <c r="E490" s="106"/>
      <c r="F490" s="106"/>
      <c r="G490" s="106"/>
      <c r="H490" s="106"/>
      <c r="I490" s="106"/>
      <c r="J490" s="106"/>
      <c r="K490" s="106"/>
      <c r="L490" s="106"/>
      <c r="M490" s="106"/>
      <c r="N490" s="110"/>
    </row>
    <row r="491" spans="1:14" ht="9" customHeight="1" x14ac:dyDescent="0.25">
      <c r="A491" s="105">
        <v>20</v>
      </c>
      <c r="B491" s="109"/>
      <c r="C491" s="106"/>
      <c r="D491" s="106"/>
      <c r="E491" s="106"/>
      <c r="F491" s="106"/>
      <c r="G491" s="106"/>
      <c r="H491" s="106"/>
      <c r="I491" s="106"/>
      <c r="J491" s="106"/>
      <c r="K491" s="106"/>
      <c r="L491" s="106"/>
      <c r="M491" s="106"/>
      <c r="N491" s="110"/>
    </row>
    <row r="492" spans="1:14" ht="9" customHeight="1" x14ac:dyDescent="0.25">
      <c r="A492" s="105">
        <v>21</v>
      </c>
      <c r="B492" s="109"/>
      <c r="C492" s="106"/>
      <c r="D492" s="106"/>
      <c r="E492" s="106"/>
      <c r="F492" s="106"/>
      <c r="G492" s="106"/>
      <c r="H492" s="106"/>
      <c r="I492" s="106"/>
      <c r="J492" s="106"/>
      <c r="K492" s="106"/>
      <c r="L492" s="106"/>
      <c r="M492" s="106"/>
      <c r="N492" s="110"/>
    </row>
    <row r="493" spans="1:14" ht="9" customHeight="1" x14ac:dyDescent="0.25">
      <c r="A493" s="105">
        <v>22</v>
      </c>
      <c r="B493" s="109"/>
      <c r="C493" s="106"/>
      <c r="D493" s="106"/>
      <c r="E493" s="106"/>
      <c r="F493" s="106"/>
      <c r="G493" s="106"/>
      <c r="H493" s="106"/>
      <c r="I493" s="106"/>
      <c r="J493" s="106"/>
      <c r="K493" s="106"/>
      <c r="L493" s="106"/>
      <c r="M493" s="106"/>
      <c r="N493" s="110"/>
    </row>
    <row r="494" spans="1:14" ht="9" customHeight="1" x14ac:dyDescent="0.25">
      <c r="A494" s="105">
        <v>23</v>
      </c>
      <c r="B494" s="109"/>
      <c r="C494" s="106"/>
      <c r="D494" s="106"/>
      <c r="E494" s="106"/>
      <c r="F494" s="106"/>
      <c r="G494" s="106"/>
      <c r="H494" s="106"/>
      <c r="I494" s="106"/>
      <c r="J494" s="106"/>
      <c r="K494" s="106"/>
      <c r="L494" s="106"/>
      <c r="M494" s="106"/>
      <c r="N494" s="110"/>
    </row>
    <row r="495" spans="1:14" ht="9" customHeight="1" x14ac:dyDescent="0.25">
      <c r="A495" s="105">
        <v>24</v>
      </c>
      <c r="B495" s="109"/>
      <c r="C495" s="106"/>
      <c r="D495" s="106"/>
      <c r="E495" s="106"/>
      <c r="F495" s="106"/>
      <c r="G495" s="106"/>
      <c r="H495" s="106"/>
      <c r="I495" s="106"/>
      <c r="J495" s="106"/>
      <c r="K495" s="106"/>
      <c r="L495" s="106"/>
      <c r="M495" s="106"/>
      <c r="N495" s="110"/>
    </row>
    <row r="496" spans="1:14" ht="9" customHeight="1" x14ac:dyDescent="0.25">
      <c r="A496" s="105">
        <v>25</v>
      </c>
      <c r="B496" s="109"/>
      <c r="C496" s="106"/>
      <c r="D496" s="106"/>
      <c r="E496" s="106"/>
      <c r="F496" s="106"/>
      <c r="G496" s="106"/>
      <c r="H496" s="106"/>
      <c r="I496" s="106"/>
      <c r="J496" s="106"/>
      <c r="K496" s="106"/>
      <c r="L496" s="106"/>
      <c r="M496" s="106"/>
      <c r="N496" s="110"/>
    </row>
    <row r="497" spans="1:27" ht="9" customHeight="1" x14ac:dyDescent="0.25">
      <c r="A497" s="105">
        <v>26</v>
      </c>
      <c r="B497" s="109"/>
      <c r="C497" s="106"/>
      <c r="D497" s="106"/>
      <c r="E497" s="106"/>
      <c r="F497" s="106"/>
      <c r="G497" s="106"/>
      <c r="H497" s="106"/>
      <c r="I497" s="106"/>
      <c r="J497" s="106"/>
      <c r="K497" s="106"/>
      <c r="L497" s="106"/>
      <c r="M497" s="106"/>
      <c r="N497" s="110"/>
    </row>
    <row r="498" spans="1:27" ht="9" customHeight="1" x14ac:dyDescent="0.25">
      <c r="A498" s="105">
        <v>27</v>
      </c>
      <c r="B498" s="109"/>
      <c r="C498" s="106"/>
      <c r="D498" s="106"/>
      <c r="E498" s="106"/>
      <c r="F498" s="106"/>
      <c r="G498" s="106"/>
      <c r="H498" s="106"/>
      <c r="I498" s="106"/>
      <c r="J498" s="106"/>
      <c r="K498" s="106"/>
      <c r="L498" s="106"/>
      <c r="M498" s="106"/>
      <c r="N498" s="110"/>
    </row>
    <row r="499" spans="1:27" ht="9" customHeight="1" x14ac:dyDescent="0.25">
      <c r="A499" s="105">
        <v>28</v>
      </c>
      <c r="B499" s="109"/>
      <c r="C499" s="106"/>
      <c r="D499" s="106"/>
      <c r="E499" s="106"/>
      <c r="F499" s="106"/>
      <c r="G499" s="106"/>
      <c r="H499" s="106"/>
      <c r="I499" s="106"/>
      <c r="J499" s="106"/>
      <c r="K499" s="106"/>
      <c r="L499" s="106"/>
      <c r="M499" s="106"/>
      <c r="N499" s="110"/>
    </row>
    <row r="500" spans="1:27" ht="9" customHeight="1" x14ac:dyDescent="0.25">
      <c r="A500" s="105">
        <v>29</v>
      </c>
      <c r="B500" s="109"/>
      <c r="C500" s="106"/>
      <c r="D500" s="106"/>
      <c r="E500" s="106"/>
      <c r="F500" s="106"/>
      <c r="G500" s="106"/>
      <c r="H500" s="106"/>
      <c r="I500" s="106"/>
      <c r="J500" s="106"/>
      <c r="K500" s="106"/>
      <c r="L500" s="106"/>
      <c r="M500" s="106"/>
      <c r="N500" s="110"/>
    </row>
    <row r="501" spans="1:27" ht="9" customHeight="1" x14ac:dyDescent="0.25">
      <c r="A501" s="105">
        <v>30</v>
      </c>
      <c r="B501" s="109"/>
      <c r="C501" s="106"/>
      <c r="D501" s="106"/>
      <c r="E501" s="106"/>
      <c r="F501" s="106"/>
      <c r="G501" s="106"/>
      <c r="H501" s="106"/>
      <c r="I501" s="106"/>
      <c r="J501" s="106"/>
      <c r="K501" s="106"/>
      <c r="L501" s="106"/>
      <c r="M501" s="106"/>
      <c r="N501" s="110"/>
    </row>
    <row r="502" spans="1:27" ht="9" customHeight="1" x14ac:dyDescent="0.25">
      <c r="A502" s="105">
        <v>31</v>
      </c>
      <c r="B502" s="109"/>
      <c r="C502" s="106"/>
      <c r="D502" s="106"/>
      <c r="E502" s="106"/>
      <c r="F502" s="106"/>
      <c r="G502" s="106"/>
      <c r="H502" s="106"/>
      <c r="I502" s="106"/>
      <c r="J502" s="106"/>
      <c r="K502" s="106"/>
      <c r="L502" s="106"/>
      <c r="M502" s="106"/>
      <c r="N502" s="110"/>
    </row>
    <row r="503" spans="1:27" ht="9" customHeight="1" x14ac:dyDescent="0.25">
      <c r="A503" s="105">
        <v>32</v>
      </c>
      <c r="B503" s="109"/>
      <c r="C503" s="106"/>
      <c r="D503" s="106"/>
      <c r="E503" s="106"/>
      <c r="F503" s="106"/>
      <c r="G503" s="106"/>
      <c r="H503" s="106"/>
      <c r="I503" s="106"/>
      <c r="J503" s="106"/>
      <c r="K503" s="106"/>
      <c r="L503" s="106"/>
      <c r="M503" s="106"/>
      <c r="N503" s="110"/>
    </row>
    <row r="504" spans="1:27" ht="9" customHeight="1" x14ac:dyDescent="0.25">
      <c r="A504" s="105">
        <v>33</v>
      </c>
      <c r="B504" s="109"/>
      <c r="C504" s="106"/>
      <c r="D504" s="106"/>
      <c r="E504" s="106"/>
      <c r="F504" s="106"/>
      <c r="G504" s="106"/>
      <c r="H504" s="106"/>
      <c r="I504" s="106"/>
      <c r="J504" s="106"/>
      <c r="K504" s="106"/>
      <c r="L504" s="106"/>
      <c r="M504" s="106"/>
      <c r="N504" s="110"/>
    </row>
    <row r="505" spans="1:27" ht="9" customHeight="1" x14ac:dyDescent="0.25">
      <c r="A505" s="105">
        <v>34</v>
      </c>
      <c r="B505" s="109"/>
      <c r="C505" s="106"/>
      <c r="D505" s="106"/>
      <c r="E505" s="106"/>
      <c r="F505" s="106"/>
      <c r="G505" s="106"/>
      <c r="H505" s="106"/>
      <c r="I505" s="106"/>
      <c r="J505" s="106"/>
      <c r="K505" s="106"/>
      <c r="L505" s="106"/>
      <c r="M505" s="106"/>
      <c r="N505" s="110"/>
    </row>
    <row r="506" spans="1:27" ht="9" customHeight="1" thickBot="1" x14ac:dyDescent="0.3">
      <c r="A506" s="105">
        <v>35</v>
      </c>
      <c r="B506" s="111"/>
      <c r="C506" s="112"/>
      <c r="D506" s="112"/>
      <c r="E506" s="112"/>
      <c r="F506" s="112"/>
      <c r="G506" s="112"/>
      <c r="H506" s="112"/>
      <c r="I506" s="112"/>
      <c r="J506" s="112"/>
      <c r="K506" s="112"/>
      <c r="L506" s="112"/>
      <c r="M506" s="112"/>
      <c r="N506" s="113"/>
    </row>
    <row r="508" spans="1:27" ht="15.75" thickBot="1" x14ac:dyDescent="0.3">
      <c r="A508" s="100"/>
      <c r="B508" s="101">
        <v>2</v>
      </c>
      <c r="C508" s="101">
        <v>3</v>
      </c>
      <c r="D508" s="101">
        <v>4</v>
      </c>
      <c r="E508" s="101">
        <v>5</v>
      </c>
      <c r="F508" s="101">
        <v>6</v>
      </c>
      <c r="G508" s="101">
        <v>7</v>
      </c>
      <c r="H508" s="101">
        <v>8</v>
      </c>
      <c r="I508" s="101">
        <v>9</v>
      </c>
      <c r="J508" s="101">
        <v>10</v>
      </c>
      <c r="K508" s="101">
        <v>11</v>
      </c>
      <c r="L508" s="101">
        <v>12</v>
      </c>
      <c r="M508" s="101">
        <v>13</v>
      </c>
      <c r="N508" s="101">
        <v>14</v>
      </c>
      <c r="O508" s="100">
        <v>15</v>
      </c>
      <c r="P508" s="100">
        <v>16</v>
      </c>
      <c r="Q508" s="100">
        <v>17</v>
      </c>
      <c r="R508" s="100">
        <v>18</v>
      </c>
      <c r="S508" s="100">
        <v>19</v>
      </c>
      <c r="T508" s="100">
        <v>20</v>
      </c>
      <c r="U508" s="100">
        <v>21</v>
      </c>
      <c r="V508" s="100">
        <v>22</v>
      </c>
      <c r="W508" s="100">
        <v>23</v>
      </c>
      <c r="X508" s="100">
        <v>24</v>
      </c>
      <c r="Y508" s="100">
        <v>25</v>
      </c>
      <c r="Z508" s="100">
        <v>26</v>
      </c>
      <c r="AA508" s="100">
        <v>27</v>
      </c>
    </row>
    <row r="509" spans="1:27" ht="15.75" thickBot="1" x14ac:dyDescent="0.3">
      <c r="B509" s="251" t="s">
        <v>218</v>
      </c>
      <c r="C509" s="252"/>
      <c r="D509" s="252"/>
      <c r="E509" s="114" t="s">
        <v>136</v>
      </c>
      <c r="F509" s="114">
        <f>VLOOKUP($E509,[1]Datos!$S$54:$T$74,2,0)</f>
        <v>39936</v>
      </c>
      <c r="G509" s="253" t="s">
        <v>202</v>
      </c>
      <c r="H509" s="253"/>
      <c r="I509" s="115"/>
      <c r="J509" s="115"/>
      <c r="K509" s="115"/>
      <c r="L509" s="115"/>
      <c r="M509" s="115"/>
      <c r="N509" s="116"/>
    </row>
    <row r="510" spans="1:27" ht="22.5" x14ac:dyDescent="0.25">
      <c r="B510" s="107" t="s">
        <v>184</v>
      </c>
      <c r="C510" s="102" t="s">
        <v>186</v>
      </c>
      <c r="D510" s="102" t="s">
        <v>200</v>
      </c>
      <c r="E510" s="102" t="s">
        <v>185</v>
      </c>
      <c r="F510" s="103" t="s">
        <v>187</v>
      </c>
      <c r="G510" s="103" t="s">
        <v>188</v>
      </c>
      <c r="H510" s="102" t="s">
        <v>190</v>
      </c>
      <c r="I510" s="102" t="s">
        <v>191</v>
      </c>
      <c r="J510" s="102" t="s">
        <v>192</v>
      </c>
      <c r="K510" s="102" t="s">
        <v>203</v>
      </c>
      <c r="L510" s="102" t="s">
        <v>204</v>
      </c>
      <c r="M510" s="104" t="s">
        <v>196</v>
      </c>
      <c r="N510" s="108" t="s">
        <v>205</v>
      </c>
    </row>
    <row r="511" spans="1:27" ht="9" customHeight="1" x14ac:dyDescent="0.25">
      <c r="A511" s="105">
        <v>1</v>
      </c>
      <c r="B511" s="109"/>
      <c r="C511" s="106"/>
      <c r="D511" s="106"/>
      <c r="E511" s="106"/>
      <c r="F511" s="106"/>
      <c r="G511" s="106"/>
      <c r="H511" s="106"/>
      <c r="I511" s="106"/>
      <c r="J511" s="106"/>
      <c r="K511" s="106"/>
      <c r="L511" s="106"/>
      <c r="M511" s="106"/>
      <c r="N511" s="110"/>
    </row>
    <row r="512" spans="1:27" ht="9" customHeight="1" x14ac:dyDescent="0.25">
      <c r="A512" s="105">
        <v>2</v>
      </c>
      <c r="B512" s="109"/>
      <c r="C512" s="106"/>
      <c r="D512" s="106"/>
      <c r="E512" s="106"/>
      <c r="F512" s="106"/>
      <c r="G512" s="106"/>
      <c r="H512" s="106"/>
      <c r="I512" s="106"/>
      <c r="J512" s="106"/>
      <c r="K512" s="106"/>
      <c r="L512" s="106"/>
      <c r="M512" s="106"/>
      <c r="N512" s="110"/>
    </row>
    <row r="513" spans="1:14" ht="9" customHeight="1" x14ac:dyDescent="0.25">
      <c r="A513" s="105">
        <v>3</v>
      </c>
      <c r="B513" s="109"/>
      <c r="C513" s="106"/>
      <c r="D513" s="106"/>
      <c r="E513" s="106"/>
      <c r="F513" s="106"/>
      <c r="G513" s="106"/>
      <c r="H513" s="106"/>
      <c r="I513" s="106"/>
      <c r="J513" s="106"/>
      <c r="K513" s="106"/>
      <c r="L513" s="106"/>
      <c r="M513" s="106"/>
      <c r="N513" s="110"/>
    </row>
    <row r="514" spans="1:14" ht="9" customHeight="1" x14ac:dyDescent="0.25">
      <c r="A514" s="105">
        <v>4</v>
      </c>
      <c r="B514" s="109"/>
      <c r="C514" s="106"/>
      <c r="D514" s="106"/>
      <c r="E514" s="106"/>
      <c r="F514" s="106"/>
      <c r="G514" s="106"/>
      <c r="H514" s="106"/>
      <c r="I514" s="106"/>
      <c r="J514" s="106"/>
      <c r="K514" s="106"/>
      <c r="L514" s="106"/>
      <c r="M514" s="106"/>
      <c r="N514" s="110"/>
    </row>
    <row r="515" spans="1:14" ht="9" customHeight="1" x14ac:dyDescent="0.25">
      <c r="A515" s="105">
        <v>5</v>
      </c>
      <c r="B515" s="109"/>
      <c r="C515" s="106"/>
      <c r="D515" s="106"/>
      <c r="E515" s="106"/>
      <c r="F515" s="106"/>
      <c r="G515" s="106"/>
      <c r="H515" s="106"/>
      <c r="I515" s="106"/>
      <c r="J515" s="106"/>
      <c r="K515" s="106"/>
      <c r="L515" s="106"/>
      <c r="M515" s="106"/>
      <c r="N515" s="110"/>
    </row>
    <row r="516" spans="1:14" ht="9" customHeight="1" x14ac:dyDescent="0.25">
      <c r="A516" s="105">
        <v>6</v>
      </c>
      <c r="B516" s="109"/>
      <c r="C516" s="106"/>
      <c r="D516" s="106"/>
      <c r="E516" s="106"/>
      <c r="F516" s="106"/>
      <c r="G516" s="106"/>
      <c r="H516" s="106"/>
      <c r="I516" s="106"/>
      <c r="J516" s="106"/>
      <c r="K516" s="106"/>
      <c r="L516" s="106"/>
      <c r="M516" s="106"/>
      <c r="N516" s="110"/>
    </row>
    <row r="517" spans="1:14" ht="9" customHeight="1" x14ac:dyDescent="0.25">
      <c r="A517" s="105">
        <v>7</v>
      </c>
      <c r="B517" s="109"/>
      <c r="C517" s="106"/>
      <c r="D517" s="106"/>
      <c r="E517" s="106"/>
      <c r="F517" s="106"/>
      <c r="G517" s="106"/>
      <c r="H517" s="106"/>
      <c r="I517" s="106"/>
      <c r="J517" s="106"/>
      <c r="K517" s="106"/>
      <c r="L517" s="106"/>
      <c r="M517" s="106"/>
      <c r="N517" s="110"/>
    </row>
    <row r="518" spans="1:14" ht="9" customHeight="1" x14ac:dyDescent="0.25">
      <c r="A518" s="105">
        <v>8</v>
      </c>
      <c r="B518" s="109"/>
      <c r="C518" s="106"/>
      <c r="D518" s="106"/>
      <c r="E518" s="106"/>
      <c r="F518" s="106"/>
      <c r="G518" s="106"/>
      <c r="H518" s="106"/>
      <c r="I518" s="106"/>
      <c r="J518" s="106"/>
      <c r="K518" s="106"/>
      <c r="L518" s="106"/>
      <c r="M518" s="106"/>
      <c r="N518" s="110"/>
    </row>
    <row r="519" spans="1:14" ht="9" customHeight="1" x14ac:dyDescent="0.25">
      <c r="A519" s="105">
        <v>9</v>
      </c>
      <c r="B519" s="109"/>
      <c r="C519" s="106"/>
      <c r="D519" s="106"/>
      <c r="E519" s="106"/>
      <c r="F519" s="106"/>
      <c r="G519" s="106"/>
      <c r="H519" s="106"/>
      <c r="I519" s="106"/>
      <c r="J519" s="106"/>
      <c r="K519" s="106"/>
      <c r="L519" s="106"/>
      <c r="M519" s="106"/>
      <c r="N519" s="110"/>
    </row>
    <row r="520" spans="1:14" ht="9" customHeight="1" x14ac:dyDescent="0.25">
      <c r="A520" s="105">
        <v>10</v>
      </c>
      <c r="B520" s="109"/>
      <c r="C520" s="106"/>
      <c r="D520" s="106"/>
      <c r="E520" s="106"/>
      <c r="F520" s="106"/>
      <c r="G520" s="106"/>
      <c r="H520" s="106"/>
      <c r="I520" s="106"/>
      <c r="J520" s="106"/>
      <c r="K520" s="106"/>
      <c r="L520" s="106"/>
      <c r="M520" s="106"/>
      <c r="N520" s="110"/>
    </row>
    <row r="521" spans="1:14" ht="9" customHeight="1" x14ac:dyDescent="0.25">
      <c r="A521" s="105">
        <v>11</v>
      </c>
      <c r="B521" s="109"/>
      <c r="C521" s="106"/>
      <c r="D521" s="106"/>
      <c r="E521" s="106"/>
      <c r="F521" s="106"/>
      <c r="G521" s="106"/>
      <c r="H521" s="106"/>
      <c r="I521" s="106"/>
      <c r="J521" s="106"/>
      <c r="K521" s="106"/>
      <c r="L521" s="106"/>
      <c r="M521" s="106"/>
      <c r="N521" s="110"/>
    </row>
    <row r="522" spans="1:14" ht="9" customHeight="1" x14ac:dyDescent="0.25">
      <c r="A522" s="105">
        <v>12</v>
      </c>
      <c r="B522" s="109"/>
      <c r="C522" s="106"/>
      <c r="D522" s="106"/>
      <c r="E522" s="106"/>
      <c r="F522" s="106"/>
      <c r="G522" s="106"/>
      <c r="H522" s="106"/>
      <c r="I522" s="106"/>
      <c r="J522" s="106"/>
      <c r="K522" s="106"/>
      <c r="L522" s="106"/>
      <c r="M522" s="106"/>
      <c r="N522" s="110"/>
    </row>
    <row r="523" spans="1:14" ht="9" customHeight="1" x14ac:dyDescent="0.25">
      <c r="A523" s="105">
        <v>13</v>
      </c>
      <c r="B523" s="109"/>
      <c r="C523" s="106"/>
      <c r="D523" s="106"/>
      <c r="E523" s="106"/>
      <c r="F523" s="106"/>
      <c r="G523" s="106"/>
      <c r="H523" s="106"/>
      <c r="I523" s="106"/>
      <c r="J523" s="106"/>
      <c r="K523" s="106"/>
      <c r="L523" s="106"/>
      <c r="M523" s="106"/>
      <c r="N523" s="110"/>
    </row>
    <row r="524" spans="1:14" ht="9" customHeight="1" x14ac:dyDescent="0.25">
      <c r="A524" s="105">
        <v>14</v>
      </c>
      <c r="B524" s="109"/>
      <c r="C524" s="106"/>
      <c r="D524" s="106"/>
      <c r="E524" s="106"/>
      <c r="F524" s="106"/>
      <c r="G524" s="106"/>
      <c r="H524" s="106"/>
      <c r="I524" s="106"/>
      <c r="J524" s="106"/>
      <c r="K524" s="106"/>
      <c r="L524" s="106"/>
      <c r="M524" s="106"/>
      <c r="N524" s="110"/>
    </row>
    <row r="525" spans="1:14" ht="9" customHeight="1" x14ac:dyDescent="0.25">
      <c r="A525" s="105">
        <v>15</v>
      </c>
      <c r="B525" s="109"/>
      <c r="C525" s="106"/>
      <c r="D525" s="106"/>
      <c r="E525" s="106"/>
      <c r="F525" s="106"/>
      <c r="G525" s="106"/>
      <c r="H525" s="106"/>
      <c r="I525" s="106"/>
      <c r="J525" s="106"/>
      <c r="K525" s="106"/>
      <c r="L525" s="106"/>
      <c r="M525" s="106"/>
      <c r="N525" s="110"/>
    </row>
    <row r="526" spans="1:14" ht="9" customHeight="1" x14ac:dyDescent="0.25">
      <c r="A526" s="105">
        <v>16</v>
      </c>
      <c r="B526" s="109"/>
      <c r="C526" s="106"/>
      <c r="D526" s="106"/>
      <c r="E526" s="106"/>
      <c r="F526" s="106"/>
      <c r="G526" s="106"/>
      <c r="H526" s="106"/>
      <c r="I526" s="106"/>
      <c r="J526" s="106"/>
      <c r="K526" s="106"/>
      <c r="L526" s="106"/>
      <c r="M526" s="106"/>
      <c r="N526" s="110"/>
    </row>
    <row r="527" spans="1:14" ht="9" customHeight="1" x14ac:dyDescent="0.25">
      <c r="A527" s="105">
        <v>17</v>
      </c>
      <c r="B527" s="109"/>
      <c r="C527" s="106"/>
      <c r="D527" s="106"/>
      <c r="E527" s="106"/>
      <c r="F527" s="106"/>
      <c r="G527" s="106"/>
      <c r="H527" s="106"/>
      <c r="I527" s="106"/>
      <c r="J527" s="106"/>
      <c r="K527" s="106"/>
      <c r="L527" s="106"/>
      <c r="M527" s="106"/>
      <c r="N527" s="110"/>
    </row>
    <row r="528" spans="1:14" ht="9" customHeight="1" x14ac:dyDescent="0.25">
      <c r="A528" s="105">
        <v>18</v>
      </c>
      <c r="B528" s="109"/>
      <c r="C528" s="106"/>
      <c r="D528" s="106"/>
      <c r="E528" s="106"/>
      <c r="F528" s="106"/>
      <c r="G528" s="106"/>
      <c r="H528" s="106"/>
      <c r="I528" s="106"/>
      <c r="J528" s="106"/>
      <c r="K528" s="106"/>
      <c r="L528" s="106"/>
      <c r="M528" s="106"/>
      <c r="N528" s="110"/>
    </row>
    <row r="529" spans="1:14" ht="9" customHeight="1" x14ac:dyDescent="0.25">
      <c r="A529" s="105">
        <v>19</v>
      </c>
      <c r="B529" s="109"/>
      <c r="C529" s="106"/>
      <c r="D529" s="106"/>
      <c r="E529" s="106"/>
      <c r="F529" s="106"/>
      <c r="G529" s="106"/>
      <c r="H529" s="106"/>
      <c r="I529" s="106"/>
      <c r="J529" s="106"/>
      <c r="K529" s="106"/>
      <c r="L529" s="106"/>
      <c r="M529" s="106"/>
      <c r="N529" s="110"/>
    </row>
    <row r="530" spans="1:14" ht="9" customHeight="1" x14ac:dyDescent="0.25">
      <c r="A530" s="105">
        <v>20</v>
      </c>
      <c r="B530" s="109"/>
      <c r="C530" s="106"/>
      <c r="D530" s="106"/>
      <c r="E530" s="106"/>
      <c r="F530" s="106"/>
      <c r="G530" s="106"/>
      <c r="H530" s="106"/>
      <c r="I530" s="106"/>
      <c r="J530" s="106"/>
      <c r="K530" s="106"/>
      <c r="L530" s="106"/>
      <c r="M530" s="106"/>
      <c r="N530" s="110"/>
    </row>
    <row r="531" spans="1:14" ht="9" customHeight="1" x14ac:dyDescent="0.25">
      <c r="A531" s="105">
        <v>21</v>
      </c>
      <c r="B531" s="109"/>
      <c r="C531" s="106"/>
      <c r="D531" s="106"/>
      <c r="E531" s="106"/>
      <c r="F531" s="106"/>
      <c r="G531" s="106"/>
      <c r="H531" s="106"/>
      <c r="I531" s="106"/>
      <c r="J531" s="106"/>
      <c r="K531" s="106"/>
      <c r="L531" s="106"/>
      <c r="M531" s="106"/>
      <c r="N531" s="110"/>
    </row>
    <row r="532" spans="1:14" ht="9" customHeight="1" x14ac:dyDescent="0.25">
      <c r="A532" s="105">
        <v>22</v>
      </c>
      <c r="B532" s="109"/>
      <c r="C532" s="106"/>
      <c r="D532" s="106"/>
      <c r="E532" s="106"/>
      <c r="F532" s="106"/>
      <c r="G532" s="106"/>
      <c r="H532" s="106"/>
      <c r="I532" s="106"/>
      <c r="J532" s="106"/>
      <c r="K532" s="106"/>
      <c r="L532" s="106"/>
      <c r="M532" s="106"/>
      <c r="N532" s="110"/>
    </row>
    <row r="533" spans="1:14" ht="9" customHeight="1" x14ac:dyDescent="0.25">
      <c r="A533" s="105">
        <v>23</v>
      </c>
      <c r="B533" s="109"/>
      <c r="C533" s="106"/>
      <c r="D533" s="106"/>
      <c r="E533" s="106"/>
      <c r="F533" s="106"/>
      <c r="G533" s="106"/>
      <c r="H533" s="106"/>
      <c r="I533" s="106"/>
      <c r="J533" s="106"/>
      <c r="K533" s="106"/>
      <c r="L533" s="106"/>
      <c r="M533" s="106"/>
      <c r="N533" s="110"/>
    </row>
    <row r="534" spans="1:14" ht="9" customHeight="1" x14ac:dyDescent="0.25">
      <c r="A534" s="105">
        <v>24</v>
      </c>
      <c r="B534" s="109"/>
      <c r="C534" s="106"/>
      <c r="D534" s="106"/>
      <c r="E534" s="106"/>
      <c r="F534" s="106"/>
      <c r="G534" s="106"/>
      <c r="H534" s="106"/>
      <c r="I534" s="106"/>
      <c r="J534" s="106"/>
      <c r="K534" s="106"/>
      <c r="L534" s="106"/>
      <c r="M534" s="106"/>
      <c r="N534" s="110"/>
    </row>
    <row r="535" spans="1:14" ht="9" customHeight="1" x14ac:dyDescent="0.25">
      <c r="A535" s="105">
        <v>25</v>
      </c>
      <c r="B535" s="109"/>
      <c r="C535" s="106"/>
      <c r="D535" s="106"/>
      <c r="E535" s="106"/>
      <c r="F535" s="106"/>
      <c r="G535" s="106"/>
      <c r="H535" s="106"/>
      <c r="I535" s="106"/>
      <c r="J535" s="106"/>
      <c r="K535" s="106"/>
      <c r="L535" s="106"/>
      <c r="M535" s="106"/>
      <c r="N535" s="110"/>
    </row>
    <row r="536" spans="1:14" ht="9" customHeight="1" x14ac:dyDescent="0.25">
      <c r="A536" s="105">
        <v>26</v>
      </c>
      <c r="B536" s="109"/>
      <c r="C536" s="106"/>
      <c r="D536" s="106"/>
      <c r="E536" s="106"/>
      <c r="F536" s="106"/>
      <c r="G536" s="106"/>
      <c r="H536" s="106"/>
      <c r="I536" s="106"/>
      <c r="J536" s="106"/>
      <c r="K536" s="106"/>
      <c r="L536" s="106"/>
      <c r="M536" s="106"/>
      <c r="N536" s="110"/>
    </row>
    <row r="537" spans="1:14" ht="9" customHeight="1" x14ac:dyDescent="0.25">
      <c r="A537" s="105">
        <v>27</v>
      </c>
      <c r="B537" s="109"/>
      <c r="C537" s="106"/>
      <c r="D537" s="106"/>
      <c r="E537" s="106"/>
      <c r="F537" s="106"/>
      <c r="G537" s="106"/>
      <c r="H537" s="106"/>
      <c r="I537" s="106"/>
      <c r="J537" s="106"/>
      <c r="K537" s="106"/>
      <c r="L537" s="106"/>
      <c r="M537" s="106"/>
      <c r="N537" s="110"/>
    </row>
    <row r="538" spans="1:14" ht="9" customHeight="1" x14ac:dyDescent="0.25">
      <c r="A538" s="105">
        <v>28</v>
      </c>
      <c r="B538" s="109"/>
      <c r="C538" s="106"/>
      <c r="D538" s="106"/>
      <c r="E538" s="106"/>
      <c r="F538" s="106"/>
      <c r="G538" s="106"/>
      <c r="H538" s="106"/>
      <c r="I538" s="106"/>
      <c r="J538" s="106"/>
      <c r="K538" s="106"/>
      <c r="L538" s="106"/>
      <c r="M538" s="106"/>
      <c r="N538" s="110"/>
    </row>
    <row r="539" spans="1:14" ht="9" customHeight="1" x14ac:dyDescent="0.25">
      <c r="A539" s="105">
        <v>29</v>
      </c>
      <c r="B539" s="109"/>
      <c r="C539" s="106"/>
      <c r="D539" s="106"/>
      <c r="E539" s="106"/>
      <c r="F539" s="106"/>
      <c r="G539" s="106"/>
      <c r="H539" s="106"/>
      <c r="I539" s="106"/>
      <c r="J539" s="106"/>
      <c r="K539" s="106"/>
      <c r="L539" s="106"/>
      <c r="M539" s="106"/>
      <c r="N539" s="110"/>
    </row>
    <row r="540" spans="1:14" ht="9" customHeight="1" x14ac:dyDescent="0.25">
      <c r="A540" s="105">
        <v>30</v>
      </c>
      <c r="B540" s="109"/>
      <c r="C540" s="106"/>
      <c r="D540" s="106"/>
      <c r="E540" s="106"/>
      <c r="F540" s="106"/>
      <c r="G540" s="106"/>
      <c r="H540" s="106"/>
      <c r="I540" s="106"/>
      <c r="J540" s="106"/>
      <c r="K540" s="106"/>
      <c r="L540" s="106"/>
      <c r="M540" s="106"/>
      <c r="N540" s="110"/>
    </row>
    <row r="541" spans="1:14" ht="9" customHeight="1" x14ac:dyDescent="0.25">
      <c r="A541" s="105">
        <v>31</v>
      </c>
      <c r="B541" s="109"/>
      <c r="C541" s="106"/>
      <c r="D541" s="106"/>
      <c r="E541" s="106"/>
      <c r="F541" s="106"/>
      <c r="G541" s="106"/>
      <c r="H541" s="106"/>
      <c r="I541" s="106"/>
      <c r="J541" s="106"/>
      <c r="K541" s="106"/>
      <c r="L541" s="106"/>
      <c r="M541" s="106"/>
      <c r="N541" s="110"/>
    </row>
    <row r="542" spans="1:14" ht="9" customHeight="1" x14ac:dyDescent="0.25">
      <c r="A542" s="105">
        <v>32</v>
      </c>
      <c r="B542" s="109"/>
      <c r="C542" s="106"/>
      <c r="D542" s="106"/>
      <c r="E542" s="106"/>
      <c r="F542" s="106"/>
      <c r="G542" s="106"/>
      <c r="H542" s="106"/>
      <c r="I542" s="106"/>
      <c r="J542" s="106"/>
      <c r="K542" s="106"/>
      <c r="L542" s="106"/>
      <c r="M542" s="106"/>
      <c r="N542" s="110"/>
    </row>
    <row r="543" spans="1:14" ht="9" customHeight="1" x14ac:dyDescent="0.25">
      <c r="A543" s="105">
        <v>33</v>
      </c>
      <c r="B543" s="109"/>
      <c r="C543" s="106"/>
      <c r="D543" s="106"/>
      <c r="E543" s="106"/>
      <c r="F543" s="106"/>
      <c r="G543" s="106"/>
      <c r="H543" s="106"/>
      <c r="I543" s="106"/>
      <c r="J543" s="106"/>
      <c r="K543" s="106"/>
      <c r="L543" s="106"/>
      <c r="M543" s="106"/>
      <c r="N543" s="110"/>
    </row>
    <row r="544" spans="1:14" ht="9" customHeight="1" x14ac:dyDescent="0.25">
      <c r="A544" s="105">
        <v>34</v>
      </c>
      <c r="B544" s="109"/>
      <c r="C544" s="106"/>
      <c r="D544" s="106"/>
      <c r="E544" s="106"/>
      <c r="F544" s="106"/>
      <c r="G544" s="106"/>
      <c r="H544" s="106"/>
      <c r="I544" s="106"/>
      <c r="J544" s="106"/>
      <c r="K544" s="106"/>
      <c r="L544" s="106"/>
      <c r="M544" s="106"/>
      <c r="N544" s="110"/>
    </row>
    <row r="545" spans="1:27" ht="9" customHeight="1" thickBot="1" x14ac:dyDescent="0.3">
      <c r="A545" s="105">
        <v>35</v>
      </c>
      <c r="B545" s="111"/>
      <c r="C545" s="112"/>
      <c r="D545" s="112"/>
      <c r="E545" s="112"/>
      <c r="F545" s="112"/>
      <c r="G545" s="112"/>
      <c r="H545" s="112"/>
      <c r="I545" s="112"/>
      <c r="J545" s="112"/>
      <c r="K545" s="112"/>
      <c r="L545" s="112"/>
      <c r="M545" s="112"/>
      <c r="N545" s="113"/>
    </row>
    <row r="547" spans="1:27" ht="15.75" thickBot="1" x14ac:dyDescent="0.3">
      <c r="A547" s="100"/>
      <c r="B547" s="101">
        <v>2</v>
      </c>
      <c r="C547" s="101">
        <v>3</v>
      </c>
      <c r="D547" s="101">
        <v>4</v>
      </c>
      <c r="E547" s="101">
        <v>5</v>
      </c>
      <c r="F547" s="101">
        <v>6</v>
      </c>
      <c r="G547" s="101">
        <v>7</v>
      </c>
      <c r="H547" s="101">
        <v>8</v>
      </c>
      <c r="I547" s="101">
        <v>9</v>
      </c>
      <c r="J547" s="101">
        <v>10</v>
      </c>
      <c r="K547" s="101">
        <v>11</v>
      </c>
      <c r="L547" s="101">
        <v>12</v>
      </c>
      <c r="M547" s="101">
        <v>13</v>
      </c>
      <c r="N547" s="101">
        <v>14</v>
      </c>
      <c r="O547" s="100">
        <v>15</v>
      </c>
      <c r="P547" s="100">
        <v>16</v>
      </c>
      <c r="Q547" s="100">
        <v>17</v>
      </c>
      <c r="R547" s="100">
        <v>18</v>
      </c>
      <c r="S547" s="100">
        <v>19</v>
      </c>
      <c r="T547" s="100">
        <v>20</v>
      </c>
      <c r="U547" s="100">
        <v>21</v>
      </c>
      <c r="V547" s="100">
        <v>22</v>
      </c>
      <c r="W547" s="100">
        <v>23</v>
      </c>
      <c r="X547" s="100">
        <v>24</v>
      </c>
      <c r="Y547" s="100">
        <v>25</v>
      </c>
      <c r="Z547" s="100">
        <v>26</v>
      </c>
      <c r="AA547" s="100">
        <v>27</v>
      </c>
    </row>
    <row r="548" spans="1:27" ht="15.75" thickBot="1" x14ac:dyDescent="0.3">
      <c r="B548" s="251" t="s">
        <v>219</v>
      </c>
      <c r="C548" s="252"/>
      <c r="D548" s="252"/>
      <c r="E548" s="114" t="s">
        <v>136</v>
      </c>
      <c r="F548" s="114">
        <f>VLOOKUP($E548,[1]Datos!$S$54:$T$74,2,0)</f>
        <v>39936</v>
      </c>
      <c r="G548" s="253" t="s">
        <v>202</v>
      </c>
      <c r="H548" s="253"/>
      <c r="I548" s="115"/>
      <c r="J548" s="115"/>
      <c r="K548" s="115"/>
      <c r="L548" s="115"/>
      <c r="M548" s="115"/>
      <c r="N548" s="116"/>
    </row>
    <row r="549" spans="1:27" ht="22.5" x14ac:dyDescent="0.25">
      <c r="B549" s="107" t="s">
        <v>184</v>
      </c>
      <c r="C549" s="102" t="s">
        <v>186</v>
      </c>
      <c r="D549" s="102" t="s">
        <v>200</v>
      </c>
      <c r="E549" s="102" t="s">
        <v>185</v>
      </c>
      <c r="F549" s="103" t="s">
        <v>187</v>
      </c>
      <c r="G549" s="103" t="s">
        <v>188</v>
      </c>
      <c r="H549" s="102" t="s">
        <v>190</v>
      </c>
      <c r="I549" s="102" t="s">
        <v>191</v>
      </c>
      <c r="J549" s="102" t="s">
        <v>192</v>
      </c>
      <c r="K549" s="102" t="s">
        <v>203</v>
      </c>
      <c r="L549" s="102" t="s">
        <v>204</v>
      </c>
      <c r="M549" s="104" t="s">
        <v>196</v>
      </c>
      <c r="N549" s="108" t="s">
        <v>205</v>
      </c>
    </row>
    <row r="550" spans="1:27" ht="9" customHeight="1" x14ac:dyDescent="0.25">
      <c r="A550" s="105">
        <v>1</v>
      </c>
      <c r="B550" s="109"/>
      <c r="C550" s="106"/>
      <c r="D550" s="106"/>
      <c r="E550" s="106"/>
      <c r="F550" s="106"/>
      <c r="G550" s="106"/>
      <c r="H550" s="106"/>
      <c r="I550" s="106"/>
      <c r="J550" s="106"/>
      <c r="K550" s="106"/>
      <c r="L550" s="106"/>
      <c r="M550" s="106"/>
      <c r="N550" s="110"/>
    </row>
    <row r="551" spans="1:27" ht="9" customHeight="1" x14ac:dyDescent="0.25">
      <c r="A551" s="105">
        <v>2</v>
      </c>
      <c r="B551" s="109"/>
      <c r="C551" s="106"/>
      <c r="D551" s="106"/>
      <c r="E551" s="106"/>
      <c r="F551" s="106"/>
      <c r="G551" s="106"/>
      <c r="H551" s="106"/>
      <c r="I551" s="106"/>
      <c r="J551" s="106"/>
      <c r="K551" s="106"/>
      <c r="L551" s="106"/>
      <c r="M551" s="106"/>
      <c r="N551" s="110"/>
    </row>
    <row r="552" spans="1:27" ht="9" customHeight="1" x14ac:dyDescent="0.25">
      <c r="A552" s="105">
        <v>3</v>
      </c>
      <c r="B552" s="109"/>
      <c r="C552" s="106"/>
      <c r="D552" s="106"/>
      <c r="E552" s="106"/>
      <c r="F552" s="106"/>
      <c r="G552" s="106"/>
      <c r="H552" s="106"/>
      <c r="I552" s="106"/>
      <c r="J552" s="106"/>
      <c r="K552" s="106"/>
      <c r="L552" s="106"/>
      <c r="M552" s="106"/>
      <c r="N552" s="110"/>
    </row>
    <row r="553" spans="1:27" ht="9" customHeight="1" x14ac:dyDescent="0.25">
      <c r="A553" s="105">
        <v>4</v>
      </c>
      <c r="B553" s="109"/>
      <c r="C553" s="106"/>
      <c r="D553" s="106"/>
      <c r="E553" s="106"/>
      <c r="F553" s="106"/>
      <c r="G553" s="106"/>
      <c r="H553" s="106"/>
      <c r="I553" s="106"/>
      <c r="J553" s="106"/>
      <c r="K553" s="106"/>
      <c r="L553" s="106"/>
      <c r="M553" s="106"/>
      <c r="N553" s="110"/>
    </row>
    <row r="554" spans="1:27" ht="9" customHeight="1" x14ac:dyDescent="0.25">
      <c r="A554" s="105">
        <v>5</v>
      </c>
      <c r="B554" s="109"/>
      <c r="C554" s="106"/>
      <c r="D554" s="106"/>
      <c r="E554" s="106"/>
      <c r="F554" s="106"/>
      <c r="G554" s="106"/>
      <c r="H554" s="106"/>
      <c r="I554" s="106"/>
      <c r="J554" s="106"/>
      <c r="K554" s="106"/>
      <c r="L554" s="106"/>
      <c r="M554" s="106"/>
      <c r="N554" s="110"/>
    </row>
    <row r="555" spans="1:27" ht="9" customHeight="1" x14ac:dyDescent="0.25">
      <c r="A555" s="105">
        <v>6</v>
      </c>
      <c r="B555" s="109"/>
      <c r="C555" s="106"/>
      <c r="D555" s="106"/>
      <c r="E555" s="106"/>
      <c r="F555" s="106"/>
      <c r="G555" s="106"/>
      <c r="H555" s="106"/>
      <c r="I555" s="106"/>
      <c r="J555" s="106"/>
      <c r="K555" s="106"/>
      <c r="L555" s="106"/>
      <c r="M555" s="106"/>
      <c r="N555" s="110"/>
    </row>
    <row r="556" spans="1:27" ht="9" customHeight="1" x14ac:dyDescent="0.25">
      <c r="A556" s="105">
        <v>7</v>
      </c>
      <c r="B556" s="109"/>
      <c r="C556" s="106"/>
      <c r="D556" s="106"/>
      <c r="E556" s="106"/>
      <c r="F556" s="106"/>
      <c r="G556" s="106"/>
      <c r="H556" s="106"/>
      <c r="I556" s="106"/>
      <c r="J556" s="106"/>
      <c r="K556" s="106"/>
      <c r="L556" s="106"/>
      <c r="M556" s="106"/>
      <c r="N556" s="110"/>
    </row>
    <row r="557" spans="1:27" ht="9" customHeight="1" x14ac:dyDescent="0.25">
      <c r="A557" s="105">
        <v>8</v>
      </c>
      <c r="B557" s="109"/>
      <c r="C557" s="106"/>
      <c r="D557" s="106"/>
      <c r="E557" s="106"/>
      <c r="F557" s="106"/>
      <c r="G557" s="106"/>
      <c r="H557" s="106"/>
      <c r="I557" s="106"/>
      <c r="J557" s="106"/>
      <c r="K557" s="106"/>
      <c r="L557" s="106"/>
      <c r="M557" s="106"/>
      <c r="N557" s="110"/>
    </row>
    <row r="558" spans="1:27" ht="9" customHeight="1" x14ac:dyDescent="0.25">
      <c r="A558" s="105">
        <v>9</v>
      </c>
      <c r="B558" s="109"/>
      <c r="C558" s="106"/>
      <c r="D558" s="106"/>
      <c r="E558" s="106"/>
      <c r="F558" s="106"/>
      <c r="G558" s="106"/>
      <c r="H558" s="106"/>
      <c r="I558" s="106"/>
      <c r="J558" s="106"/>
      <c r="K558" s="106"/>
      <c r="L558" s="106"/>
      <c r="M558" s="106"/>
      <c r="N558" s="110"/>
    </row>
    <row r="559" spans="1:27" ht="9" customHeight="1" x14ac:dyDescent="0.25">
      <c r="A559" s="105">
        <v>10</v>
      </c>
      <c r="B559" s="109"/>
      <c r="C559" s="106"/>
      <c r="D559" s="106"/>
      <c r="E559" s="106"/>
      <c r="F559" s="106"/>
      <c r="G559" s="106"/>
      <c r="H559" s="106"/>
      <c r="I559" s="106"/>
      <c r="J559" s="106"/>
      <c r="K559" s="106"/>
      <c r="L559" s="106"/>
      <c r="M559" s="106"/>
      <c r="N559" s="110"/>
    </row>
    <row r="560" spans="1:27" ht="9" customHeight="1" x14ac:dyDescent="0.25">
      <c r="A560" s="105">
        <v>11</v>
      </c>
      <c r="B560" s="109"/>
      <c r="C560" s="106"/>
      <c r="D560" s="106"/>
      <c r="E560" s="106"/>
      <c r="F560" s="106"/>
      <c r="G560" s="106"/>
      <c r="H560" s="106"/>
      <c r="I560" s="106"/>
      <c r="J560" s="106"/>
      <c r="K560" s="106"/>
      <c r="L560" s="106"/>
      <c r="M560" s="106"/>
      <c r="N560" s="110"/>
    </row>
    <row r="561" spans="1:14" ht="9" customHeight="1" x14ac:dyDescent="0.25">
      <c r="A561" s="105">
        <v>12</v>
      </c>
      <c r="B561" s="109"/>
      <c r="C561" s="106"/>
      <c r="D561" s="106"/>
      <c r="E561" s="106"/>
      <c r="F561" s="106"/>
      <c r="G561" s="106"/>
      <c r="H561" s="106"/>
      <c r="I561" s="106"/>
      <c r="J561" s="106"/>
      <c r="K561" s="106"/>
      <c r="L561" s="106"/>
      <c r="M561" s="106"/>
      <c r="N561" s="110"/>
    </row>
    <row r="562" spans="1:14" ht="9" customHeight="1" x14ac:dyDescent="0.25">
      <c r="A562" s="105">
        <v>13</v>
      </c>
      <c r="B562" s="109"/>
      <c r="C562" s="106"/>
      <c r="D562" s="106"/>
      <c r="E562" s="106"/>
      <c r="F562" s="106"/>
      <c r="G562" s="106"/>
      <c r="H562" s="106"/>
      <c r="I562" s="106"/>
      <c r="J562" s="106"/>
      <c r="K562" s="106"/>
      <c r="L562" s="106"/>
      <c r="M562" s="106"/>
      <c r="N562" s="110"/>
    </row>
    <row r="563" spans="1:14" ht="9" customHeight="1" x14ac:dyDescent="0.25">
      <c r="A563" s="105">
        <v>14</v>
      </c>
      <c r="B563" s="109"/>
      <c r="C563" s="106"/>
      <c r="D563" s="106"/>
      <c r="E563" s="106"/>
      <c r="F563" s="106"/>
      <c r="G563" s="106"/>
      <c r="H563" s="106"/>
      <c r="I563" s="106"/>
      <c r="J563" s="106"/>
      <c r="K563" s="106"/>
      <c r="L563" s="106"/>
      <c r="M563" s="106"/>
      <c r="N563" s="110"/>
    </row>
    <row r="564" spans="1:14" ht="9" customHeight="1" x14ac:dyDescent="0.25">
      <c r="A564" s="105">
        <v>15</v>
      </c>
      <c r="B564" s="109"/>
      <c r="C564" s="106"/>
      <c r="D564" s="106"/>
      <c r="E564" s="106"/>
      <c r="F564" s="106"/>
      <c r="G564" s="106"/>
      <c r="H564" s="106"/>
      <c r="I564" s="106"/>
      <c r="J564" s="106"/>
      <c r="K564" s="106"/>
      <c r="L564" s="106"/>
      <c r="M564" s="106"/>
      <c r="N564" s="110"/>
    </row>
    <row r="565" spans="1:14" ht="9" customHeight="1" x14ac:dyDescent="0.25">
      <c r="A565" s="105">
        <v>16</v>
      </c>
      <c r="B565" s="109"/>
      <c r="C565" s="106"/>
      <c r="D565" s="106"/>
      <c r="E565" s="106"/>
      <c r="F565" s="106"/>
      <c r="G565" s="106"/>
      <c r="H565" s="106"/>
      <c r="I565" s="106"/>
      <c r="J565" s="106"/>
      <c r="K565" s="106"/>
      <c r="L565" s="106"/>
      <c r="M565" s="106"/>
      <c r="N565" s="110"/>
    </row>
    <row r="566" spans="1:14" ht="9" customHeight="1" x14ac:dyDescent="0.25">
      <c r="A566" s="105">
        <v>17</v>
      </c>
      <c r="B566" s="109"/>
      <c r="C566" s="106"/>
      <c r="D566" s="106"/>
      <c r="E566" s="106"/>
      <c r="F566" s="106"/>
      <c r="G566" s="106"/>
      <c r="H566" s="106"/>
      <c r="I566" s="106"/>
      <c r="J566" s="106"/>
      <c r="K566" s="106"/>
      <c r="L566" s="106"/>
      <c r="M566" s="106"/>
      <c r="N566" s="110"/>
    </row>
    <row r="567" spans="1:14" ht="9" customHeight="1" x14ac:dyDescent="0.25">
      <c r="A567" s="105">
        <v>18</v>
      </c>
      <c r="B567" s="109"/>
      <c r="C567" s="106"/>
      <c r="D567" s="106"/>
      <c r="E567" s="106"/>
      <c r="F567" s="106"/>
      <c r="G567" s="106"/>
      <c r="H567" s="106"/>
      <c r="I567" s="106"/>
      <c r="J567" s="106"/>
      <c r="K567" s="106"/>
      <c r="L567" s="106"/>
      <c r="M567" s="106"/>
      <c r="N567" s="110"/>
    </row>
    <row r="568" spans="1:14" ht="9" customHeight="1" x14ac:dyDescent="0.25">
      <c r="A568" s="105">
        <v>19</v>
      </c>
      <c r="B568" s="109"/>
      <c r="C568" s="106"/>
      <c r="D568" s="106"/>
      <c r="E568" s="106"/>
      <c r="F568" s="106"/>
      <c r="G568" s="106"/>
      <c r="H568" s="106"/>
      <c r="I568" s="106"/>
      <c r="J568" s="106"/>
      <c r="K568" s="106"/>
      <c r="L568" s="106"/>
      <c r="M568" s="106"/>
      <c r="N568" s="110"/>
    </row>
    <row r="569" spans="1:14" ht="9" customHeight="1" x14ac:dyDescent="0.25">
      <c r="A569" s="105">
        <v>20</v>
      </c>
      <c r="B569" s="109"/>
      <c r="C569" s="106"/>
      <c r="D569" s="106"/>
      <c r="E569" s="106"/>
      <c r="F569" s="106"/>
      <c r="G569" s="106"/>
      <c r="H569" s="106"/>
      <c r="I569" s="106"/>
      <c r="J569" s="106"/>
      <c r="K569" s="106"/>
      <c r="L569" s="106"/>
      <c r="M569" s="106"/>
      <c r="N569" s="110"/>
    </row>
    <row r="570" spans="1:14" ht="9" customHeight="1" x14ac:dyDescent="0.25">
      <c r="A570" s="105">
        <v>21</v>
      </c>
      <c r="B570" s="109"/>
      <c r="C570" s="106"/>
      <c r="D570" s="106"/>
      <c r="E570" s="106"/>
      <c r="F570" s="106"/>
      <c r="G570" s="106"/>
      <c r="H570" s="106"/>
      <c r="I570" s="106"/>
      <c r="J570" s="106"/>
      <c r="K570" s="106"/>
      <c r="L570" s="106"/>
      <c r="M570" s="106"/>
      <c r="N570" s="110"/>
    </row>
    <row r="571" spans="1:14" ht="9" customHeight="1" x14ac:dyDescent="0.25">
      <c r="A571" s="105">
        <v>22</v>
      </c>
      <c r="B571" s="109"/>
      <c r="C571" s="106"/>
      <c r="D571" s="106"/>
      <c r="E571" s="106"/>
      <c r="F571" s="106"/>
      <c r="G571" s="106"/>
      <c r="H571" s="106"/>
      <c r="I571" s="106"/>
      <c r="J571" s="106"/>
      <c r="K571" s="106"/>
      <c r="L571" s="106"/>
      <c r="M571" s="106"/>
      <c r="N571" s="110"/>
    </row>
    <row r="572" spans="1:14" ht="9" customHeight="1" x14ac:dyDescent="0.25">
      <c r="A572" s="105">
        <v>23</v>
      </c>
      <c r="B572" s="109"/>
      <c r="C572" s="106"/>
      <c r="D572" s="106"/>
      <c r="E572" s="106"/>
      <c r="F572" s="106"/>
      <c r="G572" s="106"/>
      <c r="H572" s="106"/>
      <c r="I572" s="106"/>
      <c r="J572" s="106"/>
      <c r="K572" s="106"/>
      <c r="L572" s="106"/>
      <c r="M572" s="106"/>
      <c r="N572" s="110"/>
    </row>
    <row r="573" spans="1:14" ht="9" customHeight="1" x14ac:dyDescent="0.25">
      <c r="A573" s="105">
        <v>24</v>
      </c>
      <c r="B573" s="109"/>
      <c r="C573" s="106"/>
      <c r="D573" s="106"/>
      <c r="E573" s="106"/>
      <c r="F573" s="106"/>
      <c r="G573" s="106"/>
      <c r="H573" s="106"/>
      <c r="I573" s="106"/>
      <c r="J573" s="106"/>
      <c r="K573" s="106"/>
      <c r="L573" s="106"/>
      <c r="M573" s="106"/>
      <c r="N573" s="110"/>
    </row>
    <row r="574" spans="1:14" ht="9" customHeight="1" x14ac:dyDescent="0.25">
      <c r="A574" s="105">
        <v>25</v>
      </c>
      <c r="B574" s="109"/>
      <c r="C574" s="106"/>
      <c r="D574" s="106"/>
      <c r="E574" s="106"/>
      <c r="F574" s="106"/>
      <c r="G574" s="106"/>
      <c r="H574" s="106"/>
      <c r="I574" s="106"/>
      <c r="J574" s="106"/>
      <c r="K574" s="106"/>
      <c r="L574" s="106"/>
      <c r="M574" s="106"/>
      <c r="N574" s="110"/>
    </row>
    <row r="575" spans="1:14" ht="9" customHeight="1" x14ac:dyDescent="0.25">
      <c r="A575" s="105">
        <v>26</v>
      </c>
      <c r="B575" s="109"/>
      <c r="C575" s="106"/>
      <c r="D575" s="106"/>
      <c r="E575" s="106"/>
      <c r="F575" s="106"/>
      <c r="G575" s="106"/>
      <c r="H575" s="106"/>
      <c r="I575" s="106"/>
      <c r="J575" s="106"/>
      <c r="K575" s="106"/>
      <c r="L575" s="106"/>
      <c r="M575" s="106"/>
      <c r="N575" s="110"/>
    </row>
    <row r="576" spans="1:14" ht="9" customHeight="1" x14ac:dyDescent="0.25">
      <c r="A576" s="105">
        <v>27</v>
      </c>
      <c r="B576" s="109"/>
      <c r="C576" s="106"/>
      <c r="D576" s="106"/>
      <c r="E576" s="106"/>
      <c r="F576" s="106"/>
      <c r="G576" s="106"/>
      <c r="H576" s="106"/>
      <c r="I576" s="106"/>
      <c r="J576" s="106"/>
      <c r="K576" s="106"/>
      <c r="L576" s="106"/>
      <c r="M576" s="106"/>
      <c r="N576" s="110"/>
    </row>
    <row r="577" spans="1:27" ht="9" customHeight="1" x14ac:dyDescent="0.25">
      <c r="A577" s="105">
        <v>28</v>
      </c>
      <c r="B577" s="109"/>
      <c r="C577" s="106"/>
      <c r="D577" s="106"/>
      <c r="E577" s="106"/>
      <c r="F577" s="106"/>
      <c r="G577" s="106"/>
      <c r="H577" s="106"/>
      <c r="I577" s="106"/>
      <c r="J577" s="106"/>
      <c r="K577" s="106"/>
      <c r="L577" s="106"/>
      <c r="M577" s="106"/>
      <c r="N577" s="110"/>
    </row>
    <row r="578" spans="1:27" ht="9" customHeight="1" x14ac:dyDescent="0.25">
      <c r="A578" s="105">
        <v>29</v>
      </c>
      <c r="B578" s="109"/>
      <c r="C578" s="106"/>
      <c r="D578" s="106"/>
      <c r="E578" s="106"/>
      <c r="F578" s="106"/>
      <c r="G578" s="106"/>
      <c r="H578" s="106"/>
      <c r="I578" s="106"/>
      <c r="J578" s="106"/>
      <c r="K578" s="106"/>
      <c r="L578" s="106"/>
      <c r="M578" s="106"/>
      <c r="N578" s="110"/>
    </row>
    <row r="579" spans="1:27" ht="9" customHeight="1" x14ac:dyDescent="0.25">
      <c r="A579" s="105">
        <v>30</v>
      </c>
      <c r="B579" s="109"/>
      <c r="C579" s="106"/>
      <c r="D579" s="106"/>
      <c r="E579" s="106"/>
      <c r="F579" s="106"/>
      <c r="G579" s="106"/>
      <c r="H579" s="106"/>
      <c r="I579" s="106"/>
      <c r="J579" s="106"/>
      <c r="K579" s="106"/>
      <c r="L579" s="106"/>
      <c r="M579" s="106"/>
      <c r="N579" s="110"/>
    </row>
    <row r="580" spans="1:27" ht="9" customHeight="1" x14ac:dyDescent="0.25">
      <c r="A580" s="105">
        <v>31</v>
      </c>
      <c r="B580" s="109"/>
      <c r="C580" s="106"/>
      <c r="D580" s="106"/>
      <c r="E580" s="106"/>
      <c r="F580" s="106"/>
      <c r="G580" s="106"/>
      <c r="H580" s="106"/>
      <c r="I580" s="106"/>
      <c r="J580" s="106"/>
      <c r="K580" s="106"/>
      <c r="L580" s="106"/>
      <c r="M580" s="106"/>
      <c r="N580" s="110"/>
    </row>
    <row r="581" spans="1:27" ht="9" customHeight="1" x14ac:dyDescent="0.25">
      <c r="A581" s="105">
        <v>32</v>
      </c>
      <c r="B581" s="109"/>
      <c r="C581" s="106"/>
      <c r="D581" s="106"/>
      <c r="E581" s="106"/>
      <c r="F581" s="106"/>
      <c r="G581" s="106"/>
      <c r="H581" s="106"/>
      <c r="I581" s="106"/>
      <c r="J581" s="106"/>
      <c r="K581" s="106"/>
      <c r="L581" s="106"/>
      <c r="M581" s="106"/>
      <c r="N581" s="110"/>
    </row>
    <row r="582" spans="1:27" ht="9" customHeight="1" x14ac:dyDescent="0.25">
      <c r="A582" s="105">
        <v>33</v>
      </c>
      <c r="B582" s="109"/>
      <c r="C582" s="106"/>
      <c r="D582" s="106"/>
      <c r="E582" s="106"/>
      <c r="F582" s="106"/>
      <c r="G582" s="106"/>
      <c r="H582" s="106"/>
      <c r="I582" s="106"/>
      <c r="J582" s="106"/>
      <c r="K582" s="106"/>
      <c r="L582" s="106"/>
      <c r="M582" s="106"/>
      <c r="N582" s="110"/>
    </row>
    <row r="583" spans="1:27" ht="9" customHeight="1" x14ac:dyDescent="0.25">
      <c r="A583" s="105">
        <v>34</v>
      </c>
      <c r="B583" s="109"/>
      <c r="C583" s="106"/>
      <c r="D583" s="106"/>
      <c r="E583" s="106"/>
      <c r="F583" s="106"/>
      <c r="G583" s="106"/>
      <c r="H583" s="106"/>
      <c r="I583" s="106"/>
      <c r="J583" s="106"/>
      <c r="K583" s="106"/>
      <c r="L583" s="106"/>
      <c r="M583" s="106"/>
      <c r="N583" s="110"/>
    </row>
    <row r="584" spans="1:27" ht="9" customHeight="1" thickBot="1" x14ac:dyDescent="0.3">
      <c r="A584" s="105">
        <v>35</v>
      </c>
      <c r="B584" s="111"/>
      <c r="C584" s="112"/>
      <c r="D584" s="112"/>
      <c r="E584" s="112"/>
      <c r="F584" s="112"/>
      <c r="G584" s="112"/>
      <c r="H584" s="112"/>
      <c r="I584" s="112"/>
      <c r="J584" s="112"/>
      <c r="K584" s="112"/>
      <c r="L584" s="112"/>
      <c r="M584" s="112"/>
      <c r="N584" s="113"/>
    </row>
    <row r="586" spans="1:27" ht="15.75" thickBot="1" x14ac:dyDescent="0.3">
      <c r="A586" s="100"/>
      <c r="B586" s="101">
        <v>2</v>
      </c>
      <c r="C586" s="101">
        <v>3</v>
      </c>
      <c r="D586" s="101">
        <v>4</v>
      </c>
      <c r="E586" s="101">
        <v>5</v>
      </c>
      <c r="F586" s="101">
        <v>6</v>
      </c>
      <c r="G586" s="101">
        <v>7</v>
      </c>
      <c r="H586" s="101">
        <v>8</v>
      </c>
      <c r="I586" s="101">
        <v>9</v>
      </c>
      <c r="J586" s="101">
        <v>10</v>
      </c>
      <c r="K586" s="101">
        <v>11</v>
      </c>
      <c r="L586" s="101">
        <v>12</v>
      </c>
      <c r="M586" s="101">
        <v>13</v>
      </c>
      <c r="N586" s="101">
        <v>14</v>
      </c>
      <c r="O586" s="100">
        <v>15</v>
      </c>
      <c r="P586" s="100">
        <v>16</v>
      </c>
      <c r="Q586" s="100">
        <v>17</v>
      </c>
      <c r="R586" s="100">
        <v>18</v>
      </c>
      <c r="S586" s="100">
        <v>19</v>
      </c>
      <c r="T586" s="100">
        <v>20</v>
      </c>
      <c r="U586" s="100">
        <v>21</v>
      </c>
      <c r="V586" s="100">
        <v>22</v>
      </c>
      <c r="W586" s="100">
        <v>23</v>
      </c>
      <c r="X586" s="100">
        <v>24</v>
      </c>
      <c r="Y586" s="100">
        <v>25</v>
      </c>
      <c r="Z586" s="100">
        <v>26</v>
      </c>
      <c r="AA586" s="100">
        <v>27</v>
      </c>
    </row>
    <row r="587" spans="1:27" ht="15.75" thickBot="1" x14ac:dyDescent="0.3">
      <c r="B587" s="251" t="s">
        <v>220</v>
      </c>
      <c r="C587" s="252"/>
      <c r="D587" s="252"/>
      <c r="E587" s="114" t="s">
        <v>136</v>
      </c>
      <c r="F587" s="114">
        <f>VLOOKUP($E587,[1]Datos!$S$54:$T$74,2,0)</f>
        <v>39936</v>
      </c>
      <c r="G587" s="253" t="s">
        <v>202</v>
      </c>
      <c r="H587" s="253"/>
      <c r="I587" s="115"/>
      <c r="J587" s="115"/>
      <c r="K587" s="115"/>
      <c r="L587" s="115"/>
      <c r="M587" s="115"/>
      <c r="N587" s="116"/>
    </row>
    <row r="588" spans="1:27" ht="22.5" x14ac:dyDescent="0.25">
      <c r="B588" s="107" t="s">
        <v>184</v>
      </c>
      <c r="C588" s="102" t="s">
        <v>186</v>
      </c>
      <c r="D588" s="102" t="s">
        <v>200</v>
      </c>
      <c r="E588" s="102" t="s">
        <v>185</v>
      </c>
      <c r="F588" s="103" t="s">
        <v>187</v>
      </c>
      <c r="G588" s="103" t="s">
        <v>188</v>
      </c>
      <c r="H588" s="102" t="s">
        <v>190</v>
      </c>
      <c r="I588" s="102" t="s">
        <v>191</v>
      </c>
      <c r="J588" s="102" t="s">
        <v>192</v>
      </c>
      <c r="K588" s="102" t="s">
        <v>203</v>
      </c>
      <c r="L588" s="102" t="s">
        <v>204</v>
      </c>
      <c r="M588" s="104" t="s">
        <v>196</v>
      </c>
      <c r="N588" s="108" t="s">
        <v>205</v>
      </c>
    </row>
    <row r="589" spans="1:27" ht="9" customHeight="1" x14ac:dyDescent="0.25">
      <c r="A589" s="105">
        <v>1</v>
      </c>
      <c r="B589" s="109"/>
      <c r="C589" s="106"/>
      <c r="D589" s="106"/>
      <c r="E589" s="106"/>
      <c r="F589" s="106"/>
      <c r="G589" s="106"/>
      <c r="H589" s="106"/>
      <c r="I589" s="106"/>
      <c r="J589" s="106"/>
      <c r="K589" s="106"/>
      <c r="L589" s="106"/>
      <c r="M589" s="106"/>
      <c r="N589" s="110"/>
    </row>
    <row r="590" spans="1:27" ht="9" customHeight="1" x14ac:dyDescent="0.25">
      <c r="A590" s="105">
        <v>2</v>
      </c>
      <c r="B590" s="109"/>
      <c r="C590" s="106"/>
      <c r="D590" s="106"/>
      <c r="E590" s="106"/>
      <c r="F590" s="106"/>
      <c r="G590" s="106"/>
      <c r="H590" s="106"/>
      <c r="I590" s="106"/>
      <c r="J590" s="106"/>
      <c r="K590" s="106"/>
      <c r="L590" s="106"/>
      <c r="M590" s="106"/>
      <c r="N590" s="110"/>
    </row>
    <row r="591" spans="1:27" ht="9" customHeight="1" x14ac:dyDescent="0.25">
      <c r="A591" s="105">
        <v>3</v>
      </c>
      <c r="B591" s="109"/>
      <c r="C591" s="106"/>
      <c r="D591" s="106"/>
      <c r="E591" s="106"/>
      <c r="F591" s="106"/>
      <c r="G591" s="106"/>
      <c r="H591" s="106"/>
      <c r="I591" s="106"/>
      <c r="J591" s="106"/>
      <c r="K591" s="106"/>
      <c r="L591" s="106"/>
      <c r="M591" s="106"/>
      <c r="N591" s="110"/>
    </row>
    <row r="592" spans="1:27" ht="9" customHeight="1" x14ac:dyDescent="0.25">
      <c r="A592" s="105">
        <v>4</v>
      </c>
      <c r="B592" s="109"/>
      <c r="C592" s="106"/>
      <c r="D592" s="106"/>
      <c r="E592" s="106"/>
      <c r="F592" s="106"/>
      <c r="G592" s="106"/>
      <c r="H592" s="106"/>
      <c r="I592" s="106"/>
      <c r="J592" s="106"/>
      <c r="K592" s="106"/>
      <c r="L592" s="106"/>
      <c r="M592" s="106"/>
      <c r="N592" s="110"/>
    </row>
    <row r="593" spans="1:14" ht="9" customHeight="1" x14ac:dyDescent="0.25">
      <c r="A593" s="105">
        <v>5</v>
      </c>
      <c r="B593" s="109"/>
      <c r="C593" s="106"/>
      <c r="D593" s="106"/>
      <c r="E593" s="106"/>
      <c r="F593" s="106"/>
      <c r="G593" s="106"/>
      <c r="H593" s="106"/>
      <c r="I593" s="106"/>
      <c r="J593" s="106"/>
      <c r="K593" s="106"/>
      <c r="L593" s="106"/>
      <c r="M593" s="106"/>
      <c r="N593" s="110"/>
    </row>
    <row r="594" spans="1:14" ht="9" customHeight="1" x14ac:dyDescent="0.25">
      <c r="A594" s="105">
        <v>6</v>
      </c>
      <c r="B594" s="109"/>
      <c r="C594" s="106"/>
      <c r="D594" s="106"/>
      <c r="E594" s="106"/>
      <c r="F594" s="106"/>
      <c r="G594" s="106"/>
      <c r="H594" s="106"/>
      <c r="I594" s="106"/>
      <c r="J594" s="106"/>
      <c r="K594" s="106"/>
      <c r="L594" s="106"/>
      <c r="M594" s="106"/>
      <c r="N594" s="110"/>
    </row>
    <row r="595" spans="1:14" ht="9" customHeight="1" x14ac:dyDescent="0.25">
      <c r="A595" s="105">
        <v>7</v>
      </c>
      <c r="B595" s="109"/>
      <c r="C595" s="106"/>
      <c r="D595" s="106"/>
      <c r="E595" s="106"/>
      <c r="F595" s="106"/>
      <c r="G595" s="106"/>
      <c r="H595" s="106"/>
      <c r="I595" s="106"/>
      <c r="J595" s="106"/>
      <c r="K595" s="106"/>
      <c r="L595" s="106"/>
      <c r="M595" s="106"/>
      <c r="N595" s="110"/>
    </row>
    <row r="596" spans="1:14" ht="9" customHeight="1" x14ac:dyDescent="0.25">
      <c r="A596" s="105">
        <v>8</v>
      </c>
      <c r="B596" s="109"/>
      <c r="C596" s="106"/>
      <c r="D596" s="106"/>
      <c r="E596" s="106"/>
      <c r="F596" s="106"/>
      <c r="G596" s="106"/>
      <c r="H596" s="106"/>
      <c r="I596" s="106"/>
      <c r="J596" s="106"/>
      <c r="K596" s="106"/>
      <c r="L596" s="106"/>
      <c r="M596" s="106"/>
      <c r="N596" s="110"/>
    </row>
    <row r="597" spans="1:14" ht="9" customHeight="1" x14ac:dyDescent="0.25">
      <c r="A597" s="105">
        <v>9</v>
      </c>
      <c r="B597" s="109"/>
      <c r="C597" s="106"/>
      <c r="D597" s="106"/>
      <c r="E597" s="106"/>
      <c r="F597" s="106"/>
      <c r="G597" s="106"/>
      <c r="H597" s="106"/>
      <c r="I597" s="106"/>
      <c r="J597" s="106"/>
      <c r="K597" s="106"/>
      <c r="L597" s="106"/>
      <c r="M597" s="106"/>
      <c r="N597" s="110"/>
    </row>
    <row r="598" spans="1:14" ht="9" customHeight="1" x14ac:dyDescent="0.25">
      <c r="A598" s="105">
        <v>10</v>
      </c>
      <c r="B598" s="109"/>
      <c r="C598" s="106"/>
      <c r="D598" s="106"/>
      <c r="E598" s="106"/>
      <c r="F598" s="106"/>
      <c r="G598" s="106"/>
      <c r="H598" s="106"/>
      <c r="I598" s="106"/>
      <c r="J598" s="106"/>
      <c r="K598" s="106"/>
      <c r="L598" s="106"/>
      <c r="M598" s="106"/>
      <c r="N598" s="110"/>
    </row>
    <row r="599" spans="1:14" ht="9" customHeight="1" x14ac:dyDescent="0.25">
      <c r="A599" s="105">
        <v>11</v>
      </c>
      <c r="B599" s="109"/>
      <c r="C599" s="106"/>
      <c r="D599" s="106"/>
      <c r="E599" s="106"/>
      <c r="F599" s="106"/>
      <c r="G599" s="106"/>
      <c r="H599" s="106"/>
      <c r="I599" s="106"/>
      <c r="J599" s="106"/>
      <c r="K599" s="106"/>
      <c r="L599" s="106"/>
      <c r="M599" s="106"/>
      <c r="N599" s="110"/>
    </row>
    <row r="600" spans="1:14" ht="9" customHeight="1" x14ac:dyDescent="0.25">
      <c r="A600" s="105">
        <v>12</v>
      </c>
      <c r="B600" s="109"/>
      <c r="C600" s="106"/>
      <c r="D600" s="106"/>
      <c r="E600" s="106"/>
      <c r="F600" s="106"/>
      <c r="G600" s="106"/>
      <c r="H600" s="106"/>
      <c r="I600" s="106"/>
      <c r="J600" s="106"/>
      <c r="K600" s="106"/>
      <c r="L600" s="106"/>
      <c r="M600" s="106"/>
      <c r="N600" s="110"/>
    </row>
    <row r="601" spans="1:14" ht="9" customHeight="1" x14ac:dyDescent="0.25">
      <c r="A601" s="105">
        <v>13</v>
      </c>
      <c r="B601" s="109"/>
      <c r="C601" s="106"/>
      <c r="D601" s="106"/>
      <c r="E601" s="106"/>
      <c r="F601" s="106"/>
      <c r="G601" s="106"/>
      <c r="H601" s="106"/>
      <c r="I601" s="106"/>
      <c r="J601" s="106"/>
      <c r="K601" s="106"/>
      <c r="L601" s="106"/>
      <c r="M601" s="106"/>
      <c r="N601" s="110"/>
    </row>
    <row r="602" spans="1:14" ht="9" customHeight="1" x14ac:dyDescent="0.25">
      <c r="A602" s="105">
        <v>14</v>
      </c>
      <c r="B602" s="109"/>
      <c r="C602" s="106"/>
      <c r="D602" s="106"/>
      <c r="E602" s="106"/>
      <c r="F602" s="106"/>
      <c r="G602" s="106"/>
      <c r="H602" s="106"/>
      <c r="I602" s="106"/>
      <c r="J602" s="106"/>
      <c r="K602" s="106"/>
      <c r="L602" s="106"/>
      <c r="M602" s="106"/>
      <c r="N602" s="110"/>
    </row>
    <row r="603" spans="1:14" ht="9" customHeight="1" x14ac:dyDescent="0.25">
      <c r="A603" s="105">
        <v>15</v>
      </c>
      <c r="B603" s="109"/>
      <c r="C603" s="106"/>
      <c r="D603" s="106"/>
      <c r="E603" s="106"/>
      <c r="F603" s="106"/>
      <c r="G603" s="106"/>
      <c r="H603" s="106"/>
      <c r="I603" s="106"/>
      <c r="J603" s="106"/>
      <c r="K603" s="106"/>
      <c r="L603" s="106"/>
      <c r="M603" s="106"/>
      <c r="N603" s="110"/>
    </row>
    <row r="604" spans="1:14" ht="9" customHeight="1" x14ac:dyDescent="0.25">
      <c r="A604" s="105">
        <v>16</v>
      </c>
      <c r="B604" s="109"/>
      <c r="C604" s="106"/>
      <c r="D604" s="106"/>
      <c r="E604" s="106"/>
      <c r="F604" s="106"/>
      <c r="G604" s="106"/>
      <c r="H604" s="106"/>
      <c r="I604" s="106"/>
      <c r="J604" s="106"/>
      <c r="K604" s="106"/>
      <c r="L604" s="106"/>
      <c r="M604" s="106"/>
      <c r="N604" s="110"/>
    </row>
    <row r="605" spans="1:14" ht="9" customHeight="1" x14ac:dyDescent="0.25">
      <c r="A605" s="105">
        <v>17</v>
      </c>
      <c r="B605" s="109"/>
      <c r="C605" s="106"/>
      <c r="D605" s="106"/>
      <c r="E605" s="106"/>
      <c r="F605" s="106"/>
      <c r="G605" s="106"/>
      <c r="H605" s="106"/>
      <c r="I605" s="106"/>
      <c r="J605" s="106"/>
      <c r="K605" s="106"/>
      <c r="L605" s="106"/>
      <c r="M605" s="106"/>
      <c r="N605" s="110"/>
    </row>
    <row r="606" spans="1:14" ht="9" customHeight="1" x14ac:dyDescent="0.25">
      <c r="A606" s="105">
        <v>18</v>
      </c>
      <c r="B606" s="109"/>
      <c r="C606" s="106"/>
      <c r="D606" s="106"/>
      <c r="E606" s="106"/>
      <c r="F606" s="106"/>
      <c r="G606" s="106"/>
      <c r="H606" s="106"/>
      <c r="I606" s="106"/>
      <c r="J606" s="106"/>
      <c r="K606" s="106"/>
      <c r="L606" s="106"/>
      <c r="M606" s="106"/>
      <c r="N606" s="110"/>
    </row>
    <row r="607" spans="1:14" ht="9" customHeight="1" x14ac:dyDescent="0.25">
      <c r="A607" s="105">
        <v>19</v>
      </c>
      <c r="B607" s="109"/>
      <c r="C607" s="106"/>
      <c r="D607" s="106"/>
      <c r="E607" s="106"/>
      <c r="F607" s="106"/>
      <c r="G607" s="106"/>
      <c r="H607" s="106"/>
      <c r="I607" s="106"/>
      <c r="J607" s="106"/>
      <c r="K607" s="106"/>
      <c r="L607" s="106"/>
      <c r="M607" s="106"/>
      <c r="N607" s="110"/>
    </row>
    <row r="608" spans="1:14" ht="9" customHeight="1" x14ac:dyDescent="0.25">
      <c r="A608" s="105">
        <v>20</v>
      </c>
      <c r="B608" s="109"/>
      <c r="C608" s="106"/>
      <c r="D608" s="106"/>
      <c r="E608" s="106"/>
      <c r="F608" s="106"/>
      <c r="G608" s="106"/>
      <c r="H608" s="106"/>
      <c r="I608" s="106"/>
      <c r="J608" s="106"/>
      <c r="K608" s="106"/>
      <c r="L608" s="106"/>
      <c r="M608" s="106"/>
      <c r="N608" s="110"/>
    </row>
    <row r="609" spans="1:14" ht="9" customHeight="1" x14ac:dyDescent="0.25">
      <c r="A609" s="105">
        <v>21</v>
      </c>
      <c r="B609" s="109"/>
      <c r="C609" s="106"/>
      <c r="D609" s="106"/>
      <c r="E609" s="106"/>
      <c r="F609" s="106"/>
      <c r="G609" s="106"/>
      <c r="H609" s="106"/>
      <c r="I609" s="106"/>
      <c r="J609" s="106"/>
      <c r="K609" s="106"/>
      <c r="L609" s="106"/>
      <c r="M609" s="106"/>
      <c r="N609" s="110"/>
    </row>
    <row r="610" spans="1:14" ht="9" customHeight="1" x14ac:dyDescent="0.25">
      <c r="A610" s="105">
        <v>22</v>
      </c>
      <c r="B610" s="109"/>
      <c r="C610" s="106"/>
      <c r="D610" s="106"/>
      <c r="E610" s="106"/>
      <c r="F610" s="106"/>
      <c r="G610" s="106"/>
      <c r="H610" s="106"/>
      <c r="I610" s="106"/>
      <c r="J610" s="106"/>
      <c r="K610" s="106"/>
      <c r="L610" s="106"/>
      <c r="M610" s="106"/>
      <c r="N610" s="110"/>
    </row>
    <row r="611" spans="1:14" ht="9" customHeight="1" x14ac:dyDescent="0.25">
      <c r="A611" s="105">
        <v>23</v>
      </c>
      <c r="B611" s="109"/>
      <c r="C611" s="106"/>
      <c r="D611" s="106"/>
      <c r="E611" s="106"/>
      <c r="F611" s="106"/>
      <c r="G611" s="106"/>
      <c r="H611" s="106"/>
      <c r="I611" s="106"/>
      <c r="J611" s="106"/>
      <c r="K611" s="106"/>
      <c r="L611" s="106"/>
      <c r="M611" s="106"/>
      <c r="N611" s="110"/>
    </row>
    <row r="612" spans="1:14" ht="9" customHeight="1" x14ac:dyDescent="0.25">
      <c r="A612" s="105">
        <v>24</v>
      </c>
      <c r="B612" s="109"/>
      <c r="C612" s="106"/>
      <c r="D612" s="106"/>
      <c r="E612" s="106"/>
      <c r="F612" s="106"/>
      <c r="G612" s="106"/>
      <c r="H612" s="106"/>
      <c r="I612" s="106"/>
      <c r="J612" s="106"/>
      <c r="K612" s="106"/>
      <c r="L612" s="106"/>
      <c r="M612" s="106"/>
      <c r="N612" s="110"/>
    </row>
    <row r="613" spans="1:14" ht="9" customHeight="1" x14ac:dyDescent="0.25">
      <c r="A613" s="105">
        <v>25</v>
      </c>
      <c r="B613" s="109"/>
      <c r="C613" s="106"/>
      <c r="D613" s="106"/>
      <c r="E613" s="106"/>
      <c r="F613" s="106"/>
      <c r="G613" s="106"/>
      <c r="H613" s="106"/>
      <c r="I613" s="106"/>
      <c r="J613" s="106"/>
      <c r="K613" s="106"/>
      <c r="L613" s="106"/>
      <c r="M613" s="106"/>
      <c r="N613" s="110"/>
    </row>
    <row r="614" spans="1:14" ht="9" customHeight="1" x14ac:dyDescent="0.25">
      <c r="A614" s="105">
        <v>26</v>
      </c>
      <c r="B614" s="109"/>
      <c r="C614" s="106"/>
      <c r="D614" s="106"/>
      <c r="E614" s="106"/>
      <c r="F614" s="106"/>
      <c r="G614" s="106"/>
      <c r="H614" s="106"/>
      <c r="I614" s="106"/>
      <c r="J614" s="106"/>
      <c r="K614" s="106"/>
      <c r="L614" s="106"/>
      <c r="M614" s="106"/>
      <c r="N614" s="110"/>
    </row>
    <row r="615" spans="1:14" ht="9" customHeight="1" x14ac:dyDescent="0.25">
      <c r="A615" s="105">
        <v>27</v>
      </c>
      <c r="B615" s="109"/>
      <c r="C615" s="106"/>
      <c r="D615" s="106"/>
      <c r="E615" s="106"/>
      <c r="F615" s="106"/>
      <c r="G615" s="106"/>
      <c r="H615" s="106"/>
      <c r="I615" s="106"/>
      <c r="J615" s="106"/>
      <c r="K615" s="106"/>
      <c r="L615" s="106"/>
      <c r="M615" s="106"/>
      <c r="N615" s="110"/>
    </row>
    <row r="616" spans="1:14" ht="9" customHeight="1" x14ac:dyDescent="0.25">
      <c r="A616" s="105">
        <v>28</v>
      </c>
      <c r="B616" s="109"/>
      <c r="C616" s="106"/>
      <c r="D616" s="106"/>
      <c r="E616" s="106"/>
      <c r="F616" s="106"/>
      <c r="G616" s="106"/>
      <c r="H616" s="106"/>
      <c r="I616" s="106"/>
      <c r="J616" s="106"/>
      <c r="K616" s="106"/>
      <c r="L616" s="106"/>
      <c r="M616" s="106"/>
      <c r="N616" s="110"/>
    </row>
    <row r="617" spans="1:14" ht="9" customHeight="1" x14ac:dyDescent="0.25">
      <c r="A617" s="105">
        <v>29</v>
      </c>
      <c r="B617" s="109"/>
      <c r="C617" s="106"/>
      <c r="D617" s="106"/>
      <c r="E617" s="106"/>
      <c r="F617" s="106"/>
      <c r="G617" s="106"/>
      <c r="H617" s="106"/>
      <c r="I617" s="106"/>
      <c r="J617" s="106"/>
      <c r="K617" s="106"/>
      <c r="L617" s="106"/>
      <c r="M617" s="106"/>
      <c r="N617" s="110"/>
    </row>
    <row r="618" spans="1:14" ht="9" customHeight="1" x14ac:dyDescent="0.25">
      <c r="A618" s="105">
        <v>30</v>
      </c>
      <c r="B618" s="109"/>
      <c r="C618" s="106"/>
      <c r="D618" s="106"/>
      <c r="E618" s="106"/>
      <c r="F618" s="106"/>
      <c r="G618" s="106"/>
      <c r="H618" s="106"/>
      <c r="I618" s="106"/>
      <c r="J618" s="106"/>
      <c r="K618" s="106"/>
      <c r="L618" s="106"/>
      <c r="M618" s="106"/>
      <c r="N618" s="110"/>
    </row>
    <row r="619" spans="1:14" ht="9" customHeight="1" x14ac:dyDescent="0.25">
      <c r="A619" s="105">
        <v>31</v>
      </c>
      <c r="B619" s="109"/>
      <c r="C619" s="106"/>
      <c r="D619" s="106"/>
      <c r="E619" s="106"/>
      <c r="F619" s="106"/>
      <c r="G619" s="106"/>
      <c r="H619" s="106"/>
      <c r="I619" s="106"/>
      <c r="J619" s="106"/>
      <c r="K619" s="106"/>
      <c r="L619" s="106"/>
      <c r="M619" s="106"/>
      <c r="N619" s="110"/>
    </row>
    <row r="620" spans="1:14" ht="9" customHeight="1" x14ac:dyDescent="0.25">
      <c r="A620" s="105">
        <v>32</v>
      </c>
      <c r="B620" s="109"/>
      <c r="C620" s="106"/>
      <c r="D620" s="106"/>
      <c r="E620" s="106"/>
      <c r="F620" s="106"/>
      <c r="G620" s="106"/>
      <c r="H620" s="106"/>
      <c r="I620" s="106"/>
      <c r="J620" s="106"/>
      <c r="K620" s="106"/>
      <c r="L620" s="106"/>
      <c r="M620" s="106"/>
      <c r="N620" s="110"/>
    </row>
    <row r="621" spans="1:14" ht="9" customHeight="1" x14ac:dyDescent="0.25">
      <c r="A621" s="105">
        <v>33</v>
      </c>
      <c r="B621" s="109"/>
      <c r="C621" s="106"/>
      <c r="D621" s="106"/>
      <c r="E621" s="106"/>
      <c r="F621" s="106"/>
      <c r="G621" s="106"/>
      <c r="H621" s="106"/>
      <c r="I621" s="106"/>
      <c r="J621" s="106"/>
      <c r="K621" s="106"/>
      <c r="L621" s="106"/>
      <c r="M621" s="106"/>
      <c r="N621" s="110"/>
    </row>
    <row r="622" spans="1:14" ht="9" customHeight="1" x14ac:dyDescent="0.25">
      <c r="A622" s="105">
        <v>34</v>
      </c>
      <c r="B622" s="109"/>
      <c r="C622" s="106"/>
      <c r="D622" s="106"/>
      <c r="E622" s="106"/>
      <c r="F622" s="106"/>
      <c r="G622" s="106"/>
      <c r="H622" s="106"/>
      <c r="I622" s="106"/>
      <c r="J622" s="106"/>
      <c r="K622" s="106"/>
      <c r="L622" s="106"/>
      <c r="M622" s="106"/>
      <c r="N622" s="110"/>
    </row>
    <row r="623" spans="1:14" ht="9" customHeight="1" thickBot="1" x14ac:dyDescent="0.3">
      <c r="A623" s="105">
        <v>35</v>
      </c>
      <c r="B623" s="111"/>
      <c r="C623" s="112"/>
      <c r="D623" s="112"/>
      <c r="E623" s="112"/>
      <c r="F623" s="112"/>
      <c r="G623" s="112"/>
      <c r="H623" s="112"/>
      <c r="I623" s="112"/>
      <c r="J623" s="112"/>
      <c r="K623" s="112"/>
      <c r="L623" s="112"/>
      <c r="M623" s="112"/>
      <c r="N623" s="113"/>
    </row>
  </sheetData>
  <mergeCells count="32">
    <mergeCell ref="B587:D587"/>
    <mergeCell ref="G587:H587"/>
    <mergeCell ref="B470:D470"/>
    <mergeCell ref="G470:H470"/>
    <mergeCell ref="B509:D509"/>
    <mergeCell ref="G509:H509"/>
    <mergeCell ref="B548:D548"/>
    <mergeCell ref="G548:H548"/>
    <mergeCell ref="B353:D353"/>
    <mergeCell ref="G353:H353"/>
    <mergeCell ref="B392:D392"/>
    <mergeCell ref="G392:H392"/>
    <mergeCell ref="B431:D431"/>
    <mergeCell ref="G431:H431"/>
    <mergeCell ref="B236:D236"/>
    <mergeCell ref="G236:H236"/>
    <mergeCell ref="B275:D275"/>
    <mergeCell ref="G275:H275"/>
    <mergeCell ref="B314:D314"/>
    <mergeCell ref="G314:H314"/>
    <mergeCell ref="B119:D119"/>
    <mergeCell ref="G119:H119"/>
    <mergeCell ref="B158:D158"/>
    <mergeCell ref="G158:H158"/>
    <mergeCell ref="B197:D197"/>
    <mergeCell ref="G197:H197"/>
    <mergeCell ref="B2:D2"/>
    <mergeCell ref="G2:H2"/>
    <mergeCell ref="B41:D41"/>
    <mergeCell ref="G41:H41"/>
    <mergeCell ref="B80:D80"/>
    <mergeCell ref="G80:H80"/>
  </mergeCells>
  <pageMargins left="0.25" right="0.25" top="0.75" bottom="0.75" header="0.3" footer="0.3"/>
  <pageSetup scale="68" orientation="landscape" verticalDpi="0" r:id="rId1"/>
  <rowBreaks count="1" manualBreakCount="1">
    <brk id="78" max="16383" man="1"/>
  </rowBreaks>
  <colBreaks count="1" manualBreakCount="1">
    <brk id="1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Empleados</vt:lpstr>
      <vt:lpstr>Lista</vt:lpstr>
      <vt:lpstr>General</vt:lpstr>
      <vt:lpstr>Reporte de Nomina</vt:lpstr>
      <vt:lpstr>Empleados!Área_de_extracción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 Avelina Paz Villegas</dc:creator>
  <cp:lastModifiedBy>AULA02-PC08</cp:lastModifiedBy>
  <dcterms:created xsi:type="dcterms:W3CDTF">2016-04-08T13:08:18Z</dcterms:created>
  <dcterms:modified xsi:type="dcterms:W3CDTF">2016-07-09T00:50:37Z</dcterms:modified>
</cp:coreProperties>
</file>